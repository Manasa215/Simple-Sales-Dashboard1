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dell\Documents\Veda Technologies\task3_interactive_dashboard\Simple-Sales-Dashboard\"/>
    </mc:Choice>
  </mc:AlternateContent>
  <bookViews>
    <workbookView xWindow="-110" yWindow="-110" windowWidth="19420" windowHeight="10300" tabRatio="614" activeTab="3"/>
  </bookViews>
  <sheets>
    <sheet name="Dataset" sheetId="1" r:id="rId1"/>
    <sheet name="Dashboard" sheetId="3" r:id="rId2"/>
    <sheet name="PivotData" sheetId="4" r:id="rId3"/>
    <sheet name="Readme" sheetId="5" r:id="rId4"/>
  </sheets>
  <functionGroups builtInGroupCount="18"/>
  <definedNames>
    <definedName name="NativeTimeline_Order_Date">#N/A</definedName>
    <definedName name="Slicer_Category">#N/A</definedName>
    <definedName name="Slicer_Customer_Segment">#N/A</definedName>
    <definedName name="Slicer_Payment_Method">#N/A</definedName>
    <definedName name="Slicer_Region">#N/A</definedName>
  </definedNames>
  <calcPr calcId="162913"/>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5" i="3" l="1"/>
  <c r="N5" i="3"/>
  <c r="K5" i="3"/>
  <c r="H5" i="3"/>
  <c r="E5" i="3"/>
  <c r="B5" i="3"/>
</calcChain>
</file>

<file path=xl/sharedStrings.xml><?xml version="1.0" encoding="utf-8"?>
<sst xmlns="http://schemas.openxmlformats.org/spreadsheetml/2006/main" count="16126" uniqueCount="2150">
  <si>
    <t>Order_ID</t>
  </si>
  <si>
    <t>Order_Date</t>
  </si>
  <si>
    <t>State</t>
  </si>
  <si>
    <t>City</t>
  </si>
  <si>
    <t>Region</t>
  </si>
  <si>
    <t>Category</t>
  </si>
  <si>
    <t>Product</t>
  </si>
  <si>
    <t>Customer_Segment</t>
  </si>
  <si>
    <t>Quantity</t>
  </si>
  <si>
    <t>Unit_Price</t>
  </si>
  <si>
    <t>Discount_Percent</t>
  </si>
  <si>
    <t>Sales</t>
  </si>
  <si>
    <t>Profit</t>
  </si>
  <si>
    <t>Payment_Method</t>
  </si>
  <si>
    <t>ORD100001</t>
  </si>
  <si>
    <t>ORD100002</t>
  </si>
  <si>
    <t>ORD100003</t>
  </si>
  <si>
    <t>ORD100004</t>
  </si>
  <si>
    <t>ORD100005</t>
  </si>
  <si>
    <t>ORD100006</t>
  </si>
  <si>
    <t>ORD100007</t>
  </si>
  <si>
    <t>ORD100008</t>
  </si>
  <si>
    <t>ORD100009</t>
  </si>
  <si>
    <t>ORD100010</t>
  </si>
  <si>
    <t>ORD100011</t>
  </si>
  <si>
    <t>ORD100012</t>
  </si>
  <si>
    <t>ORD100013</t>
  </si>
  <si>
    <t>ORD100014</t>
  </si>
  <si>
    <t>ORD100015</t>
  </si>
  <si>
    <t>ORD100016</t>
  </si>
  <si>
    <t>ORD100017</t>
  </si>
  <si>
    <t>ORD100018</t>
  </si>
  <si>
    <t>ORD100019</t>
  </si>
  <si>
    <t>ORD100020</t>
  </si>
  <si>
    <t>ORD100021</t>
  </si>
  <si>
    <t>ORD100022</t>
  </si>
  <si>
    <t>ORD100023</t>
  </si>
  <si>
    <t>ORD100024</t>
  </si>
  <si>
    <t>ORD100025</t>
  </si>
  <si>
    <t>ORD100026</t>
  </si>
  <si>
    <t>ORD100027</t>
  </si>
  <si>
    <t>ORD100028</t>
  </si>
  <si>
    <t>ORD100029</t>
  </si>
  <si>
    <t>ORD100030</t>
  </si>
  <si>
    <t>ORD100031</t>
  </si>
  <si>
    <t>ORD100032</t>
  </si>
  <si>
    <t>ORD100033</t>
  </si>
  <si>
    <t>ORD100034</t>
  </si>
  <si>
    <t>ORD100035</t>
  </si>
  <si>
    <t>ORD100036</t>
  </si>
  <si>
    <t>ORD100037</t>
  </si>
  <si>
    <t>ORD100038</t>
  </si>
  <si>
    <t>ORD100039</t>
  </si>
  <si>
    <t>ORD100040</t>
  </si>
  <si>
    <t>ORD100041</t>
  </si>
  <si>
    <t>ORD100042</t>
  </si>
  <si>
    <t>ORD100043</t>
  </si>
  <si>
    <t>ORD100044</t>
  </si>
  <si>
    <t>ORD100045</t>
  </si>
  <si>
    <t>ORD100046</t>
  </si>
  <si>
    <t>ORD100047</t>
  </si>
  <si>
    <t>ORD100048</t>
  </si>
  <si>
    <t>ORD100049</t>
  </si>
  <si>
    <t>ORD100050</t>
  </si>
  <si>
    <t>ORD100051</t>
  </si>
  <si>
    <t>ORD100052</t>
  </si>
  <si>
    <t>ORD100053</t>
  </si>
  <si>
    <t>ORD100054</t>
  </si>
  <si>
    <t>ORD100055</t>
  </si>
  <si>
    <t>ORD100056</t>
  </si>
  <si>
    <t>ORD100057</t>
  </si>
  <si>
    <t>ORD100058</t>
  </si>
  <si>
    <t>ORD100059</t>
  </si>
  <si>
    <t>ORD100060</t>
  </si>
  <si>
    <t>ORD100061</t>
  </si>
  <si>
    <t>ORD100062</t>
  </si>
  <si>
    <t>ORD100063</t>
  </si>
  <si>
    <t>ORD100064</t>
  </si>
  <si>
    <t>ORD100065</t>
  </si>
  <si>
    <t>ORD100066</t>
  </si>
  <si>
    <t>ORD100067</t>
  </si>
  <si>
    <t>ORD100068</t>
  </si>
  <si>
    <t>ORD100069</t>
  </si>
  <si>
    <t>ORD100070</t>
  </si>
  <si>
    <t>ORD100071</t>
  </si>
  <si>
    <t>ORD100072</t>
  </si>
  <si>
    <t>ORD100073</t>
  </si>
  <si>
    <t>ORD100074</t>
  </si>
  <si>
    <t>ORD100075</t>
  </si>
  <si>
    <t>ORD100076</t>
  </si>
  <si>
    <t>ORD100077</t>
  </si>
  <si>
    <t>ORD100078</t>
  </si>
  <si>
    <t>ORD100079</t>
  </si>
  <si>
    <t>ORD100080</t>
  </si>
  <si>
    <t>ORD100081</t>
  </si>
  <si>
    <t>ORD100082</t>
  </si>
  <si>
    <t>ORD100083</t>
  </si>
  <si>
    <t>ORD100084</t>
  </si>
  <si>
    <t>ORD100085</t>
  </si>
  <si>
    <t>ORD100086</t>
  </si>
  <si>
    <t>ORD100087</t>
  </si>
  <si>
    <t>ORD100088</t>
  </si>
  <si>
    <t>ORD100089</t>
  </si>
  <si>
    <t>ORD100090</t>
  </si>
  <si>
    <t>ORD100091</t>
  </si>
  <si>
    <t>ORD100092</t>
  </si>
  <si>
    <t>ORD100093</t>
  </si>
  <si>
    <t>ORD100094</t>
  </si>
  <si>
    <t>ORD100095</t>
  </si>
  <si>
    <t>ORD100096</t>
  </si>
  <si>
    <t>ORD100097</t>
  </si>
  <si>
    <t>ORD100098</t>
  </si>
  <si>
    <t>ORD100099</t>
  </si>
  <si>
    <t>ORD100100</t>
  </si>
  <si>
    <t>ORD100101</t>
  </si>
  <si>
    <t>ORD100102</t>
  </si>
  <si>
    <t>ORD100103</t>
  </si>
  <si>
    <t>ORD100104</t>
  </si>
  <si>
    <t>ORD100105</t>
  </si>
  <si>
    <t>ORD100106</t>
  </si>
  <si>
    <t>ORD100107</t>
  </si>
  <si>
    <t>ORD100108</t>
  </si>
  <si>
    <t>ORD100109</t>
  </si>
  <si>
    <t>ORD100110</t>
  </si>
  <si>
    <t>ORD100111</t>
  </si>
  <si>
    <t>ORD100112</t>
  </si>
  <si>
    <t>ORD100113</t>
  </si>
  <si>
    <t>ORD100114</t>
  </si>
  <si>
    <t>ORD100115</t>
  </si>
  <si>
    <t>ORD100116</t>
  </si>
  <si>
    <t>ORD100117</t>
  </si>
  <si>
    <t>ORD100118</t>
  </si>
  <si>
    <t>ORD100119</t>
  </si>
  <si>
    <t>ORD100120</t>
  </si>
  <si>
    <t>ORD100121</t>
  </si>
  <si>
    <t>ORD100122</t>
  </si>
  <si>
    <t>ORD100123</t>
  </si>
  <si>
    <t>ORD100124</t>
  </si>
  <si>
    <t>ORD100125</t>
  </si>
  <si>
    <t>ORD100126</t>
  </si>
  <si>
    <t>ORD100127</t>
  </si>
  <si>
    <t>ORD100128</t>
  </si>
  <si>
    <t>ORD100129</t>
  </si>
  <si>
    <t>ORD100130</t>
  </si>
  <si>
    <t>ORD100131</t>
  </si>
  <si>
    <t>ORD100132</t>
  </si>
  <si>
    <t>ORD100133</t>
  </si>
  <si>
    <t>ORD100134</t>
  </si>
  <si>
    <t>ORD100135</t>
  </si>
  <si>
    <t>ORD100136</t>
  </si>
  <si>
    <t>ORD100137</t>
  </si>
  <si>
    <t>ORD100138</t>
  </si>
  <si>
    <t>ORD100139</t>
  </si>
  <si>
    <t>ORD100140</t>
  </si>
  <si>
    <t>ORD100141</t>
  </si>
  <si>
    <t>ORD100142</t>
  </si>
  <si>
    <t>ORD100143</t>
  </si>
  <si>
    <t>ORD100144</t>
  </si>
  <si>
    <t>ORD100145</t>
  </si>
  <si>
    <t>ORD100146</t>
  </si>
  <si>
    <t>ORD100147</t>
  </si>
  <si>
    <t>ORD100148</t>
  </si>
  <si>
    <t>ORD100149</t>
  </si>
  <si>
    <t>ORD100150</t>
  </si>
  <si>
    <t>ORD100151</t>
  </si>
  <si>
    <t>ORD100152</t>
  </si>
  <si>
    <t>ORD100153</t>
  </si>
  <si>
    <t>ORD100154</t>
  </si>
  <si>
    <t>ORD100155</t>
  </si>
  <si>
    <t>ORD100156</t>
  </si>
  <si>
    <t>ORD100157</t>
  </si>
  <si>
    <t>ORD100158</t>
  </si>
  <si>
    <t>ORD100159</t>
  </si>
  <si>
    <t>ORD100160</t>
  </si>
  <si>
    <t>ORD100161</t>
  </si>
  <si>
    <t>ORD100162</t>
  </si>
  <si>
    <t>ORD100163</t>
  </si>
  <si>
    <t>ORD100164</t>
  </si>
  <si>
    <t>ORD100165</t>
  </si>
  <si>
    <t>ORD100166</t>
  </si>
  <si>
    <t>ORD100167</t>
  </si>
  <si>
    <t>ORD100168</t>
  </si>
  <si>
    <t>ORD100169</t>
  </si>
  <si>
    <t>ORD100170</t>
  </si>
  <si>
    <t>ORD100171</t>
  </si>
  <si>
    <t>ORD100172</t>
  </si>
  <si>
    <t>ORD100173</t>
  </si>
  <si>
    <t>ORD100174</t>
  </si>
  <si>
    <t>ORD100175</t>
  </si>
  <si>
    <t>ORD100176</t>
  </si>
  <si>
    <t>ORD100177</t>
  </si>
  <si>
    <t>ORD100178</t>
  </si>
  <si>
    <t>ORD100179</t>
  </si>
  <si>
    <t>ORD100180</t>
  </si>
  <si>
    <t>ORD100181</t>
  </si>
  <si>
    <t>ORD100182</t>
  </si>
  <si>
    <t>ORD100183</t>
  </si>
  <si>
    <t>ORD100184</t>
  </si>
  <si>
    <t>ORD100185</t>
  </si>
  <si>
    <t>ORD100186</t>
  </si>
  <si>
    <t>ORD100187</t>
  </si>
  <si>
    <t>ORD100188</t>
  </si>
  <si>
    <t>ORD100189</t>
  </si>
  <si>
    <t>ORD100190</t>
  </si>
  <si>
    <t>ORD100191</t>
  </si>
  <si>
    <t>ORD100192</t>
  </si>
  <si>
    <t>ORD100193</t>
  </si>
  <si>
    <t>ORD100194</t>
  </si>
  <si>
    <t>ORD100195</t>
  </si>
  <si>
    <t>ORD100196</t>
  </si>
  <si>
    <t>ORD100197</t>
  </si>
  <si>
    <t>ORD100198</t>
  </si>
  <si>
    <t>ORD100199</t>
  </si>
  <si>
    <t>ORD100200</t>
  </si>
  <si>
    <t>ORD100201</t>
  </si>
  <si>
    <t>ORD100202</t>
  </si>
  <si>
    <t>ORD100203</t>
  </si>
  <si>
    <t>ORD100204</t>
  </si>
  <si>
    <t>ORD100205</t>
  </si>
  <si>
    <t>ORD100206</t>
  </si>
  <si>
    <t>ORD100207</t>
  </si>
  <si>
    <t>ORD100208</t>
  </si>
  <si>
    <t>ORD100209</t>
  </si>
  <si>
    <t>ORD100210</t>
  </si>
  <si>
    <t>ORD100211</t>
  </si>
  <si>
    <t>ORD100212</t>
  </si>
  <si>
    <t>ORD100213</t>
  </si>
  <si>
    <t>ORD100214</t>
  </si>
  <si>
    <t>ORD100215</t>
  </si>
  <si>
    <t>ORD100216</t>
  </si>
  <si>
    <t>ORD100217</t>
  </si>
  <si>
    <t>ORD100218</t>
  </si>
  <si>
    <t>ORD100219</t>
  </si>
  <si>
    <t>ORD100220</t>
  </si>
  <si>
    <t>ORD100221</t>
  </si>
  <si>
    <t>ORD100222</t>
  </si>
  <si>
    <t>ORD100223</t>
  </si>
  <si>
    <t>ORD100224</t>
  </si>
  <si>
    <t>ORD100225</t>
  </si>
  <si>
    <t>ORD100226</t>
  </si>
  <si>
    <t>ORD100227</t>
  </si>
  <si>
    <t>ORD100228</t>
  </si>
  <si>
    <t>ORD100229</t>
  </si>
  <si>
    <t>ORD100230</t>
  </si>
  <si>
    <t>ORD100231</t>
  </si>
  <si>
    <t>ORD100232</t>
  </si>
  <si>
    <t>ORD100233</t>
  </si>
  <si>
    <t>ORD100234</t>
  </si>
  <si>
    <t>ORD100235</t>
  </si>
  <si>
    <t>ORD100236</t>
  </si>
  <si>
    <t>ORD100237</t>
  </si>
  <si>
    <t>ORD100238</t>
  </si>
  <si>
    <t>ORD100239</t>
  </si>
  <si>
    <t>ORD100240</t>
  </si>
  <si>
    <t>ORD100241</t>
  </si>
  <si>
    <t>ORD100242</t>
  </si>
  <si>
    <t>ORD100243</t>
  </si>
  <si>
    <t>ORD100244</t>
  </si>
  <si>
    <t>ORD100245</t>
  </si>
  <si>
    <t>ORD100246</t>
  </si>
  <si>
    <t>ORD100247</t>
  </si>
  <si>
    <t>ORD100248</t>
  </si>
  <si>
    <t>ORD100249</t>
  </si>
  <si>
    <t>ORD100250</t>
  </si>
  <si>
    <t>ORD100251</t>
  </si>
  <si>
    <t>ORD100252</t>
  </si>
  <si>
    <t>ORD100253</t>
  </si>
  <si>
    <t>ORD100254</t>
  </si>
  <si>
    <t>ORD100255</t>
  </si>
  <si>
    <t>ORD100256</t>
  </si>
  <si>
    <t>ORD100257</t>
  </si>
  <si>
    <t>ORD100258</t>
  </si>
  <si>
    <t>ORD100259</t>
  </si>
  <si>
    <t>ORD100260</t>
  </si>
  <si>
    <t>ORD100261</t>
  </si>
  <si>
    <t>ORD100262</t>
  </si>
  <si>
    <t>ORD100263</t>
  </si>
  <si>
    <t>ORD100264</t>
  </si>
  <si>
    <t>ORD100265</t>
  </si>
  <si>
    <t>ORD100266</t>
  </si>
  <si>
    <t>ORD100267</t>
  </si>
  <si>
    <t>ORD100268</t>
  </si>
  <si>
    <t>ORD100269</t>
  </si>
  <si>
    <t>ORD100270</t>
  </si>
  <si>
    <t>ORD100271</t>
  </si>
  <si>
    <t>ORD100272</t>
  </si>
  <si>
    <t>ORD100273</t>
  </si>
  <si>
    <t>ORD100274</t>
  </si>
  <si>
    <t>ORD100275</t>
  </si>
  <si>
    <t>ORD100276</t>
  </si>
  <si>
    <t>ORD100277</t>
  </si>
  <si>
    <t>ORD100278</t>
  </si>
  <si>
    <t>ORD100279</t>
  </si>
  <si>
    <t>ORD100280</t>
  </si>
  <si>
    <t>ORD100281</t>
  </si>
  <si>
    <t>ORD100282</t>
  </si>
  <si>
    <t>ORD100283</t>
  </si>
  <si>
    <t>ORD100284</t>
  </si>
  <si>
    <t>ORD100285</t>
  </si>
  <si>
    <t>ORD100286</t>
  </si>
  <si>
    <t>ORD100287</t>
  </si>
  <si>
    <t>ORD100288</t>
  </si>
  <si>
    <t>ORD100289</t>
  </si>
  <si>
    <t>ORD100290</t>
  </si>
  <si>
    <t>ORD100291</t>
  </si>
  <si>
    <t>ORD100292</t>
  </si>
  <si>
    <t>ORD100293</t>
  </si>
  <si>
    <t>ORD100294</t>
  </si>
  <si>
    <t>ORD100295</t>
  </si>
  <si>
    <t>ORD100296</t>
  </si>
  <si>
    <t>ORD100297</t>
  </si>
  <si>
    <t>ORD100298</t>
  </si>
  <si>
    <t>ORD100299</t>
  </si>
  <si>
    <t>ORD100300</t>
  </si>
  <si>
    <t>ORD100301</t>
  </si>
  <si>
    <t>ORD100302</t>
  </si>
  <si>
    <t>ORD100303</t>
  </si>
  <si>
    <t>ORD100304</t>
  </si>
  <si>
    <t>ORD100305</t>
  </si>
  <si>
    <t>ORD100306</t>
  </si>
  <si>
    <t>ORD100307</t>
  </si>
  <si>
    <t>ORD100308</t>
  </si>
  <si>
    <t>ORD100309</t>
  </si>
  <si>
    <t>ORD100310</t>
  </si>
  <si>
    <t>ORD100311</t>
  </si>
  <si>
    <t>ORD100312</t>
  </si>
  <si>
    <t>ORD100313</t>
  </si>
  <si>
    <t>ORD100314</t>
  </si>
  <si>
    <t>ORD100315</t>
  </si>
  <si>
    <t>ORD100316</t>
  </si>
  <si>
    <t>ORD100317</t>
  </si>
  <si>
    <t>ORD100318</t>
  </si>
  <si>
    <t>ORD100319</t>
  </si>
  <si>
    <t>ORD100320</t>
  </si>
  <si>
    <t>ORD100321</t>
  </si>
  <si>
    <t>ORD100322</t>
  </si>
  <si>
    <t>ORD100323</t>
  </si>
  <si>
    <t>ORD100324</t>
  </si>
  <si>
    <t>ORD100325</t>
  </si>
  <si>
    <t>ORD100326</t>
  </si>
  <si>
    <t>ORD100327</t>
  </si>
  <si>
    <t>ORD100328</t>
  </si>
  <si>
    <t>ORD100329</t>
  </si>
  <si>
    <t>ORD100330</t>
  </si>
  <si>
    <t>ORD100331</t>
  </si>
  <si>
    <t>ORD100332</t>
  </si>
  <si>
    <t>ORD100333</t>
  </si>
  <si>
    <t>ORD100334</t>
  </si>
  <si>
    <t>ORD100335</t>
  </si>
  <si>
    <t>ORD100336</t>
  </si>
  <si>
    <t>ORD100337</t>
  </si>
  <si>
    <t>ORD100338</t>
  </si>
  <si>
    <t>ORD100339</t>
  </si>
  <si>
    <t>ORD100340</t>
  </si>
  <si>
    <t>ORD100341</t>
  </si>
  <si>
    <t>ORD100342</t>
  </si>
  <si>
    <t>ORD100343</t>
  </si>
  <si>
    <t>ORD100344</t>
  </si>
  <si>
    <t>ORD100345</t>
  </si>
  <si>
    <t>ORD100346</t>
  </si>
  <si>
    <t>ORD100347</t>
  </si>
  <si>
    <t>ORD100348</t>
  </si>
  <si>
    <t>ORD100349</t>
  </si>
  <si>
    <t>ORD100350</t>
  </si>
  <si>
    <t>ORD100351</t>
  </si>
  <si>
    <t>ORD100352</t>
  </si>
  <si>
    <t>ORD100353</t>
  </si>
  <si>
    <t>ORD100354</t>
  </si>
  <si>
    <t>ORD100355</t>
  </si>
  <si>
    <t>ORD100356</t>
  </si>
  <si>
    <t>ORD100357</t>
  </si>
  <si>
    <t>ORD100358</t>
  </si>
  <si>
    <t>ORD100359</t>
  </si>
  <si>
    <t>ORD100360</t>
  </si>
  <si>
    <t>ORD100361</t>
  </si>
  <si>
    <t>ORD100362</t>
  </si>
  <si>
    <t>ORD100363</t>
  </si>
  <si>
    <t>ORD100364</t>
  </si>
  <si>
    <t>ORD100365</t>
  </si>
  <si>
    <t>ORD100366</t>
  </si>
  <si>
    <t>ORD100367</t>
  </si>
  <si>
    <t>ORD100368</t>
  </si>
  <si>
    <t>ORD100369</t>
  </si>
  <si>
    <t>ORD100370</t>
  </si>
  <si>
    <t>ORD100371</t>
  </si>
  <si>
    <t>ORD100372</t>
  </si>
  <si>
    <t>ORD100373</t>
  </si>
  <si>
    <t>ORD100374</t>
  </si>
  <si>
    <t>ORD100375</t>
  </si>
  <si>
    <t>ORD100376</t>
  </si>
  <si>
    <t>ORD100377</t>
  </si>
  <si>
    <t>ORD100378</t>
  </si>
  <si>
    <t>ORD100379</t>
  </si>
  <si>
    <t>ORD100380</t>
  </si>
  <si>
    <t>ORD100381</t>
  </si>
  <si>
    <t>ORD100382</t>
  </si>
  <si>
    <t>ORD100383</t>
  </si>
  <si>
    <t>ORD100384</t>
  </si>
  <si>
    <t>ORD100385</t>
  </si>
  <si>
    <t>ORD100386</t>
  </si>
  <si>
    <t>ORD100387</t>
  </si>
  <si>
    <t>ORD100388</t>
  </si>
  <si>
    <t>ORD100389</t>
  </si>
  <si>
    <t>ORD100390</t>
  </si>
  <si>
    <t>ORD100391</t>
  </si>
  <si>
    <t>ORD100392</t>
  </si>
  <si>
    <t>ORD100393</t>
  </si>
  <si>
    <t>ORD100394</t>
  </si>
  <si>
    <t>ORD100395</t>
  </si>
  <si>
    <t>ORD100396</t>
  </si>
  <si>
    <t>ORD100397</t>
  </si>
  <si>
    <t>ORD100398</t>
  </si>
  <si>
    <t>ORD100399</t>
  </si>
  <si>
    <t>ORD100400</t>
  </si>
  <si>
    <t>ORD100401</t>
  </si>
  <si>
    <t>ORD100402</t>
  </si>
  <si>
    <t>ORD100403</t>
  </si>
  <si>
    <t>ORD100404</t>
  </si>
  <si>
    <t>ORD100405</t>
  </si>
  <si>
    <t>ORD100406</t>
  </si>
  <si>
    <t>ORD100407</t>
  </si>
  <si>
    <t>ORD100408</t>
  </si>
  <si>
    <t>ORD100409</t>
  </si>
  <si>
    <t>ORD100410</t>
  </si>
  <si>
    <t>ORD100411</t>
  </si>
  <si>
    <t>ORD100412</t>
  </si>
  <si>
    <t>ORD100413</t>
  </si>
  <si>
    <t>ORD100414</t>
  </si>
  <si>
    <t>ORD100415</t>
  </si>
  <si>
    <t>ORD100416</t>
  </si>
  <si>
    <t>ORD100417</t>
  </si>
  <si>
    <t>ORD100418</t>
  </si>
  <si>
    <t>ORD100419</t>
  </si>
  <si>
    <t>ORD100420</t>
  </si>
  <si>
    <t>ORD100421</t>
  </si>
  <si>
    <t>ORD100422</t>
  </si>
  <si>
    <t>ORD100423</t>
  </si>
  <si>
    <t>ORD100424</t>
  </si>
  <si>
    <t>ORD100425</t>
  </si>
  <si>
    <t>ORD100426</t>
  </si>
  <si>
    <t>ORD100427</t>
  </si>
  <si>
    <t>ORD100428</t>
  </si>
  <si>
    <t>ORD100429</t>
  </si>
  <si>
    <t>ORD100430</t>
  </si>
  <si>
    <t>ORD100431</t>
  </si>
  <si>
    <t>ORD100432</t>
  </si>
  <si>
    <t>ORD100433</t>
  </si>
  <si>
    <t>ORD100434</t>
  </si>
  <si>
    <t>ORD100435</t>
  </si>
  <si>
    <t>ORD100436</t>
  </si>
  <si>
    <t>ORD100437</t>
  </si>
  <si>
    <t>ORD100438</t>
  </si>
  <si>
    <t>ORD100439</t>
  </si>
  <si>
    <t>ORD100440</t>
  </si>
  <si>
    <t>ORD100441</t>
  </si>
  <si>
    <t>ORD100442</t>
  </si>
  <si>
    <t>ORD100443</t>
  </si>
  <si>
    <t>ORD100444</t>
  </si>
  <si>
    <t>ORD100445</t>
  </si>
  <si>
    <t>ORD100446</t>
  </si>
  <si>
    <t>ORD100447</t>
  </si>
  <si>
    <t>ORD100448</t>
  </si>
  <si>
    <t>ORD100449</t>
  </si>
  <si>
    <t>ORD100450</t>
  </si>
  <si>
    <t>ORD100451</t>
  </si>
  <si>
    <t>ORD100452</t>
  </si>
  <si>
    <t>ORD100453</t>
  </si>
  <si>
    <t>ORD100454</t>
  </si>
  <si>
    <t>ORD100455</t>
  </si>
  <si>
    <t>ORD100456</t>
  </si>
  <si>
    <t>ORD100457</t>
  </si>
  <si>
    <t>ORD100458</t>
  </si>
  <si>
    <t>ORD100459</t>
  </si>
  <si>
    <t>ORD100460</t>
  </si>
  <si>
    <t>ORD100461</t>
  </si>
  <si>
    <t>ORD100462</t>
  </si>
  <si>
    <t>ORD100463</t>
  </si>
  <si>
    <t>ORD100464</t>
  </si>
  <si>
    <t>ORD100465</t>
  </si>
  <si>
    <t>ORD100466</t>
  </si>
  <si>
    <t>ORD100467</t>
  </si>
  <si>
    <t>ORD100468</t>
  </si>
  <si>
    <t>ORD100469</t>
  </si>
  <si>
    <t>ORD100470</t>
  </si>
  <si>
    <t>ORD100471</t>
  </si>
  <si>
    <t>ORD100472</t>
  </si>
  <si>
    <t>ORD100473</t>
  </si>
  <si>
    <t>ORD100474</t>
  </si>
  <si>
    <t>ORD100475</t>
  </si>
  <si>
    <t>ORD100476</t>
  </si>
  <si>
    <t>ORD100477</t>
  </si>
  <si>
    <t>ORD100478</t>
  </si>
  <si>
    <t>ORD100479</t>
  </si>
  <si>
    <t>ORD100480</t>
  </si>
  <si>
    <t>ORD100481</t>
  </si>
  <si>
    <t>ORD100482</t>
  </si>
  <si>
    <t>ORD100483</t>
  </si>
  <si>
    <t>ORD100484</t>
  </si>
  <si>
    <t>ORD100485</t>
  </si>
  <si>
    <t>ORD100486</t>
  </si>
  <si>
    <t>ORD100487</t>
  </si>
  <si>
    <t>ORD100488</t>
  </si>
  <si>
    <t>ORD100489</t>
  </si>
  <si>
    <t>ORD100490</t>
  </si>
  <si>
    <t>ORD100491</t>
  </si>
  <si>
    <t>ORD100492</t>
  </si>
  <si>
    <t>ORD100493</t>
  </si>
  <si>
    <t>ORD100494</t>
  </si>
  <si>
    <t>ORD100495</t>
  </si>
  <si>
    <t>ORD100496</t>
  </si>
  <si>
    <t>ORD100497</t>
  </si>
  <si>
    <t>ORD100498</t>
  </si>
  <si>
    <t>ORD100499</t>
  </si>
  <si>
    <t>ORD100500</t>
  </si>
  <si>
    <t>ORD100501</t>
  </si>
  <si>
    <t>ORD100502</t>
  </si>
  <si>
    <t>ORD100503</t>
  </si>
  <si>
    <t>ORD100504</t>
  </si>
  <si>
    <t>ORD100505</t>
  </si>
  <si>
    <t>ORD100506</t>
  </si>
  <si>
    <t>ORD100507</t>
  </si>
  <si>
    <t>ORD100508</t>
  </si>
  <si>
    <t>ORD100509</t>
  </si>
  <si>
    <t>ORD100510</t>
  </si>
  <si>
    <t>ORD100511</t>
  </si>
  <si>
    <t>ORD100512</t>
  </si>
  <si>
    <t>ORD100513</t>
  </si>
  <si>
    <t>ORD100514</t>
  </si>
  <si>
    <t>ORD100515</t>
  </si>
  <si>
    <t>ORD100516</t>
  </si>
  <si>
    <t>ORD100517</t>
  </si>
  <si>
    <t>ORD100518</t>
  </si>
  <si>
    <t>ORD100519</t>
  </si>
  <si>
    <t>ORD100520</t>
  </si>
  <si>
    <t>ORD100521</t>
  </si>
  <si>
    <t>ORD100522</t>
  </si>
  <si>
    <t>ORD100523</t>
  </si>
  <si>
    <t>ORD100524</t>
  </si>
  <si>
    <t>ORD100525</t>
  </si>
  <si>
    <t>ORD100526</t>
  </si>
  <si>
    <t>ORD100527</t>
  </si>
  <si>
    <t>ORD100528</t>
  </si>
  <si>
    <t>ORD100529</t>
  </si>
  <si>
    <t>ORD100530</t>
  </si>
  <si>
    <t>ORD100531</t>
  </si>
  <si>
    <t>ORD100532</t>
  </si>
  <si>
    <t>ORD100533</t>
  </si>
  <si>
    <t>ORD100534</t>
  </si>
  <si>
    <t>ORD100535</t>
  </si>
  <si>
    <t>ORD100536</t>
  </si>
  <si>
    <t>ORD100537</t>
  </si>
  <si>
    <t>ORD100538</t>
  </si>
  <si>
    <t>ORD100539</t>
  </si>
  <si>
    <t>ORD100540</t>
  </si>
  <si>
    <t>ORD100541</t>
  </si>
  <si>
    <t>ORD100542</t>
  </si>
  <si>
    <t>ORD100543</t>
  </si>
  <si>
    <t>ORD100544</t>
  </si>
  <si>
    <t>ORD100545</t>
  </si>
  <si>
    <t>ORD100546</t>
  </si>
  <si>
    <t>ORD100547</t>
  </si>
  <si>
    <t>ORD100548</t>
  </si>
  <si>
    <t>ORD100549</t>
  </si>
  <si>
    <t>ORD100550</t>
  </si>
  <si>
    <t>ORD100551</t>
  </si>
  <si>
    <t>ORD100552</t>
  </si>
  <si>
    <t>ORD100553</t>
  </si>
  <si>
    <t>ORD100554</t>
  </si>
  <si>
    <t>ORD100555</t>
  </si>
  <si>
    <t>ORD100556</t>
  </si>
  <si>
    <t>ORD100557</t>
  </si>
  <si>
    <t>ORD100558</t>
  </si>
  <si>
    <t>ORD100559</t>
  </si>
  <si>
    <t>ORD100560</t>
  </si>
  <si>
    <t>ORD100561</t>
  </si>
  <si>
    <t>ORD100562</t>
  </si>
  <si>
    <t>ORD100563</t>
  </si>
  <si>
    <t>ORD100564</t>
  </si>
  <si>
    <t>ORD100565</t>
  </si>
  <si>
    <t>ORD100566</t>
  </si>
  <si>
    <t>ORD100567</t>
  </si>
  <si>
    <t>ORD100568</t>
  </si>
  <si>
    <t>ORD100569</t>
  </si>
  <si>
    <t>ORD100570</t>
  </si>
  <si>
    <t>ORD100571</t>
  </si>
  <si>
    <t>ORD100572</t>
  </si>
  <si>
    <t>ORD100573</t>
  </si>
  <si>
    <t>ORD100574</t>
  </si>
  <si>
    <t>ORD100575</t>
  </si>
  <si>
    <t>ORD100576</t>
  </si>
  <si>
    <t>ORD100577</t>
  </si>
  <si>
    <t>ORD100578</t>
  </si>
  <si>
    <t>ORD100579</t>
  </si>
  <si>
    <t>ORD100580</t>
  </si>
  <si>
    <t>ORD100581</t>
  </si>
  <si>
    <t>ORD100582</t>
  </si>
  <si>
    <t>ORD100583</t>
  </si>
  <si>
    <t>ORD100584</t>
  </si>
  <si>
    <t>ORD100585</t>
  </si>
  <si>
    <t>ORD100586</t>
  </si>
  <si>
    <t>ORD100587</t>
  </si>
  <si>
    <t>ORD100588</t>
  </si>
  <si>
    <t>ORD100589</t>
  </si>
  <si>
    <t>ORD100590</t>
  </si>
  <si>
    <t>ORD100591</t>
  </si>
  <si>
    <t>ORD100592</t>
  </si>
  <si>
    <t>ORD100593</t>
  </si>
  <si>
    <t>ORD100594</t>
  </si>
  <si>
    <t>ORD100595</t>
  </si>
  <si>
    <t>ORD100596</t>
  </si>
  <si>
    <t>ORD100597</t>
  </si>
  <si>
    <t>ORD100598</t>
  </si>
  <si>
    <t>ORD100599</t>
  </si>
  <si>
    <t>ORD100600</t>
  </si>
  <si>
    <t>ORD100601</t>
  </si>
  <si>
    <t>ORD100602</t>
  </si>
  <si>
    <t>ORD100603</t>
  </si>
  <si>
    <t>ORD100604</t>
  </si>
  <si>
    <t>ORD100605</t>
  </si>
  <si>
    <t>ORD100606</t>
  </si>
  <si>
    <t>ORD100607</t>
  </si>
  <si>
    <t>ORD100608</t>
  </si>
  <si>
    <t>ORD100609</t>
  </si>
  <si>
    <t>ORD100610</t>
  </si>
  <si>
    <t>ORD100611</t>
  </si>
  <si>
    <t>ORD100612</t>
  </si>
  <si>
    <t>ORD100613</t>
  </si>
  <si>
    <t>ORD100614</t>
  </si>
  <si>
    <t>ORD100615</t>
  </si>
  <si>
    <t>ORD100616</t>
  </si>
  <si>
    <t>ORD100617</t>
  </si>
  <si>
    <t>ORD100618</t>
  </si>
  <si>
    <t>ORD100619</t>
  </si>
  <si>
    <t>ORD100620</t>
  </si>
  <si>
    <t>ORD100621</t>
  </si>
  <si>
    <t>ORD100622</t>
  </si>
  <si>
    <t>ORD100623</t>
  </si>
  <si>
    <t>ORD100624</t>
  </si>
  <si>
    <t>ORD100625</t>
  </si>
  <si>
    <t>ORD100626</t>
  </si>
  <si>
    <t>ORD100627</t>
  </si>
  <si>
    <t>ORD100628</t>
  </si>
  <si>
    <t>ORD100629</t>
  </si>
  <si>
    <t>ORD100630</t>
  </si>
  <si>
    <t>ORD100631</t>
  </si>
  <si>
    <t>ORD100632</t>
  </si>
  <si>
    <t>ORD100633</t>
  </si>
  <si>
    <t>ORD100634</t>
  </si>
  <si>
    <t>ORD100635</t>
  </si>
  <si>
    <t>ORD100636</t>
  </si>
  <si>
    <t>ORD100637</t>
  </si>
  <si>
    <t>ORD100638</t>
  </si>
  <si>
    <t>ORD100639</t>
  </si>
  <si>
    <t>ORD100640</t>
  </si>
  <si>
    <t>ORD100641</t>
  </si>
  <si>
    <t>ORD100642</t>
  </si>
  <si>
    <t>ORD100643</t>
  </si>
  <si>
    <t>ORD100644</t>
  </si>
  <si>
    <t>ORD100645</t>
  </si>
  <si>
    <t>ORD100646</t>
  </si>
  <si>
    <t>ORD100647</t>
  </si>
  <si>
    <t>ORD100648</t>
  </si>
  <si>
    <t>ORD100649</t>
  </si>
  <si>
    <t>ORD100650</t>
  </si>
  <si>
    <t>ORD100651</t>
  </si>
  <si>
    <t>ORD100652</t>
  </si>
  <si>
    <t>ORD100653</t>
  </si>
  <si>
    <t>ORD100654</t>
  </si>
  <si>
    <t>ORD100655</t>
  </si>
  <si>
    <t>ORD100656</t>
  </si>
  <si>
    <t>ORD100657</t>
  </si>
  <si>
    <t>ORD100658</t>
  </si>
  <si>
    <t>ORD100659</t>
  </si>
  <si>
    <t>ORD100660</t>
  </si>
  <si>
    <t>ORD100661</t>
  </si>
  <si>
    <t>ORD100662</t>
  </si>
  <si>
    <t>ORD100663</t>
  </si>
  <si>
    <t>ORD100664</t>
  </si>
  <si>
    <t>ORD100665</t>
  </si>
  <si>
    <t>ORD100666</t>
  </si>
  <si>
    <t>ORD100667</t>
  </si>
  <si>
    <t>ORD100668</t>
  </si>
  <si>
    <t>ORD100669</t>
  </si>
  <si>
    <t>ORD100670</t>
  </si>
  <si>
    <t>ORD100671</t>
  </si>
  <si>
    <t>ORD100672</t>
  </si>
  <si>
    <t>ORD100673</t>
  </si>
  <si>
    <t>ORD100674</t>
  </si>
  <si>
    <t>ORD100675</t>
  </si>
  <si>
    <t>ORD100676</t>
  </si>
  <si>
    <t>ORD100677</t>
  </si>
  <si>
    <t>ORD100678</t>
  </si>
  <si>
    <t>ORD100679</t>
  </si>
  <si>
    <t>ORD100680</t>
  </si>
  <si>
    <t>ORD100681</t>
  </si>
  <si>
    <t>ORD100682</t>
  </si>
  <si>
    <t>ORD100683</t>
  </si>
  <si>
    <t>ORD100684</t>
  </si>
  <si>
    <t>ORD100685</t>
  </si>
  <si>
    <t>ORD100686</t>
  </si>
  <si>
    <t>ORD100687</t>
  </si>
  <si>
    <t>ORD100688</t>
  </si>
  <si>
    <t>ORD100689</t>
  </si>
  <si>
    <t>ORD100690</t>
  </si>
  <si>
    <t>ORD100691</t>
  </si>
  <si>
    <t>ORD100692</t>
  </si>
  <si>
    <t>ORD100693</t>
  </si>
  <si>
    <t>ORD100694</t>
  </si>
  <si>
    <t>ORD100695</t>
  </si>
  <si>
    <t>ORD100696</t>
  </si>
  <si>
    <t>ORD100697</t>
  </si>
  <si>
    <t>ORD100698</t>
  </si>
  <si>
    <t>ORD100699</t>
  </si>
  <si>
    <t>ORD100700</t>
  </si>
  <si>
    <t>ORD100701</t>
  </si>
  <si>
    <t>ORD100702</t>
  </si>
  <si>
    <t>ORD100703</t>
  </si>
  <si>
    <t>ORD100704</t>
  </si>
  <si>
    <t>ORD100705</t>
  </si>
  <si>
    <t>ORD100706</t>
  </si>
  <si>
    <t>ORD100707</t>
  </si>
  <si>
    <t>ORD100708</t>
  </si>
  <si>
    <t>ORD100709</t>
  </si>
  <si>
    <t>ORD100710</t>
  </si>
  <si>
    <t>ORD100711</t>
  </si>
  <si>
    <t>ORD100712</t>
  </si>
  <si>
    <t>ORD100713</t>
  </si>
  <si>
    <t>ORD100714</t>
  </si>
  <si>
    <t>ORD100715</t>
  </si>
  <si>
    <t>ORD100716</t>
  </si>
  <si>
    <t>ORD100717</t>
  </si>
  <si>
    <t>ORD100718</t>
  </si>
  <si>
    <t>ORD100719</t>
  </si>
  <si>
    <t>ORD100720</t>
  </si>
  <si>
    <t>ORD100721</t>
  </si>
  <si>
    <t>ORD100722</t>
  </si>
  <si>
    <t>ORD100723</t>
  </si>
  <si>
    <t>ORD100724</t>
  </si>
  <si>
    <t>ORD100725</t>
  </si>
  <si>
    <t>ORD100726</t>
  </si>
  <si>
    <t>ORD100727</t>
  </si>
  <si>
    <t>ORD100728</t>
  </si>
  <si>
    <t>ORD100729</t>
  </si>
  <si>
    <t>ORD100730</t>
  </si>
  <si>
    <t>ORD100731</t>
  </si>
  <si>
    <t>ORD100732</t>
  </si>
  <si>
    <t>ORD100733</t>
  </si>
  <si>
    <t>ORD100734</t>
  </si>
  <si>
    <t>ORD100735</t>
  </si>
  <si>
    <t>ORD100736</t>
  </si>
  <si>
    <t>ORD100737</t>
  </si>
  <si>
    <t>ORD100738</t>
  </si>
  <si>
    <t>ORD100739</t>
  </si>
  <si>
    <t>ORD100740</t>
  </si>
  <si>
    <t>ORD100741</t>
  </si>
  <si>
    <t>ORD100742</t>
  </si>
  <si>
    <t>ORD100743</t>
  </si>
  <si>
    <t>ORD100744</t>
  </si>
  <si>
    <t>ORD100745</t>
  </si>
  <si>
    <t>ORD100746</t>
  </si>
  <si>
    <t>ORD100747</t>
  </si>
  <si>
    <t>ORD100748</t>
  </si>
  <si>
    <t>ORD100749</t>
  </si>
  <si>
    <t>ORD100750</t>
  </si>
  <si>
    <t>ORD100751</t>
  </si>
  <si>
    <t>ORD100752</t>
  </si>
  <si>
    <t>ORD100753</t>
  </si>
  <si>
    <t>ORD100754</t>
  </si>
  <si>
    <t>ORD100755</t>
  </si>
  <si>
    <t>ORD100756</t>
  </si>
  <si>
    <t>ORD100757</t>
  </si>
  <si>
    <t>ORD100758</t>
  </si>
  <si>
    <t>ORD100759</t>
  </si>
  <si>
    <t>ORD100760</t>
  </si>
  <si>
    <t>ORD100761</t>
  </si>
  <si>
    <t>ORD100762</t>
  </si>
  <si>
    <t>ORD100763</t>
  </si>
  <si>
    <t>ORD100764</t>
  </si>
  <si>
    <t>ORD100765</t>
  </si>
  <si>
    <t>ORD100766</t>
  </si>
  <si>
    <t>ORD100767</t>
  </si>
  <si>
    <t>ORD100768</t>
  </si>
  <si>
    <t>ORD100769</t>
  </si>
  <si>
    <t>ORD100770</t>
  </si>
  <si>
    <t>ORD100771</t>
  </si>
  <si>
    <t>ORD100772</t>
  </si>
  <si>
    <t>ORD100773</t>
  </si>
  <si>
    <t>ORD100774</t>
  </si>
  <si>
    <t>ORD100775</t>
  </si>
  <si>
    <t>ORD100776</t>
  </si>
  <si>
    <t>ORD100777</t>
  </si>
  <si>
    <t>ORD100778</t>
  </si>
  <si>
    <t>ORD100779</t>
  </si>
  <si>
    <t>ORD100780</t>
  </si>
  <si>
    <t>ORD100781</t>
  </si>
  <si>
    <t>ORD100782</t>
  </si>
  <si>
    <t>ORD100783</t>
  </si>
  <si>
    <t>ORD100784</t>
  </si>
  <si>
    <t>ORD100785</t>
  </si>
  <si>
    <t>ORD100786</t>
  </si>
  <si>
    <t>ORD100787</t>
  </si>
  <si>
    <t>ORD100788</t>
  </si>
  <si>
    <t>ORD100789</t>
  </si>
  <si>
    <t>ORD100790</t>
  </si>
  <si>
    <t>ORD100791</t>
  </si>
  <si>
    <t>ORD100792</t>
  </si>
  <si>
    <t>ORD100793</t>
  </si>
  <si>
    <t>ORD100794</t>
  </si>
  <si>
    <t>ORD100795</t>
  </si>
  <si>
    <t>ORD100796</t>
  </si>
  <si>
    <t>ORD100797</t>
  </si>
  <si>
    <t>ORD100798</t>
  </si>
  <si>
    <t>ORD100799</t>
  </si>
  <si>
    <t>ORD100800</t>
  </si>
  <si>
    <t>ORD100801</t>
  </si>
  <si>
    <t>ORD100802</t>
  </si>
  <si>
    <t>ORD100803</t>
  </si>
  <si>
    <t>ORD100804</t>
  </si>
  <si>
    <t>ORD100805</t>
  </si>
  <si>
    <t>ORD100806</t>
  </si>
  <si>
    <t>ORD100807</t>
  </si>
  <si>
    <t>ORD100808</t>
  </si>
  <si>
    <t>ORD100809</t>
  </si>
  <si>
    <t>ORD100810</t>
  </si>
  <si>
    <t>ORD100811</t>
  </si>
  <si>
    <t>ORD100812</t>
  </si>
  <si>
    <t>ORD100813</t>
  </si>
  <si>
    <t>ORD100814</t>
  </si>
  <si>
    <t>ORD100815</t>
  </si>
  <si>
    <t>ORD100816</t>
  </si>
  <si>
    <t>ORD100817</t>
  </si>
  <si>
    <t>ORD100818</t>
  </si>
  <si>
    <t>ORD100819</t>
  </si>
  <si>
    <t>ORD100820</t>
  </si>
  <si>
    <t>ORD100821</t>
  </si>
  <si>
    <t>ORD100822</t>
  </si>
  <si>
    <t>ORD100823</t>
  </si>
  <si>
    <t>ORD100824</t>
  </si>
  <si>
    <t>ORD100825</t>
  </si>
  <si>
    <t>ORD100826</t>
  </si>
  <si>
    <t>ORD100827</t>
  </si>
  <si>
    <t>ORD100828</t>
  </si>
  <si>
    <t>ORD100829</t>
  </si>
  <si>
    <t>ORD100830</t>
  </si>
  <si>
    <t>ORD100831</t>
  </si>
  <si>
    <t>ORD100832</t>
  </si>
  <si>
    <t>ORD100833</t>
  </si>
  <si>
    <t>ORD100834</t>
  </si>
  <si>
    <t>ORD100835</t>
  </si>
  <si>
    <t>ORD100836</t>
  </si>
  <si>
    <t>ORD100837</t>
  </si>
  <si>
    <t>ORD100838</t>
  </si>
  <si>
    <t>ORD100839</t>
  </si>
  <si>
    <t>ORD100840</t>
  </si>
  <si>
    <t>ORD100841</t>
  </si>
  <si>
    <t>ORD100842</t>
  </si>
  <si>
    <t>ORD100843</t>
  </si>
  <si>
    <t>ORD100844</t>
  </si>
  <si>
    <t>ORD100845</t>
  </si>
  <si>
    <t>ORD100846</t>
  </si>
  <si>
    <t>ORD100847</t>
  </si>
  <si>
    <t>ORD100848</t>
  </si>
  <si>
    <t>ORD100849</t>
  </si>
  <si>
    <t>ORD100850</t>
  </si>
  <si>
    <t>ORD100851</t>
  </si>
  <si>
    <t>ORD100852</t>
  </si>
  <si>
    <t>ORD100853</t>
  </si>
  <si>
    <t>ORD100854</t>
  </si>
  <si>
    <t>ORD100855</t>
  </si>
  <si>
    <t>ORD100856</t>
  </si>
  <si>
    <t>ORD100857</t>
  </si>
  <si>
    <t>ORD100858</t>
  </si>
  <si>
    <t>ORD100859</t>
  </si>
  <si>
    <t>ORD100860</t>
  </si>
  <si>
    <t>ORD100861</t>
  </si>
  <si>
    <t>ORD100862</t>
  </si>
  <si>
    <t>ORD100863</t>
  </si>
  <si>
    <t>ORD100864</t>
  </si>
  <si>
    <t>ORD100865</t>
  </si>
  <si>
    <t>ORD100866</t>
  </si>
  <si>
    <t>ORD100867</t>
  </si>
  <si>
    <t>ORD100868</t>
  </si>
  <si>
    <t>ORD100869</t>
  </si>
  <si>
    <t>ORD100870</t>
  </si>
  <si>
    <t>ORD100871</t>
  </si>
  <si>
    <t>ORD100872</t>
  </si>
  <si>
    <t>ORD100873</t>
  </si>
  <si>
    <t>ORD100874</t>
  </si>
  <si>
    <t>ORD100875</t>
  </si>
  <si>
    <t>ORD100876</t>
  </si>
  <si>
    <t>ORD100877</t>
  </si>
  <si>
    <t>ORD100878</t>
  </si>
  <si>
    <t>ORD100879</t>
  </si>
  <si>
    <t>ORD100880</t>
  </si>
  <si>
    <t>ORD100881</t>
  </si>
  <si>
    <t>ORD100882</t>
  </si>
  <si>
    <t>ORD100883</t>
  </si>
  <si>
    <t>ORD100884</t>
  </si>
  <si>
    <t>ORD100885</t>
  </si>
  <si>
    <t>ORD100886</t>
  </si>
  <si>
    <t>ORD100887</t>
  </si>
  <si>
    <t>ORD100888</t>
  </si>
  <si>
    <t>ORD100889</t>
  </si>
  <si>
    <t>ORD100890</t>
  </si>
  <si>
    <t>ORD100891</t>
  </si>
  <si>
    <t>ORD100892</t>
  </si>
  <si>
    <t>ORD100893</t>
  </si>
  <si>
    <t>ORD100894</t>
  </si>
  <si>
    <t>ORD100895</t>
  </si>
  <si>
    <t>ORD100896</t>
  </si>
  <si>
    <t>ORD100897</t>
  </si>
  <si>
    <t>ORD100898</t>
  </si>
  <si>
    <t>ORD100899</t>
  </si>
  <si>
    <t>ORD100900</t>
  </si>
  <si>
    <t>ORD100901</t>
  </si>
  <si>
    <t>ORD100902</t>
  </si>
  <si>
    <t>ORD100903</t>
  </si>
  <si>
    <t>ORD100904</t>
  </si>
  <si>
    <t>ORD100905</t>
  </si>
  <si>
    <t>ORD100906</t>
  </si>
  <si>
    <t>ORD100907</t>
  </si>
  <si>
    <t>ORD100908</t>
  </si>
  <si>
    <t>ORD100909</t>
  </si>
  <si>
    <t>ORD100910</t>
  </si>
  <si>
    <t>ORD100911</t>
  </si>
  <si>
    <t>ORD100912</t>
  </si>
  <si>
    <t>ORD100913</t>
  </si>
  <si>
    <t>ORD100914</t>
  </si>
  <si>
    <t>ORD100915</t>
  </si>
  <si>
    <t>ORD100916</t>
  </si>
  <si>
    <t>ORD100917</t>
  </si>
  <si>
    <t>ORD100918</t>
  </si>
  <si>
    <t>ORD100919</t>
  </si>
  <si>
    <t>ORD100920</t>
  </si>
  <si>
    <t>ORD100921</t>
  </si>
  <si>
    <t>ORD100922</t>
  </si>
  <si>
    <t>ORD100923</t>
  </si>
  <si>
    <t>ORD100924</t>
  </si>
  <si>
    <t>ORD100925</t>
  </si>
  <si>
    <t>ORD100926</t>
  </si>
  <si>
    <t>ORD100927</t>
  </si>
  <si>
    <t>ORD100928</t>
  </si>
  <si>
    <t>ORD100929</t>
  </si>
  <si>
    <t>ORD100930</t>
  </si>
  <si>
    <t>ORD100931</t>
  </si>
  <si>
    <t>ORD100932</t>
  </si>
  <si>
    <t>ORD100933</t>
  </si>
  <si>
    <t>ORD100934</t>
  </si>
  <si>
    <t>ORD100935</t>
  </si>
  <si>
    <t>ORD100936</t>
  </si>
  <si>
    <t>ORD100937</t>
  </si>
  <si>
    <t>ORD100938</t>
  </si>
  <si>
    <t>ORD100939</t>
  </si>
  <si>
    <t>ORD100940</t>
  </si>
  <si>
    <t>ORD100941</t>
  </si>
  <si>
    <t>ORD100942</t>
  </si>
  <si>
    <t>ORD100943</t>
  </si>
  <si>
    <t>ORD100944</t>
  </si>
  <si>
    <t>ORD100945</t>
  </si>
  <si>
    <t>ORD100946</t>
  </si>
  <si>
    <t>ORD100947</t>
  </si>
  <si>
    <t>ORD100948</t>
  </si>
  <si>
    <t>ORD100949</t>
  </si>
  <si>
    <t>ORD100950</t>
  </si>
  <si>
    <t>ORD100951</t>
  </si>
  <si>
    <t>ORD100952</t>
  </si>
  <si>
    <t>ORD100953</t>
  </si>
  <si>
    <t>ORD100954</t>
  </si>
  <si>
    <t>ORD100955</t>
  </si>
  <si>
    <t>ORD100956</t>
  </si>
  <si>
    <t>ORD100957</t>
  </si>
  <si>
    <t>ORD100958</t>
  </si>
  <si>
    <t>ORD100959</t>
  </si>
  <si>
    <t>ORD100960</t>
  </si>
  <si>
    <t>ORD100961</t>
  </si>
  <si>
    <t>ORD100962</t>
  </si>
  <si>
    <t>ORD100963</t>
  </si>
  <si>
    <t>ORD100964</t>
  </si>
  <si>
    <t>ORD100965</t>
  </si>
  <si>
    <t>ORD100966</t>
  </si>
  <si>
    <t>ORD100967</t>
  </si>
  <si>
    <t>ORD100968</t>
  </si>
  <si>
    <t>ORD100969</t>
  </si>
  <si>
    <t>ORD100970</t>
  </si>
  <si>
    <t>ORD100971</t>
  </si>
  <si>
    <t>ORD100972</t>
  </si>
  <si>
    <t>ORD100973</t>
  </si>
  <si>
    <t>ORD100974</t>
  </si>
  <si>
    <t>ORD100975</t>
  </si>
  <si>
    <t>ORD100976</t>
  </si>
  <si>
    <t>ORD100977</t>
  </si>
  <si>
    <t>ORD100978</t>
  </si>
  <si>
    <t>ORD100979</t>
  </si>
  <si>
    <t>ORD100980</t>
  </si>
  <si>
    <t>ORD100981</t>
  </si>
  <si>
    <t>ORD100982</t>
  </si>
  <si>
    <t>ORD100983</t>
  </si>
  <si>
    <t>ORD100984</t>
  </si>
  <si>
    <t>ORD100985</t>
  </si>
  <si>
    <t>ORD100986</t>
  </si>
  <si>
    <t>ORD100987</t>
  </si>
  <si>
    <t>ORD100988</t>
  </si>
  <si>
    <t>ORD100989</t>
  </si>
  <si>
    <t>ORD100990</t>
  </si>
  <si>
    <t>ORD100991</t>
  </si>
  <si>
    <t>ORD100992</t>
  </si>
  <si>
    <t>ORD100993</t>
  </si>
  <si>
    <t>ORD100994</t>
  </si>
  <si>
    <t>ORD100995</t>
  </si>
  <si>
    <t>ORD100996</t>
  </si>
  <si>
    <t>ORD100997</t>
  </si>
  <si>
    <t>ORD100998</t>
  </si>
  <si>
    <t>ORD100999</t>
  </si>
  <si>
    <t>ORD101000</t>
  </si>
  <si>
    <t>ORD101001</t>
  </si>
  <si>
    <t>ORD101002</t>
  </si>
  <si>
    <t>ORD101003</t>
  </si>
  <si>
    <t>ORD101004</t>
  </si>
  <si>
    <t>ORD101005</t>
  </si>
  <si>
    <t>ORD101006</t>
  </si>
  <si>
    <t>ORD101007</t>
  </si>
  <si>
    <t>ORD101008</t>
  </si>
  <si>
    <t>ORD101009</t>
  </si>
  <si>
    <t>ORD101010</t>
  </si>
  <si>
    <t>ORD101011</t>
  </si>
  <si>
    <t>ORD101012</t>
  </si>
  <si>
    <t>ORD101013</t>
  </si>
  <si>
    <t>ORD101014</t>
  </si>
  <si>
    <t>ORD101015</t>
  </si>
  <si>
    <t>ORD101016</t>
  </si>
  <si>
    <t>ORD101017</t>
  </si>
  <si>
    <t>ORD101018</t>
  </si>
  <si>
    <t>ORD101019</t>
  </si>
  <si>
    <t>ORD101020</t>
  </si>
  <si>
    <t>ORD101021</t>
  </si>
  <si>
    <t>ORD101022</t>
  </si>
  <si>
    <t>ORD101023</t>
  </si>
  <si>
    <t>ORD101024</t>
  </si>
  <si>
    <t>ORD101025</t>
  </si>
  <si>
    <t>ORD101026</t>
  </si>
  <si>
    <t>ORD101027</t>
  </si>
  <si>
    <t>ORD101028</t>
  </si>
  <si>
    <t>ORD101029</t>
  </si>
  <si>
    <t>ORD101030</t>
  </si>
  <si>
    <t>ORD101031</t>
  </si>
  <si>
    <t>ORD101032</t>
  </si>
  <si>
    <t>ORD101033</t>
  </si>
  <si>
    <t>ORD101034</t>
  </si>
  <si>
    <t>ORD101035</t>
  </si>
  <si>
    <t>ORD101036</t>
  </si>
  <si>
    <t>ORD101037</t>
  </si>
  <si>
    <t>ORD101038</t>
  </si>
  <si>
    <t>ORD101039</t>
  </si>
  <si>
    <t>ORD101040</t>
  </si>
  <si>
    <t>ORD101041</t>
  </si>
  <si>
    <t>ORD101042</t>
  </si>
  <si>
    <t>ORD101043</t>
  </si>
  <si>
    <t>ORD101044</t>
  </si>
  <si>
    <t>ORD101045</t>
  </si>
  <si>
    <t>ORD101046</t>
  </si>
  <si>
    <t>ORD101047</t>
  </si>
  <si>
    <t>ORD101048</t>
  </si>
  <si>
    <t>ORD101049</t>
  </si>
  <si>
    <t>ORD101050</t>
  </si>
  <si>
    <t>ORD101051</t>
  </si>
  <si>
    <t>ORD101052</t>
  </si>
  <si>
    <t>ORD101053</t>
  </si>
  <si>
    <t>ORD101054</t>
  </si>
  <si>
    <t>ORD101055</t>
  </si>
  <si>
    <t>ORD101056</t>
  </si>
  <si>
    <t>ORD101057</t>
  </si>
  <si>
    <t>ORD101058</t>
  </si>
  <si>
    <t>ORD101059</t>
  </si>
  <si>
    <t>ORD101060</t>
  </si>
  <si>
    <t>ORD101061</t>
  </si>
  <si>
    <t>ORD101062</t>
  </si>
  <si>
    <t>ORD101063</t>
  </si>
  <si>
    <t>ORD101064</t>
  </si>
  <si>
    <t>ORD101065</t>
  </si>
  <si>
    <t>ORD101066</t>
  </si>
  <si>
    <t>ORD101067</t>
  </si>
  <si>
    <t>ORD101068</t>
  </si>
  <si>
    <t>ORD101069</t>
  </si>
  <si>
    <t>ORD101070</t>
  </si>
  <si>
    <t>ORD101071</t>
  </si>
  <si>
    <t>ORD101072</t>
  </si>
  <si>
    <t>ORD101073</t>
  </si>
  <si>
    <t>ORD101074</t>
  </si>
  <si>
    <t>ORD101075</t>
  </si>
  <si>
    <t>ORD101076</t>
  </si>
  <si>
    <t>ORD101077</t>
  </si>
  <si>
    <t>ORD101078</t>
  </si>
  <si>
    <t>ORD101079</t>
  </si>
  <si>
    <t>ORD101080</t>
  </si>
  <si>
    <t>ORD101081</t>
  </si>
  <si>
    <t>ORD101082</t>
  </si>
  <si>
    <t>ORD101083</t>
  </si>
  <si>
    <t>ORD101084</t>
  </si>
  <si>
    <t>ORD101085</t>
  </si>
  <si>
    <t>ORD101086</t>
  </si>
  <si>
    <t>ORD101087</t>
  </si>
  <si>
    <t>ORD101088</t>
  </si>
  <si>
    <t>ORD101089</t>
  </si>
  <si>
    <t>ORD101090</t>
  </si>
  <si>
    <t>ORD101091</t>
  </si>
  <si>
    <t>ORD101092</t>
  </si>
  <si>
    <t>ORD101093</t>
  </si>
  <si>
    <t>ORD101094</t>
  </si>
  <si>
    <t>ORD101095</t>
  </si>
  <si>
    <t>ORD101096</t>
  </si>
  <si>
    <t>ORD101097</t>
  </si>
  <si>
    <t>ORD101098</t>
  </si>
  <si>
    <t>ORD101099</t>
  </si>
  <si>
    <t>ORD101100</t>
  </si>
  <si>
    <t>ORD101101</t>
  </si>
  <si>
    <t>ORD101102</t>
  </si>
  <si>
    <t>ORD101103</t>
  </si>
  <si>
    <t>ORD101104</t>
  </si>
  <si>
    <t>ORD101105</t>
  </si>
  <si>
    <t>ORD101106</t>
  </si>
  <si>
    <t>ORD101107</t>
  </si>
  <si>
    <t>ORD101108</t>
  </si>
  <si>
    <t>ORD101109</t>
  </si>
  <si>
    <t>ORD101110</t>
  </si>
  <si>
    <t>ORD101111</t>
  </si>
  <si>
    <t>ORD101112</t>
  </si>
  <si>
    <t>ORD101113</t>
  </si>
  <si>
    <t>ORD101114</t>
  </si>
  <si>
    <t>ORD101115</t>
  </si>
  <si>
    <t>ORD101116</t>
  </si>
  <si>
    <t>ORD101117</t>
  </si>
  <si>
    <t>ORD101118</t>
  </si>
  <si>
    <t>ORD101119</t>
  </si>
  <si>
    <t>ORD101120</t>
  </si>
  <si>
    <t>ORD101121</t>
  </si>
  <si>
    <t>ORD101122</t>
  </si>
  <si>
    <t>ORD101123</t>
  </si>
  <si>
    <t>ORD101124</t>
  </si>
  <si>
    <t>ORD101125</t>
  </si>
  <si>
    <t>ORD101126</t>
  </si>
  <si>
    <t>ORD101127</t>
  </si>
  <si>
    <t>ORD101128</t>
  </si>
  <si>
    <t>ORD101129</t>
  </si>
  <si>
    <t>ORD101130</t>
  </si>
  <si>
    <t>ORD101131</t>
  </si>
  <si>
    <t>ORD101132</t>
  </si>
  <si>
    <t>ORD101133</t>
  </si>
  <si>
    <t>ORD101134</t>
  </si>
  <si>
    <t>ORD101135</t>
  </si>
  <si>
    <t>ORD101136</t>
  </si>
  <si>
    <t>ORD101137</t>
  </si>
  <si>
    <t>ORD101138</t>
  </si>
  <si>
    <t>ORD101139</t>
  </si>
  <si>
    <t>ORD101140</t>
  </si>
  <si>
    <t>ORD101141</t>
  </si>
  <si>
    <t>ORD101142</t>
  </si>
  <si>
    <t>ORD101143</t>
  </si>
  <si>
    <t>ORD101144</t>
  </si>
  <si>
    <t>ORD101145</t>
  </si>
  <si>
    <t>ORD101146</t>
  </si>
  <si>
    <t>ORD101147</t>
  </si>
  <si>
    <t>ORD101148</t>
  </si>
  <si>
    <t>ORD101149</t>
  </si>
  <si>
    <t>ORD101150</t>
  </si>
  <si>
    <t>ORD101151</t>
  </si>
  <si>
    <t>ORD101152</t>
  </si>
  <si>
    <t>ORD101153</t>
  </si>
  <si>
    <t>ORD101154</t>
  </si>
  <si>
    <t>ORD101155</t>
  </si>
  <si>
    <t>ORD101156</t>
  </si>
  <si>
    <t>ORD101157</t>
  </si>
  <si>
    <t>ORD101158</t>
  </si>
  <si>
    <t>ORD101159</t>
  </si>
  <si>
    <t>ORD101160</t>
  </si>
  <si>
    <t>ORD101161</t>
  </si>
  <si>
    <t>ORD101162</t>
  </si>
  <si>
    <t>ORD101163</t>
  </si>
  <si>
    <t>ORD101164</t>
  </si>
  <si>
    <t>ORD101165</t>
  </si>
  <si>
    <t>ORD101166</t>
  </si>
  <si>
    <t>ORD101167</t>
  </si>
  <si>
    <t>ORD101168</t>
  </si>
  <si>
    <t>ORD101169</t>
  </si>
  <si>
    <t>ORD101170</t>
  </si>
  <si>
    <t>ORD101171</t>
  </si>
  <si>
    <t>ORD101172</t>
  </si>
  <si>
    <t>ORD101173</t>
  </si>
  <si>
    <t>ORD101174</t>
  </si>
  <si>
    <t>ORD101175</t>
  </si>
  <si>
    <t>ORD101176</t>
  </si>
  <si>
    <t>ORD101177</t>
  </si>
  <si>
    <t>ORD101178</t>
  </si>
  <si>
    <t>ORD101179</t>
  </si>
  <si>
    <t>ORD101180</t>
  </si>
  <si>
    <t>ORD101181</t>
  </si>
  <si>
    <t>ORD101182</t>
  </si>
  <si>
    <t>ORD101183</t>
  </si>
  <si>
    <t>ORD101184</t>
  </si>
  <si>
    <t>ORD101185</t>
  </si>
  <si>
    <t>ORD101186</t>
  </si>
  <si>
    <t>ORD101187</t>
  </si>
  <si>
    <t>ORD101188</t>
  </si>
  <si>
    <t>ORD101189</t>
  </si>
  <si>
    <t>ORD101190</t>
  </si>
  <si>
    <t>ORD101191</t>
  </si>
  <si>
    <t>ORD101192</t>
  </si>
  <si>
    <t>ORD101193</t>
  </si>
  <si>
    <t>ORD101194</t>
  </si>
  <si>
    <t>ORD101195</t>
  </si>
  <si>
    <t>ORD101196</t>
  </si>
  <si>
    <t>ORD101197</t>
  </si>
  <si>
    <t>ORD101198</t>
  </si>
  <si>
    <t>ORD101199</t>
  </si>
  <si>
    <t>ORD101200</t>
  </si>
  <si>
    <t>ORD101201</t>
  </si>
  <si>
    <t>ORD101202</t>
  </si>
  <si>
    <t>ORD101203</t>
  </si>
  <si>
    <t>ORD101204</t>
  </si>
  <si>
    <t>ORD101205</t>
  </si>
  <si>
    <t>ORD101206</t>
  </si>
  <si>
    <t>ORD101207</t>
  </si>
  <si>
    <t>ORD101208</t>
  </si>
  <si>
    <t>ORD101209</t>
  </si>
  <si>
    <t>ORD101210</t>
  </si>
  <si>
    <t>ORD101211</t>
  </si>
  <si>
    <t>ORD101212</t>
  </si>
  <si>
    <t>ORD101213</t>
  </si>
  <si>
    <t>ORD101214</t>
  </si>
  <si>
    <t>ORD101215</t>
  </si>
  <si>
    <t>ORD101216</t>
  </si>
  <si>
    <t>ORD101217</t>
  </si>
  <si>
    <t>ORD101218</t>
  </si>
  <si>
    <t>ORD101219</t>
  </si>
  <si>
    <t>ORD101220</t>
  </si>
  <si>
    <t>ORD101221</t>
  </si>
  <si>
    <t>ORD101222</t>
  </si>
  <si>
    <t>ORD101223</t>
  </si>
  <si>
    <t>ORD101224</t>
  </si>
  <si>
    <t>ORD101225</t>
  </si>
  <si>
    <t>ORD101226</t>
  </si>
  <si>
    <t>ORD101227</t>
  </si>
  <si>
    <t>ORD101228</t>
  </si>
  <si>
    <t>ORD101229</t>
  </si>
  <si>
    <t>ORD101230</t>
  </si>
  <si>
    <t>ORD101231</t>
  </si>
  <si>
    <t>ORD101232</t>
  </si>
  <si>
    <t>ORD101233</t>
  </si>
  <si>
    <t>ORD101234</t>
  </si>
  <si>
    <t>ORD101235</t>
  </si>
  <si>
    <t>ORD101236</t>
  </si>
  <si>
    <t>ORD101237</t>
  </si>
  <si>
    <t>ORD101238</t>
  </si>
  <si>
    <t>ORD101239</t>
  </si>
  <si>
    <t>ORD101240</t>
  </si>
  <si>
    <t>ORD101241</t>
  </si>
  <si>
    <t>ORD101242</t>
  </si>
  <si>
    <t>ORD101243</t>
  </si>
  <si>
    <t>ORD101244</t>
  </si>
  <si>
    <t>ORD101245</t>
  </si>
  <si>
    <t>ORD101246</t>
  </si>
  <si>
    <t>ORD101247</t>
  </si>
  <si>
    <t>ORD101248</t>
  </si>
  <si>
    <t>ORD101249</t>
  </si>
  <si>
    <t>ORD101250</t>
  </si>
  <si>
    <t>ORD101251</t>
  </si>
  <si>
    <t>ORD101252</t>
  </si>
  <si>
    <t>ORD101253</t>
  </si>
  <si>
    <t>ORD101254</t>
  </si>
  <si>
    <t>ORD101255</t>
  </si>
  <si>
    <t>ORD101256</t>
  </si>
  <si>
    <t>ORD101257</t>
  </si>
  <si>
    <t>ORD101258</t>
  </si>
  <si>
    <t>ORD101259</t>
  </si>
  <si>
    <t>ORD101260</t>
  </si>
  <si>
    <t>ORD101261</t>
  </si>
  <si>
    <t>ORD101262</t>
  </si>
  <si>
    <t>ORD101263</t>
  </si>
  <si>
    <t>ORD101264</t>
  </si>
  <si>
    <t>ORD101265</t>
  </si>
  <si>
    <t>ORD101266</t>
  </si>
  <si>
    <t>ORD101267</t>
  </si>
  <si>
    <t>ORD101268</t>
  </si>
  <si>
    <t>ORD101269</t>
  </si>
  <si>
    <t>ORD101270</t>
  </si>
  <si>
    <t>ORD101271</t>
  </si>
  <si>
    <t>ORD101272</t>
  </si>
  <si>
    <t>ORD101273</t>
  </si>
  <si>
    <t>ORD101274</t>
  </si>
  <si>
    <t>ORD101275</t>
  </si>
  <si>
    <t>ORD101276</t>
  </si>
  <si>
    <t>ORD101277</t>
  </si>
  <si>
    <t>ORD101278</t>
  </si>
  <si>
    <t>ORD101279</t>
  </si>
  <si>
    <t>ORD101280</t>
  </si>
  <si>
    <t>ORD101281</t>
  </si>
  <si>
    <t>ORD101282</t>
  </si>
  <si>
    <t>ORD101283</t>
  </si>
  <si>
    <t>ORD101284</t>
  </si>
  <si>
    <t>ORD101285</t>
  </si>
  <si>
    <t>ORD101286</t>
  </si>
  <si>
    <t>ORD101287</t>
  </si>
  <si>
    <t>ORD101288</t>
  </si>
  <si>
    <t>ORD101289</t>
  </si>
  <si>
    <t>ORD101290</t>
  </si>
  <si>
    <t>ORD101291</t>
  </si>
  <si>
    <t>ORD101292</t>
  </si>
  <si>
    <t>ORD101293</t>
  </si>
  <si>
    <t>ORD101294</t>
  </si>
  <si>
    <t>ORD101295</t>
  </si>
  <si>
    <t>ORD101296</t>
  </si>
  <si>
    <t>ORD101297</t>
  </si>
  <si>
    <t>ORD101298</t>
  </si>
  <si>
    <t>ORD101299</t>
  </si>
  <si>
    <t>ORD101300</t>
  </si>
  <si>
    <t>ORD101301</t>
  </si>
  <si>
    <t>ORD101302</t>
  </si>
  <si>
    <t>ORD101303</t>
  </si>
  <si>
    <t>ORD101304</t>
  </si>
  <si>
    <t>ORD101305</t>
  </si>
  <si>
    <t>ORD101306</t>
  </si>
  <si>
    <t>ORD101307</t>
  </si>
  <si>
    <t>ORD101308</t>
  </si>
  <si>
    <t>ORD101309</t>
  </si>
  <si>
    <t>ORD101310</t>
  </si>
  <si>
    <t>ORD101311</t>
  </si>
  <si>
    <t>ORD101312</t>
  </si>
  <si>
    <t>ORD101313</t>
  </si>
  <si>
    <t>ORD101314</t>
  </si>
  <si>
    <t>ORD101315</t>
  </si>
  <si>
    <t>ORD101316</t>
  </si>
  <si>
    <t>ORD101317</t>
  </si>
  <si>
    <t>ORD101318</t>
  </si>
  <si>
    <t>ORD101319</t>
  </si>
  <si>
    <t>ORD101320</t>
  </si>
  <si>
    <t>ORD101321</t>
  </si>
  <si>
    <t>ORD101322</t>
  </si>
  <si>
    <t>ORD101323</t>
  </si>
  <si>
    <t>ORD101324</t>
  </si>
  <si>
    <t>ORD101325</t>
  </si>
  <si>
    <t>ORD101326</t>
  </si>
  <si>
    <t>ORD101327</t>
  </si>
  <si>
    <t>ORD101328</t>
  </si>
  <si>
    <t>ORD101329</t>
  </si>
  <si>
    <t>ORD101330</t>
  </si>
  <si>
    <t>ORD101331</t>
  </si>
  <si>
    <t>ORD101332</t>
  </si>
  <si>
    <t>ORD101333</t>
  </si>
  <si>
    <t>ORD101334</t>
  </si>
  <si>
    <t>ORD101335</t>
  </si>
  <si>
    <t>ORD101336</t>
  </si>
  <si>
    <t>ORD101337</t>
  </si>
  <si>
    <t>ORD101338</t>
  </si>
  <si>
    <t>ORD101339</t>
  </si>
  <si>
    <t>ORD101340</t>
  </si>
  <si>
    <t>ORD101341</t>
  </si>
  <si>
    <t>ORD101342</t>
  </si>
  <si>
    <t>ORD101343</t>
  </si>
  <si>
    <t>ORD101344</t>
  </si>
  <si>
    <t>ORD101345</t>
  </si>
  <si>
    <t>ORD101346</t>
  </si>
  <si>
    <t>ORD101347</t>
  </si>
  <si>
    <t>ORD101348</t>
  </si>
  <si>
    <t>ORD101349</t>
  </si>
  <si>
    <t>ORD101350</t>
  </si>
  <si>
    <t>ORD101351</t>
  </si>
  <si>
    <t>ORD101352</t>
  </si>
  <si>
    <t>ORD101353</t>
  </si>
  <si>
    <t>ORD101354</t>
  </si>
  <si>
    <t>ORD101355</t>
  </si>
  <si>
    <t>ORD101356</t>
  </si>
  <si>
    <t>ORD101357</t>
  </si>
  <si>
    <t>ORD101358</t>
  </si>
  <si>
    <t>ORD101359</t>
  </si>
  <si>
    <t>ORD101360</t>
  </si>
  <si>
    <t>ORD101361</t>
  </si>
  <si>
    <t>ORD101362</t>
  </si>
  <si>
    <t>ORD101363</t>
  </si>
  <si>
    <t>ORD101364</t>
  </si>
  <si>
    <t>ORD101365</t>
  </si>
  <si>
    <t>ORD101366</t>
  </si>
  <si>
    <t>ORD101367</t>
  </si>
  <si>
    <t>ORD101368</t>
  </si>
  <si>
    <t>ORD101369</t>
  </si>
  <si>
    <t>ORD101370</t>
  </si>
  <si>
    <t>ORD101371</t>
  </si>
  <si>
    <t>ORD101372</t>
  </si>
  <si>
    <t>ORD101373</t>
  </si>
  <si>
    <t>ORD101374</t>
  </si>
  <si>
    <t>ORD101375</t>
  </si>
  <si>
    <t>ORD101376</t>
  </si>
  <si>
    <t>ORD101377</t>
  </si>
  <si>
    <t>ORD101378</t>
  </si>
  <si>
    <t>ORD101379</t>
  </si>
  <si>
    <t>ORD101380</t>
  </si>
  <si>
    <t>ORD101381</t>
  </si>
  <si>
    <t>ORD101382</t>
  </si>
  <si>
    <t>ORD101383</t>
  </si>
  <si>
    <t>ORD101384</t>
  </si>
  <si>
    <t>ORD101385</t>
  </si>
  <si>
    <t>ORD101386</t>
  </si>
  <si>
    <t>ORD101387</t>
  </si>
  <si>
    <t>ORD101388</t>
  </si>
  <si>
    <t>ORD101389</t>
  </si>
  <si>
    <t>ORD101390</t>
  </si>
  <si>
    <t>ORD101391</t>
  </si>
  <si>
    <t>ORD101392</t>
  </si>
  <si>
    <t>ORD101393</t>
  </si>
  <si>
    <t>ORD101394</t>
  </si>
  <si>
    <t>ORD101395</t>
  </si>
  <si>
    <t>ORD101396</t>
  </si>
  <si>
    <t>ORD101397</t>
  </si>
  <si>
    <t>ORD101398</t>
  </si>
  <si>
    <t>ORD101399</t>
  </si>
  <si>
    <t>ORD101400</t>
  </si>
  <si>
    <t>ORD101401</t>
  </si>
  <si>
    <t>ORD101402</t>
  </si>
  <si>
    <t>ORD101403</t>
  </si>
  <si>
    <t>ORD101404</t>
  </si>
  <si>
    <t>ORD101405</t>
  </si>
  <si>
    <t>ORD101406</t>
  </si>
  <si>
    <t>ORD101407</t>
  </si>
  <si>
    <t>ORD101408</t>
  </si>
  <si>
    <t>ORD101409</t>
  </si>
  <si>
    <t>ORD101410</t>
  </si>
  <si>
    <t>ORD101411</t>
  </si>
  <si>
    <t>ORD101412</t>
  </si>
  <si>
    <t>ORD101413</t>
  </si>
  <si>
    <t>ORD101414</t>
  </si>
  <si>
    <t>ORD101415</t>
  </si>
  <si>
    <t>ORD101416</t>
  </si>
  <si>
    <t>ORD101417</t>
  </si>
  <si>
    <t>ORD101418</t>
  </si>
  <si>
    <t>ORD101419</t>
  </si>
  <si>
    <t>ORD101420</t>
  </si>
  <si>
    <t>ORD101421</t>
  </si>
  <si>
    <t>ORD101422</t>
  </si>
  <si>
    <t>ORD101423</t>
  </si>
  <si>
    <t>ORD101424</t>
  </si>
  <si>
    <t>ORD101425</t>
  </si>
  <si>
    <t>ORD101426</t>
  </si>
  <si>
    <t>ORD101427</t>
  </si>
  <si>
    <t>ORD101428</t>
  </si>
  <si>
    <t>ORD101429</t>
  </si>
  <si>
    <t>ORD101430</t>
  </si>
  <si>
    <t>ORD101431</t>
  </si>
  <si>
    <t>ORD101432</t>
  </si>
  <si>
    <t>ORD101433</t>
  </si>
  <si>
    <t>ORD101434</t>
  </si>
  <si>
    <t>ORD101435</t>
  </si>
  <si>
    <t>ORD101436</t>
  </si>
  <si>
    <t>ORD101437</t>
  </si>
  <si>
    <t>ORD101438</t>
  </si>
  <si>
    <t>ORD101439</t>
  </si>
  <si>
    <t>ORD101440</t>
  </si>
  <si>
    <t>ORD101441</t>
  </si>
  <si>
    <t>ORD101442</t>
  </si>
  <si>
    <t>ORD101443</t>
  </si>
  <si>
    <t>ORD101444</t>
  </si>
  <si>
    <t>ORD101445</t>
  </si>
  <si>
    <t>ORD101446</t>
  </si>
  <si>
    <t>ORD101447</t>
  </si>
  <si>
    <t>ORD101448</t>
  </si>
  <si>
    <t>ORD101449</t>
  </si>
  <si>
    <t>ORD101450</t>
  </si>
  <si>
    <t>ORD101451</t>
  </si>
  <si>
    <t>ORD101452</t>
  </si>
  <si>
    <t>ORD101453</t>
  </si>
  <si>
    <t>ORD101454</t>
  </si>
  <si>
    <t>ORD101455</t>
  </si>
  <si>
    <t>ORD101456</t>
  </si>
  <si>
    <t>ORD101457</t>
  </si>
  <si>
    <t>ORD101458</t>
  </si>
  <si>
    <t>ORD101459</t>
  </si>
  <si>
    <t>ORD101460</t>
  </si>
  <si>
    <t>ORD101461</t>
  </si>
  <si>
    <t>ORD101462</t>
  </si>
  <si>
    <t>ORD101463</t>
  </si>
  <si>
    <t>ORD101464</t>
  </si>
  <si>
    <t>ORD101465</t>
  </si>
  <si>
    <t>ORD101466</t>
  </si>
  <si>
    <t>ORD101467</t>
  </si>
  <si>
    <t>ORD101468</t>
  </si>
  <si>
    <t>ORD101469</t>
  </si>
  <si>
    <t>ORD101470</t>
  </si>
  <si>
    <t>ORD101471</t>
  </si>
  <si>
    <t>ORD101472</t>
  </si>
  <si>
    <t>ORD101473</t>
  </si>
  <si>
    <t>ORD101474</t>
  </si>
  <si>
    <t>ORD101475</t>
  </si>
  <si>
    <t>ORD101476</t>
  </si>
  <si>
    <t>ORD101477</t>
  </si>
  <si>
    <t>ORD101478</t>
  </si>
  <si>
    <t>ORD101479</t>
  </si>
  <si>
    <t>ORD101480</t>
  </si>
  <si>
    <t>ORD101481</t>
  </si>
  <si>
    <t>ORD101482</t>
  </si>
  <si>
    <t>ORD101483</t>
  </si>
  <si>
    <t>ORD101484</t>
  </si>
  <si>
    <t>ORD101485</t>
  </si>
  <si>
    <t>ORD101486</t>
  </si>
  <si>
    <t>ORD101487</t>
  </si>
  <si>
    <t>ORD101488</t>
  </si>
  <si>
    <t>ORD101489</t>
  </si>
  <si>
    <t>ORD101490</t>
  </si>
  <si>
    <t>ORD101491</t>
  </si>
  <si>
    <t>ORD101492</t>
  </si>
  <si>
    <t>ORD101493</t>
  </si>
  <si>
    <t>ORD101494</t>
  </si>
  <si>
    <t>ORD101495</t>
  </si>
  <si>
    <t>ORD101496</t>
  </si>
  <si>
    <t>ORD101497</t>
  </si>
  <si>
    <t>ORD101498</t>
  </si>
  <si>
    <t>ORD101499</t>
  </si>
  <si>
    <t>ORD101500</t>
  </si>
  <si>
    <t>ORD101501</t>
  </si>
  <si>
    <t>ORD101502</t>
  </si>
  <si>
    <t>ORD101503</t>
  </si>
  <si>
    <t>ORD101504</t>
  </si>
  <si>
    <t>ORD101505</t>
  </si>
  <si>
    <t>ORD101506</t>
  </si>
  <si>
    <t>ORD101507</t>
  </si>
  <si>
    <t>ORD101508</t>
  </si>
  <si>
    <t>ORD101509</t>
  </si>
  <si>
    <t>ORD101510</t>
  </si>
  <si>
    <t>ORD101511</t>
  </si>
  <si>
    <t>ORD101512</t>
  </si>
  <si>
    <t>ORD101513</t>
  </si>
  <si>
    <t>ORD101514</t>
  </si>
  <si>
    <t>ORD101515</t>
  </si>
  <si>
    <t>ORD101516</t>
  </si>
  <si>
    <t>ORD101517</t>
  </si>
  <si>
    <t>ORD101518</t>
  </si>
  <si>
    <t>ORD101519</t>
  </si>
  <si>
    <t>ORD101520</t>
  </si>
  <si>
    <t>ORD101521</t>
  </si>
  <si>
    <t>ORD101522</t>
  </si>
  <si>
    <t>ORD101523</t>
  </si>
  <si>
    <t>ORD101524</t>
  </si>
  <si>
    <t>ORD101525</t>
  </si>
  <si>
    <t>ORD101526</t>
  </si>
  <si>
    <t>ORD101527</t>
  </si>
  <si>
    <t>ORD101528</t>
  </si>
  <si>
    <t>ORD101529</t>
  </si>
  <si>
    <t>ORD101530</t>
  </si>
  <si>
    <t>ORD101531</t>
  </si>
  <si>
    <t>ORD101532</t>
  </si>
  <si>
    <t>ORD101533</t>
  </si>
  <si>
    <t>ORD101534</t>
  </si>
  <si>
    <t>ORD101535</t>
  </si>
  <si>
    <t>ORD101536</t>
  </si>
  <si>
    <t>ORD101537</t>
  </si>
  <si>
    <t>ORD101538</t>
  </si>
  <si>
    <t>ORD101539</t>
  </si>
  <si>
    <t>ORD101540</t>
  </si>
  <si>
    <t>ORD101541</t>
  </si>
  <si>
    <t>ORD101542</t>
  </si>
  <si>
    <t>ORD101543</t>
  </si>
  <si>
    <t>ORD101544</t>
  </si>
  <si>
    <t>ORD101545</t>
  </si>
  <si>
    <t>ORD101546</t>
  </si>
  <si>
    <t>ORD101547</t>
  </si>
  <si>
    <t>ORD101548</t>
  </si>
  <si>
    <t>ORD101549</t>
  </si>
  <si>
    <t>ORD101550</t>
  </si>
  <si>
    <t>ORD101551</t>
  </si>
  <si>
    <t>ORD101552</t>
  </si>
  <si>
    <t>ORD101553</t>
  </si>
  <si>
    <t>ORD101554</t>
  </si>
  <si>
    <t>ORD101555</t>
  </si>
  <si>
    <t>ORD101556</t>
  </si>
  <si>
    <t>ORD101557</t>
  </si>
  <si>
    <t>ORD101558</t>
  </si>
  <si>
    <t>ORD101559</t>
  </si>
  <si>
    <t>ORD101560</t>
  </si>
  <si>
    <t>ORD101561</t>
  </si>
  <si>
    <t>ORD101562</t>
  </si>
  <si>
    <t>ORD101563</t>
  </si>
  <si>
    <t>ORD101564</t>
  </si>
  <si>
    <t>ORD101565</t>
  </si>
  <si>
    <t>ORD101566</t>
  </si>
  <si>
    <t>ORD101567</t>
  </si>
  <si>
    <t>ORD101568</t>
  </si>
  <si>
    <t>ORD101569</t>
  </si>
  <si>
    <t>ORD101570</t>
  </si>
  <si>
    <t>ORD101571</t>
  </si>
  <si>
    <t>ORD101572</t>
  </si>
  <si>
    <t>ORD101573</t>
  </si>
  <si>
    <t>ORD101574</t>
  </si>
  <si>
    <t>ORD101575</t>
  </si>
  <si>
    <t>ORD101576</t>
  </si>
  <si>
    <t>ORD101577</t>
  </si>
  <si>
    <t>ORD101578</t>
  </si>
  <si>
    <t>ORD101579</t>
  </si>
  <si>
    <t>ORD101580</t>
  </si>
  <si>
    <t>ORD101581</t>
  </si>
  <si>
    <t>ORD101582</t>
  </si>
  <si>
    <t>ORD101583</t>
  </si>
  <si>
    <t>ORD101584</t>
  </si>
  <si>
    <t>ORD101585</t>
  </si>
  <si>
    <t>ORD101586</t>
  </si>
  <si>
    <t>ORD101587</t>
  </si>
  <si>
    <t>ORD101588</t>
  </si>
  <si>
    <t>ORD101589</t>
  </si>
  <si>
    <t>ORD101590</t>
  </si>
  <si>
    <t>ORD101591</t>
  </si>
  <si>
    <t>ORD101592</t>
  </si>
  <si>
    <t>ORD101593</t>
  </si>
  <si>
    <t>ORD101594</t>
  </si>
  <si>
    <t>ORD101595</t>
  </si>
  <si>
    <t>ORD101596</t>
  </si>
  <si>
    <t>ORD101597</t>
  </si>
  <si>
    <t>ORD101598</t>
  </si>
  <si>
    <t>ORD101599</t>
  </si>
  <si>
    <t>ORD101600</t>
  </si>
  <si>
    <t>ORD101601</t>
  </si>
  <si>
    <t>ORD101602</t>
  </si>
  <si>
    <t>ORD101603</t>
  </si>
  <si>
    <t>ORD101604</t>
  </si>
  <si>
    <t>ORD101605</t>
  </si>
  <si>
    <t>ORD101606</t>
  </si>
  <si>
    <t>ORD101607</t>
  </si>
  <si>
    <t>ORD101608</t>
  </si>
  <si>
    <t>ORD101609</t>
  </si>
  <si>
    <t>ORD101610</t>
  </si>
  <si>
    <t>ORD101611</t>
  </si>
  <si>
    <t>ORD101612</t>
  </si>
  <si>
    <t>ORD101613</t>
  </si>
  <si>
    <t>ORD101614</t>
  </si>
  <si>
    <t>ORD101615</t>
  </si>
  <si>
    <t>ORD101616</t>
  </si>
  <si>
    <t>ORD101617</t>
  </si>
  <si>
    <t>ORD101618</t>
  </si>
  <si>
    <t>ORD101619</t>
  </si>
  <si>
    <t>ORD101620</t>
  </si>
  <si>
    <t>ORD101621</t>
  </si>
  <si>
    <t>ORD101622</t>
  </si>
  <si>
    <t>ORD101623</t>
  </si>
  <si>
    <t>ORD101624</t>
  </si>
  <si>
    <t>ORD101625</t>
  </si>
  <si>
    <t>ORD101626</t>
  </si>
  <si>
    <t>ORD101627</t>
  </si>
  <si>
    <t>ORD101628</t>
  </si>
  <si>
    <t>ORD101629</t>
  </si>
  <si>
    <t>ORD101630</t>
  </si>
  <si>
    <t>ORD101631</t>
  </si>
  <si>
    <t>ORD101632</t>
  </si>
  <si>
    <t>ORD101633</t>
  </si>
  <si>
    <t>ORD101634</t>
  </si>
  <si>
    <t>ORD101635</t>
  </si>
  <si>
    <t>ORD101636</t>
  </si>
  <si>
    <t>ORD101637</t>
  </si>
  <si>
    <t>ORD101638</t>
  </si>
  <si>
    <t>ORD101639</t>
  </si>
  <si>
    <t>ORD101640</t>
  </si>
  <si>
    <t>ORD101641</t>
  </si>
  <si>
    <t>ORD101642</t>
  </si>
  <si>
    <t>ORD101643</t>
  </si>
  <si>
    <t>ORD101644</t>
  </si>
  <si>
    <t>ORD101645</t>
  </si>
  <si>
    <t>ORD101646</t>
  </si>
  <si>
    <t>ORD101647</t>
  </si>
  <si>
    <t>ORD101648</t>
  </si>
  <si>
    <t>ORD101649</t>
  </si>
  <si>
    <t>ORD101650</t>
  </si>
  <si>
    <t>ORD101651</t>
  </si>
  <si>
    <t>ORD101652</t>
  </si>
  <si>
    <t>ORD101653</t>
  </si>
  <si>
    <t>ORD101654</t>
  </si>
  <si>
    <t>ORD101655</t>
  </si>
  <si>
    <t>ORD101656</t>
  </si>
  <si>
    <t>ORD101657</t>
  </si>
  <si>
    <t>ORD101658</t>
  </si>
  <si>
    <t>ORD101659</t>
  </si>
  <si>
    <t>ORD101660</t>
  </si>
  <si>
    <t>ORD101661</t>
  </si>
  <si>
    <t>ORD101662</t>
  </si>
  <si>
    <t>ORD101663</t>
  </si>
  <si>
    <t>ORD101664</t>
  </si>
  <si>
    <t>ORD101665</t>
  </si>
  <si>
    <t>ORD101666</t>
  </si>
  <si>
    <t>ORD101667</t>
  </si>
  <si>
    <t>ORD101668</t>
  </si>
  <si>
    <t>ORD101669</t>
  </si>
  <si>
    <t>ORD101670</t>
  </si>
  <si>
    <t>ORD101671</t>
  </si>
  <si>
    <t>ORD101672</t>
  </si>
  <si>
    <t>ORD101673</t>
  </si>
  <si>
    <t>ORD101674</t>
  </si>
  <si>
    <t>ORD101675</t>
  </si>
  <si>
    <t>ORD101676</t>
  </si>
  <si>
    <t>ORD101677</t>
  </si>
  <si>
    <t>ORD101678</t>
  </si>
  <si>
    <t>ORD101679</t>
  </si>
  <si>
    <t>ORD101680</t>
  </si>
  <si>
    <t>ORD101681</t>
  </si>
  <si>
    <t>ORD101682</t>
  </si>
  <si>
    <t>ORD101683</t>
  </si>
  <si>
    <t>ORD101684</t>
  </si>
  <si>
    <t>ORD101685</t>
  </si>
  <si>
    <t>ORD101686</t>
  </si>
  <si>
    <t>ORD101687</t>
  </si>
  <si>
    <t>ORD101688</t>
  </si>
  <si>
    <t>ORD101689</t>
  </si>
  <si>
    <t>ORD101690</t>
  </si>
  <si>
    <t>ORD101691</t>
  </si>
  <si>
    <t>ORD101692</t>
  </si>
  <si>
    <t>ORD101693</t>
  </si>
  <si>
    <t>ORD101694</t>
  </si>
  <si>
    <t>ORD101695</t>
  </si>
  <si>
    <t>ORD101696</t>
  </si>
  <si>
    <t>ORD101697</t>
  </si>
  <si>
    <t>ORD101698</t>
  </si>
  <si>
    <t>ORD101699</t>
  </si>
  <si>
    <t>ORD101700</t>
  </si>
  <si>
    <t>ORD101701</t>
  </si>
  <si>
    <t>ORD101702</t>
  </si>
  <si>
    <t>ORD101703</t>
  </si>
  <si>
    <t>ORD101704</t>
  </si>
  <si>
    <t>ORD101705</t>
  </si>
  <si>
    <t>ORD101706</t>
  </si>
  <si>
    <t>ORD101707</t>
  </si>
  <si>
    <t>ORD101708</t>
  </si>
  <si>
    <t>ORD101709</t>
  </si>
  <si>
    <t>ORD101710</t>
  </si>
  <si>
    <t>ORD101711</t>
  </si>
  <si>
    <t>ORD101712</t>
  </si>
  <si>
    <t>ORD101713</t>
  </si>
  <si>
    <t>ORD101714</t>
  </si>
  <si>
    <t>ORD101715</t>
  </si>
  <si>
    <t>ORD101716</t>
  </si>
  <si>
    <t>ORD101717</t>
  </si>
  <si>
    <t>ORD101718</t>
  </si>
  <si>
    <t>ORD101719</t>
  </si>
  <si>
    <t>ORD101720</t>
  </si>
  <si>
    <t>ORD101721</t>
  </si>
  <si>
    <t>ORD101722</t>
  </si>
  <si>
    <t>ORD101723</t>
  </si>
  <si>
    <t>ORD101724</t>
  </si>
  <si>
    <t>ORD101725</t>
  </si>
  <si>
    <t>ORD101726</t>
  </si>
  <si>
    <t>ORD101727</t>
  </si>
  <si>
    <t>ORD101728</t>
  </si>
  <si>
    <t>ORD101729</t>
  </si>
  <si>
    <t>ORD101730</t>
  </si>
  <si>
    <t>ORD101731</t>
  </si>
  <si>
    <t>ORD101732</t>
  </si>
  <si>
    <t>ORD101733</t>
  </si>
  <si>
    <t>ORD101734</t>
  </si>
  <si>
    <t>ORD101735</t>
  </si>
  <si>
    <t>ORD101736</t>
  </si>
  <si>
    <t>ORD101737</t>
  </si>
  <si>
    <t>ORD101738</t>
  </si>
  <si>
    <t>ORD101739</t>
  </si>
  <si>
    <t>ORD101740</t>
  </si>
  <si>
    <t>ORD101741</t>
  </si>
  <si>
    <t>ORD101742</t>
  </si>
  <si>
    <t>ORD101743</t>
  </si>
  <si>
    <t>ORD101744</t>
  </si>
  <si>
    <t>ORD101745</t>
  </si>
  <si>
    <t>ORD101746</t>
  </si>
  <si>
    <t>ORD101747</t>
  </si>
  <si>
    <t>ORD101748</t>
  </si>
  <si>
    <t>ORD101749</t>
  </si>
  <si>
    <t>ORD101750</t>
  </si>
  <si>
    <t>ORD101751</t>
  </si>
  <si>
    <t>ORD101752</t>
  </si>
  <si>
    <t>ORD101753</t>
  </si>
  <si>
    <t>ORD101754</t>
  </si>
  <si>
    <t>ORD101755</t>
  </si>
  <si>
    <t>ORD101756</t>
  </si>
  <si>
    <t>ORD101757</t>
  </si>
  <si>
    <t>ORD101758</t>
  </si>
  <si>
    <t>ORD101759</t>
  </si>
  <si>
    <t>ORD101760</t>
  </si>
  <si>
    <t>ORD101761</t>
  </si>
  <si>
    <t>ORD101762</t>
  </si>
  <si>
    <t>ORD101763</t>
  </si>
  <si>
    <t>ORD101764</t>
  </si>
  <si>
    <t>ORD101765</t>
  </si>
  <si>
    <t>ORD101766</t>
  </si>
  <si>
    <t>ORD101767</t>
  </si>
  <si>
    <t>ORD101768</t>
  </si>
  <si>
    <t>ORD101769</t>
  </si>
  <si>
    <t>ORD101770</t>
  </si>
  <si>
    <t>ORD101771</t>
  </si>
  <si>
    <t>ORD101772</t>
  </si>
  <si>
    <t>ORD101773</t>
  </si>
  <si>
    <t>ORD101774</t>
  </si>
  <si>
    <t>ORD101775</t>
  </si>
  <si>
    <t>ORD101776</t>
  </si>
  <si>
    <t>ORD101777</t>
  </si>
  <si>
    <t>ORD101778</t>
  </si>
  <si>
    <t>ORD101779</t>
  </si>
  <si>
    <t>ORD101780</t>
  </si>
  <si>
    <t>ORD101781</t>
  </si>
  <si>
    <t>ORD101782</t>
  </si>
  <si>
    <t>ORD101783</t>
  </si>
  <si>
    <t>ORD101784</t>
  </si>
  <si>
    <t>ORD101785</t>
  </si>
  <si>
    <t>ORD101786</t>
  </si>
  <si>
    <t>ORD101787</t>
  </si>
  <si>
    <t>ORD101788</t>
  </si>
  <si>
    <t>ORD101789</t>
  </si>
  <si>
    <t>ORD101790</t>
  </si>
  <si>
    <t>ORD101791</t>
  </si>
  <si>
    <t>ORD101792</t>
  </si>
  <si>
    <t>ORD101793</t>
  </si>
  <si>
    <t>ORD101794</t>
  </si>
  <si>
    <t>ORD101795</t>
  </si>
  <si>
    <t>ORD101796</t>
  </si>
  <si>
    <t>ORD101797</t>
  </si>
  <si>
    <t>ORD101798</t>
  </si>
  <si>
    <t>ORD101799</t>
  </si>
  <si>
    <t>ORD101800</t>
  </si>
  <si>
    <t>ORD101801</t>
  </si>
  <si>
    <t>ORD101802</t>
  </si>
  <si>
    <t>ORD101803</t>
  </si>
  <si>
    <t>ORD101804</t>
  </si>
  <si>
    <t>ORD101805</t>
  </si>
  <si>
    <t>ORD101806</t>
  </si>
  <si>
    <t>ORD101807</t>
  </si>
  <si>
    <t>ORD101808</t>
  </si>
  <si>
    <t>ORD101809</t>
  </si>
  <si>
    <t>ORD101810</t>
  </si>
  <si>
    <t>ORD101811</t>
  </si>
  <si>
    <t>ORD101812</t>
  </si>
  <si>
    <t>ORD101813</t>
  </si>
  <si>
    <t>ORD101814</t>
  </si>
  <si>
    <t>ORD101815</t>
  </si>
  <si>
    <t>ORD101816</t>
  </si>
  <si>
    <t>ORD101817</t>
  </si>
  <si>
    <t>ORD101818</t>
  </si>
  <si>
    <t>ORD101819</t>
  </si>
  <si>
    <t>ORD101820</t>
  </si>
  <si>
    <t>ORD101821</t>
  </si>
  <si>
    <t>ORD101822</t>
  </si>
  <si>
    <t>ORD101823</t>
  </si>
  <si>
    <t>ORD101824</t>
  </si>
  <si>
    <t>ORD101825</t>
  </si>
  <si>
    <t>ORD101826</t>
  </si>
  <si>
    <t>ORD101827</t>
  </si>
  <si>
    <t>ORD101828</t>
  </si>
  <si>
    <t>ORD101829</t>
  </si>
  <si>
    <t>ORD101830</t>
  </si>
  <si>
    <t>ORD101831</t>
  </si>
  <si>
    <t>ORD101832</t>
  </si>
  <si>
    <t>ORD101833</t>
  </si>
  <si>
    <t>ORD101834</t>
  </si>
  <si>
    <t>ORD101835</t>
  </si>
  <si>
    <t>ORD101836</t>
  </si>
  <si>
    <t>ORD101837</t>
  </si>
  <si>
    <t>ORD101838</t>
  </si>
  <si>
    <t>ORD101839</t>
  </si>
  <si>
    <t>ORD101840</t>
  </si>
  <si>
    <t>ORD101841</t>
  </si>
  <si>
    <t>ORD101842</t>
  </si>
  <si>
    <t>ORD101843</t>
  </si>
  <si>
    <t>ORD101844</t>
  </si>
  <si>
    <t>ORD101845</t>
  </si>
  <si>
    <t>ORD101846</t>
  </si>
  <si>
    <t>ORD101847</t>
  </si>
  <si>
    <t>ORD101848</t>
  </si>
  <si>
    <t>ORD101849</t>
  </si>
  <si>
    <t>ORD101850</t>
  </si>
  <si>
    <t>ORD101851</t>
  </si>
  <si>
    <t>ORD101852</t>
  </si>
  <si>
    <t>ORD101853</t>
  </si>
  <si>
    <t>ORD101854</t>
  </si>
  <si>
    <t>ORD101855</t>
  </si>
  <si>
    <t>ORD101856</t>
  </si>
  <si>
    <t>ORD101857</t>
  </si>
  <si>
    <t>ORD101858</t>
  </si>
  <si>
    <t>ORD101859</t>
  </si>
  <si>
    <t>ORD101860</t>
  </si>
  <si>
    <t>ORD101861</t>
  </si>
  <si>
    <t>ORD101862</t>
  </si>
  <si>
    <t>ORD101863</t>
  </si>
  <si>
    <t>ORD101864</t>
  </si>
  <si>
    <t>ORD101865</t>
  </si>
  <si>
    <t>ORD101866</t>
  </si>
  <si>
    <t>ORD101867</t>
  </si>
  <si>
    <t>ORD101868</t>
  </si>
  <si>
    <t>ORD101869</t>
  </si>
  <si>
    <t>ORD101870</t>
  </si>
  <si>
    <t>ORD101871</t>
  </si>
  <si>
    <t>ORD101872</t>
  </si>
  <si>
    <t>ORD101873</t>
  </si>
  <si>
    <t>ORD101874</t>
  </si>
  <si>
    <t>ORD101875</t>
  </si>
  <si>
    <t>ORD101876</t>
  </si>
  <si>
    <t>ORD101877</t>
  </si>
  <si>
    <t>ORD101878</t>
  </si>
  <si>
    <t>ORD101879</t>
  </si>
  <si>
    <t>ORD101880</t>
  </si>
  <si>
    <t>ORD101881</t>
  </si>
  <si>
    <t>ORD101882</t>
  </si>
  <si>
    <t>ORD101883</t>
  </si>
  <si>
    <t>ORD101884</t>
  </si>
  <si>
    <t>ORD101885</t>
  </si>
  <si>
    <t>ORD101886</t>
  </si>
  <si>
    <t>ORD101887</t>
  </si>
  <si>
    <t>ORD101888</t>
  </si>
  <si>
    <t>ORD101889</t>
  </si>
  <si>
    <t>ORD101890</t>
  </si>
  <si>
    <t>ORD101891</t>
  </si>
  <si>
    <t>ORD101892</t>
  </si>
  <si>
    <t>ORD101893</t>
  </si>
  <si>
    <t>ORD101894</t>
  </si>
  <si>
    <t>ORD101895</t>
  </si>
  <si>
    <t>ORD101896</t>
  </si>
  <si>
    <t>ORD101897</t>
  </si>
  <si>
    <t>ORD101898</t>
  </si>
  <si>
    <t>ORD101899</t>
  </si>
  <si>
    <t>ORD101900</t>
  </si>
  <si>
    <t>ORD101901</t>
  </si>
  <si>
    <t>ORD101902</t>
  </si>
  <si>
    <t>ORD101903</t>
  </si>
  <si>
    <t>ORD101904</t>
  </si>
  <si>
    <t>ORD101905</t>
  </si>
  <si>
    <t>ORD101906</t>
  </si>
  <si>
    <t>ORD101907</t>
  </si>
  <si>
    <t>ORD101908</t>
  </si>
  <si>
    <t>ORD101909</t>
  </si>
  <si>
    <t>ORD101910</t>
  </si>
  <si>
    <t>ORD101911</t>
  </si>
  <si>
    <t>ORD101912</t>
  </si>
  <si>
    <t>ORD101913</t>
  </si>
  <si>
    <t>ORD101914</t>
  </si>
  <si>
    <t>ORD101915</t>
  </si>
  <si>
    <t>ORD101916</t>
  </si>
  <si>
    <t>ORD101917</t>
  </si>
  <si>
    <t>ORD101918</t>
  </si>
  <si>
    <t>ORD101919</t>
  </si>
  <si>
    <t>ORD101920</t>
  </si>
  <si>
    <t>ORD101921</t>
  </si>
  <si>
    <t>ORD101922</t>
  </si>
  <si>
    <t>ORD101923</t>
  </si>
  <si>
    <t>ORD101924</t>
  </si>
  <si>
    <t>ORD101925</t>
  </si>
  <si>
    <t>ORD101926</t>
  </si>
  <si>
    <t>ORD101927</t>
  </si>
  <si>
    <t>ORD101928</t>
  </si>
  <si>
    <t>ORD101929</t>
  </si>
  <si>
    <t>ORD101930</t>
  </si>
  <si>
    <t>ORD101931</t>
  </si>
  <si>
    <t>ORD101932</t>
  </si>
  <si>
    <t>ORD101933</t>
  </si>
  <si>
    <t>ORD101934</t>
  </si>
  <si>
    <t>ORD101935</t>
  </si>
  <si>
    <t>ORD101936</t>
  </si>
  <si>
    <t>ORD101937</t>
  </si>
  <si>
    <t>ORD101938</t>
  </si>
  <si>
    <t>ORD101939</t>
  </si>
  <si>
    <t>ORD101940</t>
  </si>
  <si>
    <t>ORD101941</t>
  </si>
  <si>
    <t>ORD101942</t>
  </si>
  <si>
    <t>ORD101943</t>
  </si>
  <si>
    <t>ORD101944</t>
  </si>
  <si>
    <t>ORD101945</t>
  </si>
  <si>
    <t>ORD101946</t>
  </si>
  <si>
    <t>ORD101947</t>
  </si>
  <si>
    <t>ORD101948</t>
  </si>
  <si>
    <t>ORD101949</t>
  </si>
  <si>
    <t>ORD101950</t>
  </si>
  <si>
    <t>ORD101951</t>
  </si>
  <si>
    <t>ORD101952</t>
  </si>
  <si>
    <t>ORD101953</t>
  </si>
  <si>
    <t>ORD101954</t>
  </si>
  <si>
    <t>ORD101955</t>
  </si>
  <si>
    <t>ORD101956</t>
  </si>
  <si>
    <t>ORD101957</t>
  </si>
  <si>
    <t>ORD101958</t>
  </si>
  <si>
    <t>ORD101959</t>
  </si>
  <si>
    <t>ORD101960</t>
  </si>
  <si>
    <t>ORD101961</t>
  </si>
  <si>
    <t>ORD101962</t>
  </si>
  <si>
    <t>ORD101963</t>
  </si>
  <si>
    <t>ORD101964</t>
  </si>
  <si>
    <t>ORD101965</t>
  </si>
  <si>
    <t>ORD101966</t>
  </si>
  <si>
    <t>ORD101967</t>
  </si>
  <si>
    <t>ORD101968</t>
  </si>
  <si>
    <t>ORD101969</t>
  </si>
  <si>
    <t>ORD101970</t>
  </si>
  <si>
    <t>ORD101971</t>
  </si>
  <si>
    <t>ORD101972</t>
  </si>
  <si>
    <t>ORD101973</t>
  </si>
  <si>
    <t>ORD101974</t>
  </si>
  <si>
    <t>ORD101975</t>
  </si>
  <si>
    <t>ORD101976</t>
  </si>
  <si>
    <t>ORD101977</t>
  </si>
  <si>
    <t>ORD101978</t>
  </si>
  <si>
    <t>ORD101979</t>
  </si>
  <si>
    <t>ORD101980</t>
  </si>
  <si>
    <t>ORD101981</t>
  </si>
  <si>
    <t>ORD101982</t>
  </si>
  <si>
    <t>ORD101983</t>
  </si>
  <si>
    <t>ORD101984</t>
  </si>
  <si>
    <t>ORD101985</t>
  </si>
  <si>
    <t>ORD101986</t>
  </si>
  <si>
    <t>ORD101987</t>
  </si>
  <si>
    <t>ORD101988</t>
  </si>
  <si>
    <t>ORD101989</t>
  </si>
  <si>
    <t>ORD101990</t>
  </si>
  <si>
    <t>ORD101991</t>
  </si>
  <si>
    <t>ORD101992</t>
  </si>
  <si>
    <t>ORD101993</t>
  </si>
  <si>
    <t>ORD101994</t>
  </si>
  <si>
    <t>ORD101995</t>
  </si>
  <si>
    <t>ORD101996</t>
  </si>
  <si>
    <t>ORD101997</t>
  </si>
  <si>
    <t>ORD101998</t>
  </si>
  <si>
    <t>ORD101999</t>
  </si>
  <si>
    <t>ORD102000</t>
  </si>
  <si>
    <t>Uttar Pradesh</t>
  </si>
  <si>
    <t>Madhya Pradesh</t>
  </si>
  <si>
    <t>Gujarat</t>
  </si>
  <si>
    <t>Haryana</t>
  </si>
  <si>
    <t>Andhra Pradesh</t>
  </si>
  <si>
    <t>Odisha</t>
  </si>
  <si>
    <t>Tamil Nadu</t>
  </si>
  <si>
    <t>Telangana</t>
  </si>
  <si>
    <t>Rajasthan</t>
  </si>
  <si>
    <t>Karnataka</t>
  </si>
  <si>
    <t>Punjab</t>
  </si>
  <si>
    <t>Kerala</t>
  </si>
  <si>
    <t>Maharashtra</t>
  </si>
  <si>
    <t>West Bengal</t>
  </si>
  <si>
    <t>Delhi</t>
  </si>
  <si>
    <t>Bengaluru</t>
  </si>
  <si>
    <t>Mumbai</t>
  </si>
  <si>
    <t>Chennai</t>
  </si>
  <si>
    <t>Kochi</t>
  </si>
  <si>
    <t>Hyderabad</t>
  </si>
  <si>
    <t>Vijayawada</t>
  </si>
  <si>
    <t>Ahmedabad</t>
  </si>
  <si>
    <t>Jaipur</t>
  </si>
  <si>
    <t>New Delhi</t>
  </si>
  <si>
    <t>Kolkata</t>
  </si>
  <si>
    <t>Lucknow</t>
  </si>
  <si>
    <t>Indore</t>
  </si>
  <si>
    <t>Bhubaneswar</t>
  </si>
  <si>
    <t>Chandigarh</t>
  </si>
  <si>
    <t>Gurugram</t>
  </si>
  <si>
    <t>East</t>
  </si>
  <si>
    <t>Central</t>
  </si>
  <si>
    <t>West</t>
  </si>
  <si>
    <t>South</t>
  </si>
  <si>
    <t>North</t>
  </si>
  <si>
    <t>Grocery</t>
  </si>
  <si>
    <t>Clothing</t>
  </si>
  <si>
    <t>Furniture</t>
  </si>
  <si>
    <t>Sports</t>
  </si>
  <si>
    <t>Books</t>
  </si>
  <si>
    <t>Electronics</t>
  </si>
  <si>
    <t>Snacks</t>
  </si>
  <si>
    <t>Shoes</t>
  </si>
  <si>
    <t>Table</t>
  </si>
  <si>
    <t>Coffee</t>
  </si>
  <si>
    <t>Football</t>
  </si>
  <si>
    <t>Notebook</t>
  </si>
  <si>
    <t>Desk</t>
  </si>
  <si>
    <t>Textbook</t>
  </si>
  <si>
    <t>Laptop</t>
  </si>
  <si>
    <t>Jacket</t>
  </si>
  <si>
    <t>Tennis Ball</t>
  </si>
  <si>
    <t>Keyboard</t>
  </si>
  <si>
    <t>Comics</t>
  </si>
  <si>
    <t>Headphones</t>
  </si>
  <si>
    <t>Sofa</t>
  </si>
  <si>
    <t>Dress</t>
  </si>
  <si>
    <t>Rice</t>
  </si>
  <si>
    <t>Badminton Racket</t>
  </si>
  <si>
    <t>Novel</t>
  </si>
  <si>
    <t>Tea</t>
  </si>
  <si>
    <t>Jeans</t>
  </si>
  <si>
    <t>Dictionary</t>
  </si>
  <si>
    <t>Office Chair</t>
  </si>
  <si>
    <t>Yoga Mat</t>
  </si>
  <si>
    <t>Monitor</t>
  </si>
  <si>
    <t>Bookshelf</t>
  </si>
  <si>
    <t>Smartphone</t>
  </si>
  <si>
    <t>Cooking Oil</t>
  </si>
  <si>
    <t>Cricket Bat</t>
  </si>
  <si>
    <t>T-Shirt</t>
  </si>
  <si>
    <t>Consumer</t>
  </si>
  <si>
    <t>Small Business</t>
  </si>
  <si>
    <t>Corporate</t>
  </si>
  <si>
    <t>Cash</t>
  </si>
  <si>
    <t>Debit Card</t>
  </si>
  <si>
    <t>Net Banking</t>
  </si>
  <si>
    <t>UPI</t>
  </si>
  <si>
    <t>Credit Card</t>
  </si>
  <si>
    <t>Ongole</t>
  </si>
  <si>
    <t>TV</t>
  </si>
  <si>
    <t>SALES DASHBOARD</t>
  </si>
  <si>
    <t>SALES &amp; PROFIT TREND</t>
  </si>
  <si>
    <t>SALES BY CATEGORY</t>
  </si>
  <si>
    <t>SALES BY REGION</t>
  </si>
  <si>
    <t>SALES BY TOP 5 STATES</t>
  </si>
  <si>
    <t>SALES BY CITY (TOP 5)</t>
  </si>
  <si>
    <t>SALES BY CUSTOMER SEGMENT</t>
  </si>
  <si>
    <t>SALES BY PAYMENT METHOD</t>
  </si>
  <si>
    <t>Row Labels</t>
  </si>
  <si>
    <t>Grand Total</t>
  </si>
  <si>
    <t>Sum of Sales</t>
  </si>
  <si>
    <t>Sum of Profit</t>
  </si>
  <si>
    <t>Total Sales</t>
  </si>
  <si>
    <t>Total Profit</t>
  </si>
  <si>
    <t>Total Orders</t>
  </si>
  <si>
    <t>Average Order Value</t>
  </si>
  <si>
    <t>Average Discount %</t>
  </si>
  <si>
    <t>Average Profit Margin</t>
  </si>
  <si>
    <t>(blank)</t>
  </si>
  <si>
    <t>Jan</t>
  </si>
  <si>
    <t>Feb</t>
  </si>
  <si>
    <t>Mar</t>
  </si>
  <si>
    <t>Apr</t>
  </si>
  <si>
    <t>May</t>
  </si>
  <si>
    <t>Jun</t>
  </si>
  <si>
    <t>Jul</t>
  </si>
  <si>
    <t>Aug</t>
  </si>
  <si>
    <t>Sep</t>
  </si>
  <si>
    <t>Oct</t>
  </si>
  <si>
    <t>Nov</t>
  </si>
  <si>
    <t>Dec</t>
  </si>
  <si>
    <t>ORD1020001</t>
  </si>
  <si>
    <t>Ballari</t>
  </si>
  <si>
    <t>? 108,806,626</t>
  </si>
  <si>
    <t>? 19,133,530</t>
  </si>
  <si>
    <t>? 54,376</t>
  </si>
  <si>
    <t>HOW TO READ THE SALES DASHBOARD</t>
  </si>
  <si>
    <t>Purpose</t>
  </si>
  <si>
    <t>This dashboard summarizes sales performance across products, regions, time, customers and payment methods. It is designed to help a stakeholder spot strong areas and possible issues quickly.</t>
  </si>
  <si>
    <t>KPI cards</t>
  </si>
  <si>
    <t>Total Sales = revenue recorded; Total Profit = profit recorded; Total Orders = count of order IDs; Total Quantity = units sold; Average Discount = mean discount percentage; Average Profit Margin = total profit divided by total sales.</t>
  </si>
  <si>
    <t>Sales &amp; Profit Trend</t>
  </si>
  <si>
    <t>Compare monthly sales and profit to spot seasonal patterns, stronger months and possible declines. A rise in sales with a weaker profit trend may indicate discount or cost pressure.</t>
  </si>
  <si>
    <t>Sales by Category / Region</t>
  </si>
  <si>
    <t>Use these charts to compare category and region contributions. Large sales values show where revenue is concentrated; compare profit before assuming the largest sales area is the most profitable.</t>
  </si>
  <si>
    <t>Top States / Cities</t>
  </si>
  <si>
    <t>These charts highlight the leading locations by sales. Use them to identify markets to prioritize and locations that may need further investigation.</t>
  </si>
  <si>
    <t>Customer Segment / Payment Method</t>
  </si>
  <si>
    <t>Compare sales by customer type and payment method to understand buying patterns and the channels customers use.</t>
  </si>
  <si>
    <t>Filters and refresh</t>
  </si>
  <si>
    <t>On the Dataset sheet, use the table dropdown arrows to filter fields such as Region, Category, Order_Month and Customer_Segment. If dashboard charts do not reflect a filtered view, select Data &gt; Refresh All in Excel. Table filters are record-level filters; PivotCharts may require refresh or their own slicers for interactive filtering.</t>
  </si>
  <si>
    <t>Calculated fields</t>
  </si>
  <si>
    <t>Order_Month groups dates into month labels; Profit_Margin = Profit / Sales; Discount_Band classifies discounts as Low (&lt;10%), Medium (10–&lt;20%) or High (20%+).</t>
  </si>
  <si>
    <t>Important note</t>
  </si>
  <si>
    <t>The workbook contains a sample sales dataset. Treat findings as descriptive, check data quality and refresh pivots after changing source records. Currency is shown as ₹ in the summary labels; confirm the dataset currency before business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</si>
</sst>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 #,##0.00"/>
  </numFmts>
  <fonts count="9">
    <font>
      <sz val="11"/>
      <color theme="1"/>
      <name val="Calibri"/>
      <family val="2"/>
      <scheme val="minor"/>
    </font>
    <font>
      <b/>
      <sz val="11"/>
      <color theme="1"/>
      <name val="Calibri"/>
      <family val="2"/>
      <scheme val="minor"/>
    </font>
    <font>
      <b/>
      <sz val="22"/>
      <color rgb="FFFFFFFF"/>
      <name val="Calibri"/>
      <family val="2"/>
      <scheme val="minor"/>
    </font>
    <font>
      <b/>
      <sz val="12"/>
      <color theme="1"/>
      <name val="Calibri"/>
      <family val="2"/>
      <scheme val="minor"/>
    </font>
    <font>
      <b/>
      <sz val="11"/>
      <color rgb="FFFFFFFF"/>
      <name val="Calibri"/>
      <family val="2"/>
      <scheme val="minor"/>
    </font>
    <font>
      <i/>
      <sz val="11"/>
      <color theme="1"/>
      <name val="Calibri"/>
      <family val="2"/>
      <scheme val="minor"/>
    </font>
    <font>
      <b/>
      <sz val="18"/>
      <color rgb="FFFFFFFF"/>
      <name val="Calibri"/>
    </font>
    <font>
      <b/>
      <sz val="11"/>
      <color rgb="FF17365D"/>
      <name val="Calibri"/>
    </font>
    <font>
      <sz val="10"/>
      <color rgb="FF263238"/>
      <name val="Calibri"/>
    </font>
  </fonts>
  <fills count="6">
    <fill>
      <patternFill patternType="none"/>
    </fill>
    <fill>
      <patternFill patternType="gray125"/>
    </fill>
    <fill>
      <patternFill patternType="solid">
        <fgColor rgb="FF103460"/>
        <bgColor indexed="64"/>
      </patternFill>
    </fill>
    <fill>
      <patternFill patternType="solid">
        <fgColor rgb="FFF5F8FC"/>
        <bgColor indexed="64"/>
      </patternFill>
    </fill>
    <fill>
      <patternFill patternType="solid">
        <fgColor rgb="FF17365D"/>
      </patternFill>
    </fill>
    <fill>
      <patternFill patternType="solid">
        <fgColor rgb="FFD9EAF7"/>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508CC8"/>
      </left>
      <right style="thin">
        <color rgb="FF508CC8"/>
      </right>
      <top style="thin">
        <color rgb="FF508CC8"/>
      </top>
      <bottom style="thin">
        <color rgb="FF508CC8"/>
      </bottom>
      <diagonal/>
    </border>
    <border>
      <left/>
      <right/>
      <top/>
      <bottom style="thin">
        <color rgb="FFD9E2F3"/>
      </bottom>
      <diagonal/>
    </border>
  </borders>
  <cellStyleXfs count="1">
    <xf numFmtId="0" fontId="0" fillId="0" borderId="0"/>
  </cellStyleXfs>
  <cellXfs count="24">
    <xf numFmtId="0" fontId="0" fillId="0" borderId="0" xfId="0"/>
    <xf numFmtId="0" fontId="0" fillId="0" borderId="1" xfId="0" applyBorder="1"/>
    <xf numFmtId="14" fontId="0" fillId="0" borderId="1" xfId="0" applyNumberFormat="1" applyBorder="1"/>
    <xf numFmtId="14" fontId="0" fillId="0" borderId="0" xfId="0" applyNumberFormat="1"/>
    <xf numFmtId="14" fontId="1" fillId="0" borderId="2" xfId="0" applyNumberFormat="1" applyFont="1" applyBorder="1" applyAlignment="1">
      <alignment horizontal="center" vertical="top"/>
    </xf>
    <xf numFmtId="0" fontId="1" fillId="0" borderId="2" xfId="0" applyFont="1" applyBorder="1" applyAlignment="1">
      <alignment horizontal="center" vertical="top"/>
    </xf>
    <xf numFmtId="14" fontId="0" fillId="0" borderId="3" xfId="0" applyNumberFormat="1" applyBorder="1"/>
    <xf numFmtId="0" fontId="0" fillId="0" borderId="3" xfId="0" applyBorder="1"/>
    <xf numFmtId="0" fontId="0" fillId="0" borderId="0" xfId="0" pivotButton="1"/>
    <xf numFmtId="0" fontId="0" fillId="0" borderId="0" xfId="0" applyAlignment="1">
      <alignment horizontal="left"/>
    </xf>
    <xf numFmtId="3" fontId="0" fillId="0" borderId="0" xfId="0" applyNumberFormat="1"/>
    <xf numFmtId="10" fontId="0" fillId="0" borderId="0" xfId="0" applyNumberFormat="1"/>
    <xf numFmtId="0" fontId="0" fillId="0" borderId="0" xfId="0"/>
    <xf numFmtId="0" fontId="0" fillId="0" borderId="0" xfId="0" applyNumberFormat="1"/>
    <xf numFmtId="164" fontId="0" fillId="0" borderId="0" xfId="0" applyNumberFormat="1"/>
    <xf numFmtId="0" fontId="2" fillId="2" borderId="0" xfId="0" applyFont="1" applyFill="1" applyAlignment="1">
      <alignment horizontal="center" vertical="center"/>
    </xf>
    <xf numFmtId="0" fontId="3" fillId="3" borderId="4"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5" fillId="0" borderId="0" xfId="0" applyFont="1"/>
    <xf numFmtId="0" fontId="0" fillId="0" borderId="0" xfId="0"/>
    <xf numFmtId="0" fontId="4" fillId="2" borderId="0" xfId="0" applyFont="1" applyFill="1" applyAlignment="1">
      <alignment horizontal="center"/>
    </xf>
    <xf numFmtId="0" fontId="6" fillId="4" borderId="0" xfId="0" applyFont="1" applyFill="1" applyAlignment="1">
      <alignment horizontal="center" vertical="center"/>
    </xf>
    <xf numFmtId="0" fontId="7" fillId="5" borderId="5" xfId="0" applyFont="1" applyFill="1" applyBorder="1" applyAlignment="1">
      <alignment vertical="top" wrapText="1"/>
    </xf>
    <xf numFmtId="0" fontId="8" fillId="0" borderId="5" xfId="0" applyFont="1" applyBorder="1" applyAlignment="1">
      <alignment vertical="top" wrapText="1"/>
    </xf>
  </cellXfs>
  <cellStyles count="1">
    <cellStyle name="Normal" xfId="0" builtinId="0"/>
  </cellStyles>
  <dxfs count="17">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5" formatCode="dd/mm/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[Sales_Dashboard_Enhance.xlsm]PivotData!PivotTable1</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17"/>
          <c:spPr>
            <a:solidFill>
              <a:schemeClr val="accent1"/>
            </a:solidFill>
            <a:ln>
              <a:no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ln w="31750" cap="rnd">
            <a:solidFill>
              <a:schemeClr val="accent1"/>
            </a:solidFill>
            <a:round/>
          </a:ln>
          <a:effectLst/>
        </c:spPr>
        <c:marker>
          <c:symbol val="circle"/>
          <c:size val="17"/>
          <c:spPr>
            <a:solidFill>
              <a:schemeClr val="accent2"/>
            </a:solidFill>
            <a:ln>
              <a:no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PivotData!$B$1</c:f>
              <c:strCache>
                <c:ptCount val="1"/>
                <c:pt idx="0">
                  <c:v>Sum of Sales</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PivotData!$A$2:$A$15</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PivotData!$B$2:$B$15</c:f>
              <c:numCache>
                <c:formatCode>General</c:formatCode>
                <c:ptCount val="13"/>
                <c:pt idx="1">
                  <c:v>10705079.700000007</c:v>
                </c:pt>
                <c:pt idx="2">
                  <c:v>8254178.3099999987</c:v>
                </c:pt>
                <c:pt idx="3">
                  <c:v>9903648.1999999974</c:v>
                </c:pt>
                <c:pt idx="4">
                  <c:v>8357327.5100000007</c:v>
                </c:pt>
                <c:pt idx="5">
                  <c:v>9516907.7800000031</c:v>
                </c:pt>
                <c:pt idx="6">
                  <c:v>7269350.1699999999</c:v>
                </c:pt>
                <c:pt idx="7">
                  <c:v>9155999.7899999972</c:v>
                </c:pt>
                <c:pt idx="8">
                  <c:v>10412341.749999996</c:v>
                </c:pt>
                <c:pt idx="9">
                  <c:v>7705808.9400000013</c:v>
                </c:pt>
                <c:pt idx="10">
                  <c:v>7747661.9299999997</c:v>
                </c:pt>
                <c:pt idx="11">
                  <c:v>10438521.42</c:v>
                </c:pt>
                <c:pt idx="12">
                  <c:v>9339800.3599999975</c:v>
                </c:pt>
              </c:numCache>
            </c:numRef>
          </c:val>
          <c:smooth val="0"/>
          <c:extLst>
            <c:ext xmlns:c16="http://schemas.microsoft.com/office/drawing/2014/chart" uri="{C3380CC4-5D6E-409C-BE32-E72D297353CC}">
              <c16:uniqueId val="{00000000-C62A-4B82-B103-9A98662DDD64}"/>
            </c:ext>
          </c:extLst>
        </c:ser>
        <c:ser>
          <c:idx val="1"/>
          <c:order val="1"/>
          <c:tx>
            <c:strRef>
              <c:f>PivotData!$C$1</c:f>
              <c:strCache>
                <c:ptCount val="1"/>
                <c:pt idx="0">
                  <c:v>Sum of Profit</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PivotData!$A$2:$A$15</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PivotData!$C$2:$C$15</c:f>
              <c:numCache>
                <c:formatCode>General</c:formatCode>
                <c:ptCount val="13"/>
                <c:pt idx="1">
                  <c:v>1768521.7300000002</c:v>
                </c:pt>
                <c:pt idx="2">
                  <c:v>1484002.4799999997</c:v>
                </c:pt>
                <c:pt idx="3">
                  <c:v>1809264.4500000002</c:v>
                </c:pt>
                <c:pt idx="4">
                  <c:v>1557184.0700000003</c:v>
                </c:pt>
                <c:pt idx="5">
                  <c:v>1615138.6500000004</c:v>
                </c:pt>
                <c:pt idx="6">
                  <c:v>1245920.9699999997</c:v>
                </c:pt>
                <c:pt idx="7">
                  <c:v>1440700.3100000003</c:v>
                </c:pt>
                <c:pt idx="8">
                  <c:v>2006228.4999999995</c:v>
                </c:pt>
                <c:pt idx="9">
                  <c:v>1418788.5100000005</c:v>
                </c:pt>
                <c:pt idx="10">
                  <c:v>1385200.7899999998</c:v>
                </c:pt>
                <c:pt idx="11">
                  <c:v>1932597.2300000002</c:v>
                </c:pt>
                <c:pt idx="12">
                  <c:v>1469982.2300000002</c:v>
                </c:pt>
              </c:numCache>
            </c:numRef>
          </c:val>
          <c:smooth val="0"/>
          <c:extLst>
            <c:ext xmlns:c16="http://schemas.microsoft.com/office/drawing/2014/chart" uri="{C3380CC4-5D6E-409C-BE32-E72D297353CC}">
              <c16:uniqueId val="{00000001-C62A-4B82-B103-9A98662DDD64}"/>
            </c:ext>
          </c:extLst>
        </c:ser>
        <c:dLbls>
          <c:dLblPos val="ctr"/>
          <c:showLegendKey val="0"/>
          <c:showVal val="1"/>
          <c:showCatName val="0"/>
          <c:showSerName val="0"/>
          <c:showPercent val="0"/>
          <c:showBubbleSize val="0"/>
        </c:dLbls>
        <c:marker val="1"/>
        <c:smooth val="0"/>
        <c:axId val="1864340080"/>
        <c:axId val="1864340496"/>
      </c:lineChart>
      <c:catAx>
        <c:axId val="1864340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64340496"/>
        <c:crosses val="autoZero"/>
        <c:auto val="1"/>
        <c:lblAlgn val="ctr"/>
        <c:lblOffset val="100"/>
        <c:noMultiLvlLbl val="0"/>
      </c:catAx>
      <c:valAx>
        <c:axId val="186434049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864340080"/>
        <c:crosses val="autoZero"/>
        <c:crossBetween val="between"/>
      </c:valAx>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[Sales_Dashboard_Enhance.xlsm]PivotData!PivotTable2</c:name>
    <c:fmtId val="4"/>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ext>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pivotFmt>
    </c:pivotFmts>
    <c:plotArea>
      <c:layout/>
      <c:doughnutChart>
        <c:varyColors val="1"/>
        <c:ser>
          <c:idx val="0"/>
          <c:order val="0"/>
          <c:tx>
            <c:strRef>
              <c:f>PivotData!$F$1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692-41F8-87C8-F26E3221032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692-41F8-87C8-F26E3221032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692-41F8-87C8-F26E3221032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692-41F8-87C8-F26E3221032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692-41F8-87C8-F26E3221032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9692-41F8-87C8-F26E3221032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9692-41F8-87C8-F26E3221032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PivotData!$E$2:$E$9</c:f>
              <c:strCache>
                <c:ptCount val="7"/>
                <c:pt idx="0">
                  <c:v>Books</c:v>
                </c:pt>
                <c:pt idx="1">
                  <c:v>Clothing</c:v>
                </c:pt>
                <c:pt idx="2">
                  <c:v>Electronics</c:v>
                </c:pt>
                <c:pt idx="3">
                  <c:v>Furniture</c:v>
                </c:pt>
                <c:pt idx="4">
                  <c:v>Grocery</c:v>
                </c:pt>
                <c:pt idx="5">
                  <c:v>Sports</c:v>
                </c:pt>
                <c:pt idx="6">
                  <c:v>(blank)</c:v>
                </c:pt>
              </c:strCache>
            </c:strRef>
          </c:cat>
          <c:val>
            <c:numRef>
              <c:f>PivotData!$F$2:$F$9</c:f>
              <c:numCache>
                <c:formatCode>General</c:formatCode>
                <c:ptCount val="7"/>
                <c:pt idx="0">
                  <c:v>2247829.4800000014</c:v>
                </c:pt>
                <c:pt idx="1">
                  <c:v>5825129.2500000009</c:v>
                </c:pt>
                <c:pt idx="2">
                  <c:v>57337209.439999983</c:v>
                </c:pt>
                <c:pt idx="3">
                  <c:v>33618350.420000009</c:v>
                </c:pt>
                <c:pt idx="4">
                  <c:v>2204427.8599999994</c:v>
                </c:pt>
                <c:pt idx="5">
                  <c:v>7573679.4099999983</c:v>
                </c:pt>
              </c:numCache>
            </c:numRef>
          </c:val>
          <c:extLst>
            <c:ext xmlns:c16="http://schemas.microsoft.com/office/drawing/2014/chart" uri="{C3380CC4-5D6E-409C-BE32-E72D297353CC}">
              <c16:uniqueId val="{0000000E-9692-41F8-87C8-F26E3221032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[Sales_Dashboard_Enhance.xlsm]PivotData!PivotTable3</c:name>
    <c:fmtId val="2"/>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PivotData!$F$11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PivotData!$E$12:$E$18</c:f>
              <c:strCache>
                <c:ptCount val="6"/>
                <c:pt idx="0">
                  <c:v>Central</c:v>
                </c:pt>
                <c:pt idx="1">
                  <c:v>East</c:v>
                </c:pt>
                <c:pt idx="2">
                  <c:v>North</c:v>
                </c:pt>
                <c:pt idx="3">
                  <c:v>South</c:v>
                </c:pt>
                <c:pt idx="4">
                  <c:v>West</c:v>
                </c:pt>
                <c:pt idx="5">
                  <c:v>(blank)</c:v>
                </c:pt>
              </c:strCache>
            </c:strRef>
          </c:cat>
          <c:val>
            <c:numRef>
              <c:f>PivotData!$F$12:$F$18</c:f>
              <c:numCache>
                <c:formatCode>General</c:formatCode>
                <c:ptCount val="6"/>
                <c:pt idx="0">
                  <c:v>24440677.789999984</c:v>
                </c:pt>
                <c:pt idx="1">
                  <c:v>22924331.560000006</c:v>
                </c:pt>
                <c:pt idx="2">
                  <c:v>21875648.809999969</c:v>
                </c:pt>
                <c:pt idx="3">
                  <c:v>19345608.940000001</c:v>
                </c:pt>
                <c:pt idx="4">
                  <c:v>20220358.75999999</c:v>
                </c:pt>
              </c:numCache>
            </c:numRef>
          </c:val>
          <c:extLst>
            <c:ext xmlns:c16="http://schemas.microsoft.com/office/drawing/2014/chart" uri="{C3380CC4-5D6E-409C-BE32-E72D297353CC}">
              <c16:uniqueId val="{00000000-F18A-4EC8-9240-7AC36D3D9BB0}"/>
            </c:ext>
          </c:extLst>
        </c:ser>
        <c:dLbls>
          <c:dLblPos val="inEnd"/>
          <c:showLegendKey val="0"/>
          <c:showVal val="1"/>
          <c:showCatName val="0"/>
          <c:showSerName val="0"/>
          <c:showPercent val="0"/>
          <c:showBubbleSize val="0"/>
        </c:dLbls>
        <c:gapWidth val="65"/>
        <c:axId val="1983410272"/>
        <c:axId val="1983405280"/>
      </c:barChart>
      <c:catAx>
        <c:axId val="198341027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983405280"/>
        <c:crosses val="autoZero"/>
        <c:auto val="1"/>
        <c:lblAlgn val="ctr"/>
        <c:lblOffset val="100"/>
        <c:noMultiLvlLbl val="0"/>
      </c:catAx>
      <c:valAx>
        <c:axId val="198340528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983410272"/>
        <c:crosses val="autoZero"/>
        <c:crossBetween val="between"/>
      </c:valAx>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[Sales_Dashboard_Enhance.xlsm]PivotData!PivotTable4</c:name>
    <c:fmtId val="2"/>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PivotData!$I$1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PivotData!$H$2:$H$7</c:f>
              <c:strCache>
                <c:ptCount val="5"/>
                <c:pt idx="0">
                  <c:v>Delhi</c:v>
                </c:pt>
                <c:pt idx="1">
                  <c:v>Rajasthan</c:v>
                </c:pt>
                <c:pt idx="2">
                  <c:v>Tamil Nadu</c:v>
                </c:pt>
                <c:pt idx="3">
                  <c:v>Gujarat</c:v>
                </c:pt>
                <c:pt idx="4">
                  <c:v>Kerala</c:v>
                </c:pt>
              </c:strCache>
            </c:strRef>
          </c:cat>
          <c:val>
            <c:numRef>
              <c:f>PivotData!$I$2:$I$7</c:f>
              <c:numCache>
                <c:formatCode>General</c:formatCode>
                <c:ptCount val="5"/>
                <c:pt idx="0">
                  <c:v>10404016.729999995</c:v>
                </c:pt>
                <c:pt idx="1">
                  <c:v>8823447.2399999965</c:v>
                </c:pt>
                <c:pt idx="2">
                  <c:v>8448829.7699999996</c:v>
                </c:pt>
                <c:pt idx="3">
                  <c:v>8122619.6500000022</c:v>
                </c:pt>
                <c:pt idx="4">
                  <c:v>7986971.7100000009</c:v>
                </c:pt>
              </c:numCache>
            </c:numRef>
          </c:val>
          <c:extLst>
            <c:ext xmlns:c16="http://schemas.microsoft.com/office/drawing/2014/chart" uri="{C3380CC4-5D6E-409C-BE32-E72D297353CC}">
              <c16:uniqueId val="{00000000-B2B8-428B-AB19-EB5E85E8CDFD}"/>
            </c:ext>
          </c:extLst>
        </c:ser>
        <c:dLbls>
          <c:dLblPos val="inEnd"/>
          <c:showLegendKey val="0"/>
          <c:showVal val="1"/>
          <c:showCatName val="0"/>
          <c:showSerName val="0"/>
          <c:showPercent val="0"/>
          <c:showBubbleSize val="0"/>
        </c:dLbls>
        <c:gapWidth val="65"/>
        <c:axId val="1800818160"/>
        <c:axId val="1800818992"/>
      </c:barChart>
      <c:catAx>
        <c:axId val="180081816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00818992"/>
        <c:crosses val="autoZero"/>
        <c:auto val="1"/>
        <c:lblAlgn val="ctr"/>
        <c:lblOffset val="100"/>
        <c:noMultiLvlLbl val="0"/>
      </c:catAx>
      <c:valAx>
        <c:axId val="1800818992"/>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800818160"/>
        <c:crosses val="autoZero"/>
        <c:crossBetween val="between"/>
      </c:valAx>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[Sales_Dashboard_Enhance.xlsm]PivotData!PivotTable5</c:name>
    <c:fmtId val="2"/>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PivotData!$I$9</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PivotData!$H$10:$H$15</c:f>
              <c:strCache>
                <c:ptCount val="5"/>
                <c:pt idx="0">
                  <c:v>Bhubaneswar</c:v>
                </c:pt>
                <c:pt idx="1">
                  <c:v>Hyderabad</c:v>
                </c:pt>
                <c:pt idx="2">
                  <c:v>Indore</c:v>
                </c:pt>
                <c:pt idx="3">
                  <c:v>Mumbai</c:v>
                </c:pt>
                <c:pt idx="4">
                  <c:v>Vijayawada</c:v>
                </c:pt>
              </c:strCache>
            </c:strRef>
          </c:cat>
          <c:val>
            <c:numRef>
              <c:f>PivotData!$I$10:$I$15</c:f>
              <c:numCache>
                <c:formatCode>General</c:formatCode>
                <c:ptCount val="5"/>
                <c:pt idx="0">
                  <c:v>7758824.7200000007</c:v>
                </c:pt>
                <c:pt idx="1">
                  <c:v>8667044.0500000026</c:v>
                </c:pt>
                <c:pt idx="2">
                  <c:v>8767973.0500000026</c:v>
                </c:pt>
                <c:pt idx="3">
                  <c:v>7746121.2599999951</c:v>
                </c:pt>
                <c:pt idx="4">
                  <c:v>8200530.2899999982</c:v>
                </c:pt>
              </c:numCache>
            </c:numRef>
          </c:val>
          <c:extLst>
            <c:ext xmlns:c16="http://schemas.microsoft.com/office/drawing/2014/chart" uri="{C3380CC4-5D6E-409C-BE32-E72D297353CC}">
              <c16:uniqueId val="{00000000-D787-41EE-9ADA-41B49036C27C}"/>
            </c:ext>
          </c:extLst>
        </c:ser>
        <c:dLbls>
          <c:dLblPos val="inEnd"/>
          <c:showLegendKey val="0"/>
          <c:showVal val="1"/>
          <c:showCatName val="0"/>
          <c:showSerName val="0"/>
          <c:showPercent val="0"/>
          <c:showBubbleSize val="0"/>
        </c:dLbls>
        <c:gapWidth val="65"/>
        <c:axId val="204426800"/>
        <c:axId val="204420144"/>
      </c:barChart>
      <c:catAx>
        <c:axId val="20442680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04420144"/>
        <c:crosses val="autoZero"/>
        <c:auto val="1"/>
        <c:lblAlgn val="ctr"/>
        <c:lblOffset val="100"/>
        <c:noMultiLvlLbl val="0"/>
      </c:catAx>
      <c:valAx>
        <c:axId val="204420144"/>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04426800"/>
        <c:crosses val="autoZero"/>
        <c:crossBetween val="between"/>
      </c:valAx>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[Sales_Dashboard_Enhance.xlsm]PivotData!PivotTable6</c:name>
    <c:fmtId val="5"/>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ext>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PivotData!$I$17</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AEA-489F-AD89-1FFC51AC30A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AEA-489F-AD89-1FFC51AC30A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AEA-489F-AD89-1FFC51AC30A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AEA-489F-AD89-1FFC51AC30A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PivotData!$H$18:$H$22</c:f>
              <c:strCache>
                <c:ptCount val="4"/>
                <c:pt idx="0">
                  <c:v>Consumer</c:v>
                </c:pt>
                <c:pt idx="1">
                  <c:v>Corporate</c:v>
                </c:pt>
                <c:pt idx="2">
                  <c:v>Small Business</c:v>
                </c:pt>
                <c:pt idx="3">
                  <c:v>(blank)</c:v>
                </c:pt>
              </c:strCache>
            </c:strRef>
          </c:cat>
          <c:val>
            <c:numRef>
              <c:f>PivotData!$I$18:$I$22</c:f>
              <c:numCache>
                <c:formatCode>General</c:formatCode>
                <c:ptCount val="4"/>
                <c:pt idx="0">
                  <c:v>37524207.429999955</c:v>
                </c:pt>
                <c:pt idx="1">
                  <c:v>35874454.339999981</c:v>
                </c:pt>
                <c:pt idx="2">
                  <c:v>35407964.089999981</c:v>
                </c:pt>
              </c:numCache>
            </c:numRef>
          </c:val>
          <c:extLst>
            <c:ext xmlns:c16="http://schemas.microsoft.com/office/drawing/2014/chart" uri="{C3380CC4-5D6E-409C-BE32-E72D297353CC}">
              <c16:uniqueId val="{00000008-7AEA-489F-AD89-1FFC51AC30A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[Sales_Dashboard_Enhance.xlsm]PivotData!PivotTable7</c:name>
    <c:fmtId val="4"/>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pattFill prst="pct75">
                  <a:fgClr>
                    <a:schemeClr val="dk1">
                      <a:lumMod val="75000"/>
                      <a:lumOff val="25000"/>
                    </a:schemeClr>
                  </a:fgClr>
                  <a:bgClr>
                    <a:schemeClr val="dk1">
                      <a:lumMod val="65000"/>
                      <a:lumOff val="35000"/>
                    </a:schemeClr>
                  </a:bgClr>
                </a:pattFill>
                <a:ln>
                  <a:noFill/>
                </a:ln>
              </c15:spPr>
              <c15:layout/>
            </c:ext>
          </c:extLst>
        </c:dLbl>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PivotData!$B$19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DD9-4EAF-BFA5-3FEE6FC8FFC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DD9-4EAF-BFA5-3FEE6FC8FFC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DD9-4EAF-BFA5-3FEE6FC8FFC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DD9-4EAF-BFA5-3FEE6FC8FFC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DD9-4EAF-BFA5-3FEE6FC8FFC5}"/>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8DD9-4EAF-BFA5-3FEE6FC8FFC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spPr xmlns:c15="http://schemas.microsoft.com/office/drawing/2012/chart">
                  <a:prstGeom prst="rect">
                    <a:avLst/>
                  </a:prstGeom>
                  <a:pattFill prst="pct75">
                    <a:fgClr>
                      <a:schemeClr val="dk1">
                        <a:lumMod val="75000"/>
                        <a:lumOff val="25000"/>
                      </a:schemeClr>
                    </a:fgClr>
                    <a:bgClr>
                      <a:schemeClr val="dk1">
                        <a:lumMod val="65000"/>
                        <a:lumOff val="35000"/>
                      </a:schemeClr>
                    </a:bgClr>
                  </a:pattFill>
                  <a:ln>
                    <a:noFill/>
                  </a:ln>
                </c15:spPr>
                <c15:layout/>
              </c:ext>
            </c:extLst>
          </c:dLbls>
          <c:cat>
            <c:strRef>
              <c:f>PivotData!$A$20:$A$26</c:f>
              <c:strCache>
                <c:ptCount val="6"/>
                <c:pt idx="0">
                  <c:v>Cash</c:v>
                </c:pt>
                <c:pt idx="1">
                  <c:v>Credit Card</c:v>
                </c:pt>
                <c:pt idx="2">
                  <c:v>Debit Card</c:v>
                </c:pt>
                <c:pt idx="3">
                  <c:v>Net Banking</c:v>
                </c:pt>
                <c:pt idx="4">
                  <c:v>UPI</c:v>
                </c:pt>
                <c:pt idx="5">
                  <c:v>(blank)</c:v>
                </c:pt>
              </c:strCache>
            </c:strRef>
          </c:cat>
          <c:val>
            <c:numRef>
              <c:f>PivotData!$B$20:$B$26</c:f>
              <c:numCache>
                <c:formatCode>General</c:formatCode>
                <c:ptCount val="6"/>
                <c:pt idx="0">
                  <c:v>22458362.730000004</c:v>
                </c:pt>
                <c:pt idx="1">
                  <c:v>22953954.77999999</c:v>
                </c:pt>
                <c:pt idx="2">
                  <c:v>22222322.249999996</c:v>
                </c:pt>
                <c:pt idx="3">
                  <c:v>19574977.599999972</c:v>
                </c:pt>
                <c:pt idx="4">
                  <c:v>21597008.500000004</c:v>
                </c:pt>
              </c:numCache>
            </c:numRef>
          </c:val>
          <c:extLst>
            <c:ext xmlns:c16="http://schemas.microsoft.com/office/drawing/2014/chart" uri="{C3380CC4-5D6E-409C-BE32-E72D297353CC}">
              <c16:uniqueId val="{0000000C-8DD9-4EAF-BFA5-3FEE6FC8FFC5}"/>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hyperlink" Target="#Dataset!A1"/><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70971</xdr:colOff>
      <xdr:row>11</xdr:row>
      <xdr:rowOff>66488</xdr:rowOff>
    </xdr:from>
    <xdr:to>
      <xdr:col>7</xdr:col>
      <xdr:colOff>20544</xdr:colOff>
      <xdr:row>12</xdr:row>
      <xdr:rowOff>70224</xdr:rowOff>
    </xdr:to>
    <xdr:sp macro="" textlink="">
      <xdr:nvSpPr>
        <xdr:cNvPr id="25" name="KPI_Sales_Sub">
          <a:extLst>
            <a:ext uri="{FF2B5EF4-FFF2-40B4-BE49-F238E27FC236}">
              <a16:creationId xmlns:a16="http://schemas.microsoft.com/office/drawing/2014/main" id="{C17EBB33-6F6C-7478-C8E8-ED5FE795364D}"/>
            </a:ext>
          </a:extLst>
        </xdr:cNvPr>
        <xdr:cNvSpPr txBox="1"/>
      </xdr:nvSpPr>
      <xdr:spPr>
        <a:xfrm>
          <a:off x="3302000" y="2120900"/>
          <a:ext cx="2667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endParaRPr lang="en-IN" sz="800"/>
        </a:p>
      </xdr:txBody>
    </xdr:sp>
    <xdr:clientData/>
  </xdr:twoCellAnchor>
  <xdr:twoCellAnchor>
    <xdr:from>
      <xdr:col>7</xdr:col>
      <xdr:colOff>401544</xdr:colOff>
      <xdr:row>11</xdr:row>
      <xdr:rowOff>66488</xdr:rowOff>
    </xdr:from>
    <xdr:to>
      <xdr:col>9</xdr:col>
      <xdr:colOff>752662</xdr:colOff>
      <xdr:row>12</xdr:row>
      <xdr:rowOff>70224</xdr:rowOff>
    </xdr:to>
    <xdr:sp macro="" textlink="">
      <xdr:nvSpPr>
        <xdr:cNvPr id="30" name="KPI_Profit_Sub">
          <a:extLst>
            <a:ext uri="{FF2B5EF4-FFF2-40B4-BE49-F238E27FC236}">
              <a16:creationId xmlns:a16="http://schemas.microsoft.com/office/drawing/2014/main" id="{119BEBDA-261A-61A1-4F09-963EE3552ADA}"/>
            </a:ext>
          </a:extLst>
        </xdr:cNvPr>
        <xdr:cNvSpPr txBox="1"/>
      </xdr:nvSpPr>
      <xdr:spPr>
        <a:xfrm>
          <a:off x="6350000" y="2120900"/>
          <a:ext cx="2667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endParaRPr lang="en-IN" sz="800"/>
        </a:p>
      </xdr:txBody>
    </xdr:sp>
    <xdr:clientData/>
  </xdr:twoCellAnchor>
  <xdr:twoCellAnchor>
    <xdr:from>
      <xdr:col>9</xdr:col>
      <xdr:colOff>1133662</xdr:colOff>
      <xdr:row>11</xdr:row>
      <xdr:rowOff>66488</xdr:rowOff>
    </xdr:from>
    <xdr:to>
      <xdr:col>12</xdr:col>
      <xdr:colOff>326838</xdr:colOff>
      <xdr:row>12</xdr:row>
      <xdr:rowOff>70224</xdr:rowOff>
    </xdr:to>
    <xdr:sp macro="" textlink="">
      <xdr:nvSpPr>
        <xdr:cNvPr id="35" name="KPI_Orders_Sub">
          <a:extLst>
            <a:ext uri="{FF2B5EF4-FFF2-40B4-BE49-F238E27FC236}">
              <a16:creationId xmlns:a16="http://schemas.microsoft.com/office/drawing/2014/main" id="{2A461EC9-8147-10F0-5B87-7A76B2415227}"/>
            </a:ext>
          </a:extLst>
        </xdr:cNvPr>
        <xdr:cNvSpPr txBox="1"/>
      </xdr:nvSpPr>
      <xdr:spPr>
        <a:xfrm>
          <a:off x="9398000" y="2120900"/>
          <a:ext cx="2667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endParaRPr lang="en-IN" sz="800"/>
        </a:p>
      </xdr:txBody>
    </xdr:sp>
    <xdr:clientData/>
  </xdr:twoCellAnchor>
  <xdr:twoCellAnchor>
    <xdr:from>
      <xdr:col>12</xdr:col>
      <xdr:colOff>707838</xdr:colOff>
      <xdr:row>9</xdr:row>
      <xdr:rowOff>186018</xdr:rowOff>
    </xdr:from>
    <xdr:to>
      <xdr:col>14</xdr:col>
      <xdr:colOff>1058956</xdr:colOff>
      <xdr:row>11</xdr:row>
      <xdr:rowOff>41088</xdr:rowOff>
    </xdr:to>
    <xdr:sp macro="" textlink="">
      <xdr:nvSpPr>
        <xdr:cNvPr id="39" name="KPI_Quantity_Change">
          <a:extLst>
            <a:ext uri="{FF2B5EF4-FFF2-40B4-BE49-F238E27FC236}">
              <a16:creationId xmlns:a16="http://schemas.microsoft.com/office/drawing/2014/main" id="{8998BA6E-2839-D717-E5B0-9BB923E6485D}"/>
            </a:ext>
          </a:extLst>
        </xdr:cNvPr>
        <xdr:cNvSpPr txBox="1"/>
      </xdr:nvSpPr>
      <xdr:spPr>
        <a:xfrm>
          <a:off x="12446000" y="1866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endParaRPr lang="en-IN" sz="1000" b="1">
            <a:solidFill>
              <a:srgbClr val="00823C"/>
            </a:solidFill>
          </a:endParaRPr>
        </a:p>
      </xdr:txBody>
    </xdr:sp>
    <xdr:clientData/>
  </xdr:twoCellAnchor>
  <xdr:twoCellAnchor>
    <xdr:from>
      <xdr:col>15</xdr:col>
      <xdr:colOff>282015</xdr:colOff>
      <xdr:row>9</xdr:row>
      <xdr:rowOff>186018</xdr:rowOff>
    </xdr:from>
    <xdr:to>
      <xdr:col>17</xdr:col>
      <xdr:colOff>633132</xdr:colOff>
      <xdr:row>11</xdr:row>
      <xdr:rowOff>41088</xdr:rowOff>
    </xdr:to>
    <xdr:sp macro="" textlink="">
      <xdr:nvSpPr>
        <xdr:cNvPr id="44" name="KPI_Discount_Change">
          <a:extLst>
            <a:ext uri="{FF2B5EF4-FFF2-40B4-BE49-F238E27FC236}">
              <a16:creationId xmlns:a16="http://schemas.microsoft.com/office/drawing/2014/main" id="{2FF0B5C6-02A9-8AFC-9CA6-37AB8CB643C1}"/>
            </a:ext>
          </a:extLst>
        </xdr:cNvPr>
        <xdr:cNvSpPr txBox="1"/>
      </xdr:nvSpPr>
      <xdr:spPr>
        <a:xfrm>
          <a:off x="15494000" y="1866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endParaRPr lang="en-IN" sz="1000" b="1">
            <a:solidFill>
              <a:srgbClr val="00823C"/>
            </a:solidFill>
          </a:endParaRPr>
        </a:p>
      </xdr:txBody>
    </xdr:sp>
    <xdr:clientData/>
  </xdr:twoCellAnchor>
  <xdr:twoCellAnchor>
    <xdr:from>
      <xdr:col>15</xdr:col>
      <xdr:colOff>282015</xdr:colOff>
      <xdr:row>11</xdr:row>
      <xdr:rowOff>66488</xdr:rowOff>
    </xdr:from>
    <xdr:to>
      <xdr:col>17</xdr:col>
      <xdr:colOff>633132</xdr:colOff>
      <xdr:row>12</xdr:row>
      <xdr:rowOff>70224</xdr:rowOff>
    </xdr:to>
    <xdr:sp macro="" textlink="">
      <xdr:nvSpPr>
        <xdr:cNvPr id="45" name="KPI_Discount_Sub">
          <a:extLst>
            <a:ext uri="{FF2B5EF4-FFF2-40B4-BE49-F238E27FC236}">
              <a16:creationId xmlns:a16="http://schemas.microsoft.com/office/drawing/2014/main" id="{35403E79-0D18-31BE-AE3E-E7E19C90BA46}"/>
            </a:ext>
          </a:extLst>
        </xdr:cNvPr>
        <xdr:cNvSpPr txBox="1"/>
      </xdr:nvSpPr>
      <xdr:spPr>
        <a:xfrm>
          <a:off x="15494000" y="2120900"/>
          <a:ext cx="2667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endParaRPr lang="en-IN" sz="800"/>
        </a:p>
      </xdr:txBody>
    </xdr:sp>
    <xdr:clientData/>
  </xdr:twoCellAnchor>
  <xdr:twoCellAnchor>
    <xdr:from>
      <xdr:col>17</xdr:col>
      <xdr:colOff>597050</xdr:colOff>
      <xdr:row>0</xdr:row>
      <xdr:rowOff>230554</xdr:rowOff>
    </xdr:from>
    <xdr:to>
      <xdr:col>17</xdr:col>
      <xdr:colOff>1133232</xdr:colOff>
      <xdr:row>2</xdr:row>
      <xdr:rowOff>234461</xdr:rowOff>
    </xdr:to>
    <xdr:sp macro="RefreshDashboard" textlink="">
      <xdr:nvSpPr>
        <xdr:cNvPr id="2" name="btnRefresh">
          <a:extLst>
            <a:ext uri="{FF2B5EF4-FFF2-40B4-BE49-F238E27FC236}">
              <a16:creationId xmlns:a16="http://schemas.microsoft.com/office/drawing/2014/main" id="{CACE7815-04FC-2F0F-7C16-C292114D7D0E}"/>
            </a:ext>
          </a:extLst>
        </xdr:cNvPr>
        <xdr:cNvSpPr/>
      </xdr:nvSpPr>
      <xdr:spPr>
        <a:xfrm>
          <a:off x="16237588" y="230554"/>
          <a:ext cx="536182" cy="511907"/>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r>
            <a:rPr lang="en-IN" sz="2000">
              <a:solidFill>
                <a:srgbClr val="FFFFFF"/>
              </a:solidFill>
            </a:rPr>
            <a:t>🔄</a:t>
          </a:r>
        </a:p>
      </xdr:txBody>
    </xdr:sp>
    <xdr:clientData/>
  </xdr:twoCellAnchor>
  <xdr:twoCellAnchor>
    <xdr:from>
      <xdr:col>17</xdr:col>
      <xdr:colOff>53879</xdr:colOff>
      <xdr:row>0</xdr:row>
      <xdr:rowOff>228600</xdr:rowOff>
    </xdr:from>
    <xdr:to>
      <xdr:col>17</xdr:col>
      <xdr:colOff>566616</xdr:colOff>
      <xdr:row>3</xdr:row>
      <xdr:rowOff>0</xdr:rowOff>
    </xdr:to>
    <xdr:sp macro="GoHome" textlink="">
      <xdr:nvSpPr>
        <xdr:cNvPr id="3" name="btnHome">
          <a:extLst>
            <a:ext uri="{FF2B5EF4-FFF2-40B4-BE49-F238E27FC236}">
              <a16:creationId xmlns:a16="http://schemas.microsoft.com/office/drawing/2014/main" id="{9A868C38-CFDB-685D-52C9-804FB1DD5696}"/>
            </a:ext>
          </a:extLst>
        </xdr:cNvPr>
        <xdr:cNvSpPr/>
      </xdr:nvSpPr>
      <xdr:spPr>
        <a:xfrm>
          <a:off x="15694417" y="228600"/>
          <a:ext cx="512737" cy="533400"/>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r>
            <a:rPr lang="en-IN" sz="2000">
              <a:solidFill>
                <a:srgbClr val="FFFFFF"/>
              </a:solidFill>
            </a:rPr>
            <a:t>🏠</a:t>
          </a:r>
        </a:p>
      </xdr:txBody>
    </xdr:sp>
    <xdr:clientData/>
  </xdr:twoCellAnchor>
  <xdr:twoCellAnchor>
    <xdr:from>
      <xdr:col>18</xdr:col>
      <xdr:colOff>25874</xdr:colOff>
      <xdr:row>0</xdr:row>
      <xdr:rowOff>190500</xdr:rowOff>
    </xdr:from>
    <xdr:to>
      <xdr:col>18</xdr:col>
      <xdr:colOff>622299</xdr:colOff>
      <xdr:row>3</xdr:row>
      <xdr:rowOff>-1</xdr:rowOff>
    </xdr:to>
    <xdr:sp macro="OpenSalesForm" textlink="">
      <xdr:nvSpPr>
        <xdr:cNvPr id="4" name="btnUserForm">
          <a:hlinkClick xmlns:r="http://schemas.openxmlformats.org/officeDocument/2006/relationships" r:id="rId1"/>
          <a:extLst>
            <a:ext uri="{FF2B5EF4-FFF2-40B4-BE49-F238E27FC236}">
              <a16:creationId xmlns:a16="http://schemas.microsoft.com/office/drawing/2014/main" id="{F40D2FF6-F014-FA73-A543-F56A6AB641EF}"/>
            </a:ext>
          </a:extLst>
        </xdr:cNvPr>
        <xdr:cNvSpPr/>
      </xdr:nvSpPr>
      <xdr:spPr>
        <a:xfrm>
          <a:off x="16764474" y="190500"/>
          <a:ext cx="596425" cy="571499"/>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r>
            <a:rPr lang="en-IN" sz="2000">
              <a:solidFill>
                <a:srgbClr val="FFFFFF"/>
              </a:solidFill>
            </a:rPr>
            <a:t>📊</a:t>
          </a:r>
        </a:p>
      </xdr:txBody>
    </xdr:sp>
    <xdr:clientData/>
  </xdr:twoCellAnchor>
  <xdr:twoCellAnchor>
    <xdr:from>
      <xdr:col>1</xdr:col>
      <xdr:colOff>0</xdr:colOff>
      <xdr:row>10</xdr:row>
      <xdr:rowOff>0</xdr:rowOff>
    </xdr:from>
    <xdr:to>
      <xdr:col>6</xdr:col>
      <xdr:colOff>743619</xdr:colOff>
      <xdr:row>17</xdr:row>
      <xdr:rowOff>241300</xdr:rowOff>
    </xdr:to>
    <xdr:graphicFrame macro="">
      <xdr:nvGraphicFramePr>
        <xdr:cNvPr id="5" name="Chart 4">
          <a:extLst>
            <a:ext uri="{FF2B5EF4-FFF2-40B4-BE49-F238E27FC236}">
              <a16:creationId xmlns:a16="http://schemas.microsoft.com/office/drawing/2014/main" id="{89ADA518-9A2B-4652-B38A-706979F4C8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783617</xdr:colOff>
      <xdr:row>10</xdr:row>
      <xdr:rowOff>6724</xdr:rowOff>
    </xdr:from>
    <xdr:to>
      <xdr:col>10</xdr:col>
      <xdr:colOff>896471</xdr:colOff>
      <xdr:row>17</xdr:row>
      <xdr:rowOff>246156</xdr:rowOff>
    </xdr:to>
    <xdr:graphicFrame macro="">
      <xdr:nvGraphicFramePr>
        <xdr:cNvPr id="6" name="Chart 5">
          <a:extLst>
            <a:ext uri="{FF2B5EF4-FFF2-40B4-BE49-F238E27FC236}">
              <a16:creationId xmlns:a16="http://schemas.microsoft.com/office/drawing/2014/main" id="{44890057-3B86-4F5A-8EFB-2CE7C36911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952499</xdr:colOff>
      <xdr:row>10</xdr:row>
      <xdr:rowOff>0</xdr:rowOff>
    </xdr:from>
    <xdr:to>
      <xdr:col>16</xdr:col>
      <xdr:colOff>905462</xdr:colOff>
      <xdr:row>17</xdr:row>
      <xdr:rowOff>242794</xdr:rowOff>
    </xdr:to>
    <xdr:graphicFrame macro="">
      <xdr:nvGraphicFramePr>
        <xdr:cNvPr id="7" name="Chart 6">
          <a:extLst>
            <a:ext uri="{FF2B5EF4-FFF2-40B4-BE49-F238E27FC236}">
              <a16:creationId xmlns:a16="http://schemas.microsoft.com/office/drawing/2014/main" id="{39A890B1-5258-4851-AE7A-50C981ACE3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19</xdr:row>
      <xdr:rowOff>1</xdr:rowOff>
    </xdr:from>
    <xdr:to>
      <xdr:col>5</xdr:col>
      <xdr:colOff>858426</xdr:colOff>
      <xdr:row>28</xdr:row>
      <xdr:rowOff>246945</xdr:rowOff>
    </xdr:to>
    <xdr:graphicFrame macro="">
      <xdr:nvGraphicFramePr>
        <xdr:cNvPr id="8" name="Chart 7">
          <a:extLst>
            <a:ext uri="{FF2B5EF4-FFF2-40B4-BE49-F238E27FC236}">
              <a16:creationId xmlns:a16="http://schemas.microsoft.com/office/drawing/2014/main" id="{3F327087-3B8D-45FF-9CA4-9F9DADA49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952499</xdr:colOff>
      <xdr:row>19</xdr:row>
      <xdr:rowOff>0</xdr:rowOff>
    </xdr:from>
    <xdr:to>
      <xdr:col>9</xdr:col>
      <xdr:colOff>893704</xdr:colOff>
      <xdr:row>28</xdr:row>
      <xdr:rowOff>246944</xdr:rowOff>
    </xdr:to>
    <xdr:graphicFrame macro="">
      <xdr:nvGraphicFramePr>
        <xdr:cNvPr id="9" name="Chart 8">
          <a:extLst>
            <a:ext uri="{FF2B5EF4-FFF2-40B4-BE49-F238E27FC236}">
              <a16:creationId xmlns:a16="http://schemas.microsoft.com/office/drawing/2014/main" id="{5001056B-8AAE-43F2-A149-7E32D9E182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952499</xdr:colOff>
      <xdr:row>19</xdr:row>
      <xdr:rowOff>0</xdr:rowOff>
    </xdr:from>
    <xdr:to>
      <xdr:col>13</xdr:col>
      <xdr:colOff>282222</xdr:colOff>
      <xdr:row>28</xdr:row>
      <xdr:rowOff>246944</xdr:rowOff>
    </xdr:to>
    <xdr:graphicFrame macro="">
      <xdr:nvGraphicFramePr>
        <xdr:cNvPr id="10" name="Chart 9">
          <a:extLst>
            <a:ext uri="{FF2B5EF4-FFF2-40B4-BE49-F238E27FC236}">
              <a16:creationId xmlns:a16="http://schemas.microsoft.com/office/drawing/2014/main" id="{834C5566-96AF-41BC-80E7-767B0F394C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317500</xdr:colOff>
      <xdr:row>19</xdr:row>
      <xdr:rowOff>23518</xdr:rowOff>
    </xdr:from>
    <xdr:to>
      <xdr:col>16</xdr:col>
      <xdr:colOff>940741</xdr:colOff>
      <xdr:row>29</xdr:row>
      <xdr:rowOff>35278</xdr:rowOff>
    </xdr:to>
    <xdr:graphicFrame macro="">
      <xdr:nvGraphicFramePr>
        <xdr:cNvPr id="11" name="Chart 10">
          <a:extLst>
            <a:ext uri="{FF2B5EF4-FFF2-40B4-BE49-F238E27FC236}">
              <a16:creationId xmlns:a16="http://schemas.microsoft.com/office/drawing/2014/main" id="{B582C4B0-55B0-4AC9-BB22-A7415F6D94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18</xdr:col>
      <xdr:colOff>830385</xdr:colOff>
      <xdr:row>0</xdr:row>
      <xdr:rowOff>146540</xdr:rowOff>
    </xdr:from>
    <xdr:to>
      <xdr:col>20</xdr:col>
      <xdr:colOff>334109</xdr:colOff>
      <xdr:row>10</xdr:row>
      <xdr:rowOff>146538</xdr:rowOff>
    </xdr:to>
    <mc:AlternateContent xmlns:mc="http://schemas.openxmlformats.org/markup-compatibility/2006" xmlns:a14="http://schemas.microsoft.com/office/drawing/2010/main">
      <mc:Choice Requires="a14">
        <xdr:graphicFrame macro="">
          <xdr:nvGraphicFramePr>
            <xdr:cNvPr id="13" name="Region">
              <a:extLst>
                <a:ext uri="{FF2B5EF4-FFF2-40B4-BE49-F238E27FC236}">
                  <a16:creationId xmlns:a16="http://schemas.microsoft.com/office/drawing/2014/main" id="{8DC5CD94-CF4E-4943-BF7D-2C65E2B6B3B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7568985" y="146540"/>
              <a:ext cx="1840523" cy="25399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918307</xdr:colOff>
      <xdr:row>10</xdr:row>
      <xdr:rowOff>244231</xdr:rowOff>
    </xdr:from>
    <xdr:to>
      <xdr:col>20</xdr:col>
      <xdr:colOff>422031</xdr:colOff>
      <xdr:row>20</xdr:row>
      <xdr:rowOff>228356</xdr:rowOff>
    </xdr:to>
    <mc:AlternateContent xmlns:mc="http://schemas.openxmlformats.org/markup-compatibility/2006" xmlns:a14="http://schemas.microsoft.com/office/drawing/2010/main">
      <mc:Choice Requires="a14">
        <xdr:graphicFrame macro="">
          <xdr:nvGraphicFramePr>
            <xdr:cNvPr id="14" name="Category">
              <a:extLst>
                <a:ext uri="{FF2B5EF4-FFF2-40B4-BE49-F238E27FC236}">
                  <a16:creationId xmlns:a16="http://schemas.microsoft.com/office/drawing/2014/main" id="{273AFB45-BBAB-4F2B-AA0D-7567FD159DF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7656907" y="2784231"/>
              <a:ext cx="1840523"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77383</xdr:colOff>
      <xdr:row>3</xdr:row>
      <xdr:rowOff>170551</xdr:rowOff>
    </xdr:from>
    <xdr:to>
      <xdr:col>18</xdr:col>
      <xdr:colOff>743643</xdr:colOff>
      <xdr:row>9</xdr:row>
      <xdr:rowOff>208882</xdr:rowOff>
    </xdr:to>
    <mc:AlternateContent xmlns:mc="http://schemas.openxmlformats.org/markup-compatibility/2006" xmlns:a14="http://schemas.microsoft.com/office/drawing/2010/main">
      <mc:Choice Requires="a14">
        <xdr:graphicFrame macro="">
          <xdr:nvGraphicFramePr>
            <xdr:cNvPr id="15" name="Customer_Segment">
              <a:extLst>
                <a:ext uri="{FF2B5EF4-FFF2-40B4-BE49-F238E27FC236}">
                  <a16:creationId xmlns:a16="http://schemas.microsoft.com/office/drawing/2014/main" id="{AE48BF2E-9676-4B22-9BF9-FF323F977A8A}"/>
                </a:ext>
              </a:extLst>
            </xdr:cNvPr>
            <xdr:cNvGraphicFramePr/>
          </xdr:nvGraphicFramePr>
          <xdr:xfrm>
            <a:off x="0" y="0"/>
            <a:ext cx="0" cy="0"/>
          </xdr:xfrm>
          <a:graphic>
            <a:graphicData uri="http://schemas.microsoft.com/office/drawing/2010/slicer">
              <sle:slicer xmlns:sle="http://schemas.microsoft.com/office/drawing/2010/slicer" name="Customer_Segment"/>
            </a:graphicData>
          </a:graphic>
        </xdr:graphicFrame>
      </mc:Choice>
      <mc:Fallback xmlns="">
        <xdr:sp macro="" textlink="">
          <xdr:nvSpPr>
            <xdr:cNvPr id="0" name=""/>
            <xdr:cNvSpPr>
              <a:spLocks noTextEdit="1"/>
            </xdr:cNvSpPr>
          </xdr:nvSpPr>
          <xdr:spPr>
            <a:xfrm>
              <a:off x="15706850" y="932551"/>
              <a:ext cx="1826194" cy="15623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67099</xdr:colOff>
      <xdr:row>10</xdr:row>
      <xdr:rowOff>169472</xdr:rowOff>
    </xdr:from>
    <xdr:to>
      <xdr:col>18</xdr:col>
      <xdr:colOff>733359</xdr:colOff>
      <xdr:row>21</xdr:row>
      <xdr:rowOff>58487</xdr:rowOff>
    </xdr:to>
    <mc:AlternateContent xmlns:mc="http://schemas.openxmlformats.org/markup-compatibility/2006" xmlns:a14="http://schemas.microsoft.com/office/drawing/2010/main">
      <mc:Choice Requires="a14">
        <xdr:graphicFrame macro="">
          <xdr:nvGraphicFramePr>
            <xdr:cNvPr id="16" name="Payment_Method">
              <a:extLst>
                <a:ext uri="{FF2B5EF4-FFF2-40B4-BE49-F238E27FC236}">
                  <a16:creationId xmlns:a16="http://schemas.microsoft.com/office/drawing/2014/main" id="{C9878A5F-D8C0-44F6-8C51-08D727242999}"/>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15696566" y="2709472"/>
              <a:ext cx="1826194" cy="26830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107461</xdr:colOff>
      <xdr:row>21</xdr:row>
      <xdr:rowOff>126999</xdr:rowOff>
    </xdr:from>
    <xdr:to>
      <xdr:col>20</xdr:col>
      <xdr:colOff>488461</xdr:colOff>
      <xdr:row>29</xdr:row>
      <xdr:rowOff>68384</xdr:rowOff>
    </xdr:to>
    <mc:AlternateContent xmlns:mc="http://schemas.openxmlformats.org/markup-compatibility/2006" xmlns:tsle="http://schemas.microsoft.com/office/drawing/2012/timeslicer">
      <mc:Choice Requires="tsle">
        <xdr:graphicFrame macro="">
          <xdr:nvGraphicFramePr>
            <xdr:cNvPr id="17" name="Order_Date">
              <a:extLst>
                <a:ext uri="{FF2B5EF4-FFF2-40B4-BE49-F238E27FC236}">
                  <a16:creationId xmlns:a16="http://schemas.microsoft.com/office/drawing/2014/main" id="{3498F2BE-40E1-4132-BC87-ECC87399BC8E}"/>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15677661" y="5460999"/>
              <a:ext cx="3886200" cy="197338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USER" refreshedDate="46248.471062384262" createdVersion="8" refreshedVersion="8" minRefreshableVersion="3" recordCount="2008">
  <cacheSource type="worksheet">
    <worksheetSource name="tblSales"/>
  </cacheSource>
  <cacheFields count="14">
    <cacheField name="Order_ID" numFmtId="0">
      <sharedItems containsBlank="1"/>
    </cacheField>
    <cacheField name="Order_Date" numFmtId="0">
      <sharedItems containsNonDate="0" containsDate="1" containsString="0" containsBlank="1" minDate="2024-01-01T00:00:00" maxDate="2026-08-15T00:00:00" count="733">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5T00:00:00"/>
        <d v="2024-10-16T00:00:00"/>
        <d v="2024-10-17T00:00:00"/>
        <d v="2024-10-18T00:00:00"/>
        <d v="2024-10-19T00:00:00"/>
        <d v="2024-10-20T00:00:00"/>
        <d v="2024-10-21T00:00:00"/>
        <d v="2024-10-22T00:00:00"/>
        <d v="2024-10-23T00:00:00"/>
        <d v="2024-10-24T00:00:00"/>
        <d v="2024-10-25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7T00:00:00"/>
        <d v="2025-04-28T00:00:00"/>
        <d v="2025-04-29T00:00:00"/>
        <d v="2025-04-30T00:00:00"/>
        <d v="2025-05-01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7T00:00:00"/>
        <d v="2025-06-08T00:00:00"/>
        <d v="2025-06-09T00:00:00"/>
        <d v="2025-06-10T00:00:00"/>
        <d v="2025-06-11T00:00:00"/>
        <d v="2025-06-12T00:00:00"/>
        <d v="2025-06-13T00:00:00"/>
        <d v="2025-06-14T00:00:00"/>
        <d v="2025-06-15T00:00:00"/>
        <d v="2025-06-16T00:00:00"/>
        <d v="2025-06-17T00:00:00"/>
        <d v="2025-06-18T00:00:00"/>
        <d v="2025-06-19T00:00:00"/>
        <d v="2025-06-20T00:00:00"/>
        <d v="2025-06-21T00:00:00"/>
        <d v="2025-06-22T00:00:00"/>
        <d v="2025-06-23T00:00:00"/>
        <d v="2025-06-24T00:00:00"/>
        <d v="2025-06-25T00:00:00"/>
        <d v="2025-06-26T00:00:00"/>
        <d v="2025-06-27T00:00:00"/>
        <d v="2025-06-28T00:00:00"/>
        <d v="2025-06-29T00:00:00"/>
        <d v="2025-06-30T00:00:00"/>
        <d v="2025-07-01T00:00:00"/>
        <d v="2025-07-02T00:00:00"/>
        <d v="2025-07-03T00:00:00"/>
        <d v="2025-07-04T00:00:00"/>
        <d v="2025-07-05T00:00:00"/>
        <d v="2025-07-06T00:00:00"/>
        <d v="2025-07-07T00:00:00"/>
        <d v="2025-07-08T00:00:00"/>
        <d v="2025-07-09T00:00:00"/>
        <d v="2025-07-10T00:00:00"/>
        <d v="2025-07-11T00:00:00"/>
        <d v="2025-07-12T00:00:00"/>
        <d v="2025-07-13T00:00:00"/>
        <d v="2025-07-14T00:00:00"/>
        <d v="2025-07-15T00:00:00"/>
        <d v="2025-07-16T00:00:00"/>
        <d v="2025-07-17T00:00:00"/>
        <d v="2025-07-18T00:00:00"/>
        <d v="2025-07-19T00:00:00"/>
        <d v="2025-07-20T00:00:00"/>
        <d v="2025-07-21T00:00:00"/>
        <d v="2025-07-22T00:00:00"/>
        <d v="2025-07-23T00:00:00"/>
        <d v="2025-07-24T00:00:00"/>
        <d v="2025-07-25T00:00:00"/>
        <d v="2025-07-26T00:00:00"/>
        <d v="2025-07-27T00:00:00"/>
        <d v="2025-07-28T00:00:00"/>
        <d v="2025-07-29T00:00:00"/>
        <d v="2025-07-30T00:00:00"/>
        <d v="2025-07-31T00:00:00"/>
        <d v="2025-08-01T00:00:00"/>
        <d v="2025-08-02T00:00:00"/>
        <d v="2025-08-03T00:00:00"/>
        <d v="2025-08-04T00:00:00"/>
        <d v="2025-08-05T00:00:00"/>
        <d v="2025-08-06T00:00:00"/>
        <d v="2025-08-07T00:00:00"/>
        <d v="2025-08-08T00:00:00"/>
        <d v="2025-08-09T00:00:00"/>
        <d v="2025-08-10T00:00:00"/>
        <d v="2025-08-11T00:00:00"/>
        <d v="2025-08-12T00:00:00"/>
        <d v="2025-08-13T00:00:00"/>
        <d v="2025-08-14T00:00:00"/>
        <d v="2025-08-15T00:00:00"/>
        <d v="2025-08-16T00:00:00"/>
        <d v="2025-08-17T00:00:00"/>
        <d v="2025-08-18T00:00:00"/>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d v="2025-12-20T00:00:00"/>
        <d v="2025-12-21T00:00:00"/>
        <d v="2025-12-22T00:00:00"/>
        <d v="2025-12-23T00:00:00"/>
        <d v="2025-12-24T00:00:00"/>
        <d v="2025-12-25T00:00:00"/>
        <d v="2025-12-26T00:00:00"/>
        <d v="2025-12-27T00:00:00"/>
        <d v="2025-12-28T00:00:00"/>
        <d v="2025-12-29T00:00:00"/>
        <d v="2025-12-30T00:00:00"/>
        <d v="2025-12-31T00:00:00"/>
        <m/>
        <d v="2026-08-14T00:00:00"/>
      </sharedItems>
      <fieldGroup base="1">
        <rangePr groupBy="months" startDate="2024-01-01T00:00:00" endDate="2026-08-15T00:00:00"/>
        <groupItems count="14">
          <s v="(blank)"/>
          <s v="Jan"/>
          <s v="Feb"/>
          <s v="Mar"/>
          <s v="Apr"/>
          <s v="May"/>
          <s v="Jun"/>
          <s v="Jul"/>
          <s v="Aug"/>
          <s v="Sep"/>
          <s v="Oct"/>
          <s v="Nov"/>
          <s v="Dec"/>
          <s v="&gt;15-08-2026"/>
        </groupItems>
      </fieldGroup>
    </cacheField>
    <cacheField name="State" numFmtId="0">
      <sharedItems containsBlank="1" count="16">
        <s v="Uttar Pradesh"/>
        <s v="Madhya Pradesh"/>
        <s v="Gujarat"/>
        <s v="Haryana"/>
        <s v="Andhra Pradesh"/>
        <s v="Odisha"/>
        <s v="Tamil Nadu"/>
        <s v="Telangana"/>
        <s v="Rajasthan"/>
        <s v="Karnataka"/>
        <s v="Punjab"/>
        <s v="Kerala"/>
        <s v="Maharashtra"/>
        <s v="West Bengal"/>
        <s v="Delhi"/>
        <m/>
      </sharedItems>
    </cacheField>
    <cacheField name="City" numFmtId="0">
      <sharedItems containsBlank="1" count="19">
        <s v="Bengaluru"/>
        <s v="Mumbai"/>
        <s v="Chennai"/>
        <s v="Kochi"/>
        <s v="Hyderabad"/>
        <s v="Vijayawada"/>
        <s v="Ahmedabad"/>
        <s v="Jaipur"/>
        <s v="New Delhi"/>
        <s v="Kolkata"/>
        <s v="Lucknow"/>
        <s v="Indore"/>
        <s v="Bhubaneswar"/>
        <s v="Chandigarh"/>
        <s v="Gurugram"/>
        <s v="Ongole"/>
        <m/>
        <s v="Ballari"/>
        <s v="fds" u="1"/>
      </sharedItems>
    </cacheField>
    <cacheField name="Region" numFmtId="0">
      <sharedItems containsBlank="1" count="6">
        <s v="East"/>
        <s v="Central"/>
        <s v="West"/>
        <s v="South"/>
        <s v="North"/>
        <m/>
      </sharedItems>
    </cacheField>
    <cacheField name="Category" numFmtId="0">
      <sharedItems containsBlank="1" count="7">
        <s v="Grocery"/>
        <s v="Clothing"/>
        <s v="Furniture"/>
        <s v="Sports"/>
        <s v="Books"/>
        <s v="Electronics"/>
        <m/>
      </sharedItems>
    </cacheField>
    <cacheField name="Product" numFmtId="0">
      <sharedItems containsBlank="1"/>
    </cacheField>
    <cacheField name="Customer_Segment" numFmtId="0">
      <sharedItems containsBlank="1" count="4">
        <s v="Consumer"/>
        <s v="Small Business"/>
        <s v="Corporate"/>
        <m/>
      </sharedItems>
    </cacheField>
    <cacheField name="Quantity" numFmtId="0">
      <sharedItems containsString="0" containsBlank="1" containsNumber="1" containsInteger="1" minValue="1" maxValue="214"/>
    </cacheField>
    <cacheField name="Unit_Price" numFmtId="0">
      <sharedItems containsString="0" containsBlank="1" containsNumber="1" minValue="2" maxValue="79763.23"/>
    </cacheField>
    <cacheField name="Discount_Percent" numFmtId="0">
      <sharedItems containsString="0" containsBlank="1" containsNumber="1" minValue="0.04" maxValue="29.99"/>
    </cacheField>
    <cacheField name="Sales" numFmtId="0">
      <sharedItems containsString="0" containsBlank="1" containsNumber="1" minValue="45" maxValue="717798.99"/>
    </cacheField>
    <cacheField name="Profit" numFmtId="0">
      <sharedItems containsString="0" containsBlank="1" containsNumber="1" minValue="5.4" maxValue="190246.97"/>
    </cacheField>
    <cacheField name="Payment_Method" numFmtId="0">
      <sharedItems containsBlank="1" count="6">
        <s v="Cash"/>
        <s v="Debit Card"/>
        <s v="Net Banking"/>
        <s v="UPI"/>
        <s v="Credit Card"/>
        <m/>
      </sharedItems>
    </cacheField>
  </cacheFields>
  <extLst>
    <ext xmlns:x14="http://schemas.microsoft.com/office/spreadsheetml/2009/9/main" uri="{725AE2AE-9491-48be-B2B4-4EB974FC3084}">
      <x14:pivotCacheDefinition pivotCacheId="10608073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8">
  <r>
    <s v="ORD100001"/>
    <x v="0"/>
    <x v="0"/>
    <x v="0"/>
    <x v="0"/>
    <x v="0"/>
    <s v="Snacks"/>
    <x v="0"/>
    <n v="8"/>
    <n v="1816.04"/>
    <n v="4.68"/>
    <n v="13848.39"/>
    <n v="1232.49"/>
    <x v="0"/>
  </r>
  <r>
    <s v="ORD100002"/>
    <x v="0"/>
    <x v="1"/>
    <x v="1"/>
    <x v="1"/>
    <x v="1"/>
    <s v="Shoes"/>
    <x v="0"/>
    <n v="2"/>
    <n v="5859.39"/>
    <n v="28.16"/>
    <n v="8418.77"/>
    <n v="422.58"/>
    <x v="0"/>
  </r>
  <r>
    <s v="ORD100003"/>
    <x v="0"/>
    <x v="1"/>
    <x v="2"/>
    <x v="2"/>
    <x v="2"/>
    <s v="Table"/>
    <x v="1"/>
    <n v="9"/>
    <n v="12357.94"/>
    <n v="18.36"/>
    <n v="90801.2"/>
    <n v="7706.61"/>
    <x v="1"/>
  </r>
  <r>
    <s v="ORD100004"/>
    <x v="1"/>
    <x v="2"/>
    <x v="3"/>
    <x v="3"/>
    <x v="0"/>
    <s v="Coffee"/>
    <x v="0"/>
    <n v="9"/>
    <n v="187.03"/>
    <n v="18.23"/>
    <n v="1376.41"/>
    <n v="127.5"/>
    <x v="0"/>
  </r>
  <r>
    <s v="ORD100005"/>
    <x v="1"/>
    <x v="3"/>
    <x v="4"/>
    <x v="2"/>
    <x v="3"/>
    <s v="Football"/>
    <x v="1"/>
    <n v="10"/>
    <n v="3185.21"/>
    <n v="2.93"/>
    <n v="30918.83"/>
    <n v="6834.86"/>
    <x v="0"/>
  </r>
  <r>
    <s v="ORD100006"/>
    <x v="1"/>
    <x v="4"/>
    <x v="5"/>
    <x v="3"/>
    <x v="4"/>
    <s v="Notebook"/>
    <x v="2"/>
    <n v="1"/>
    <n v="721.07"/>
    <n v="19.88"/>
    <n v="577.72"/>
    <n v="73.91"/>
    <x v="2"/>
  </r>
  <r>
    <s v="ORD100007"/>
    <x v="2"/>
    <x v="3"/>
    <x v="6"/>
    <x v="2"/>
    <x v="2"/>
    <s v="Desk"/>
    <x v="0"/>
    <n v="2"/>
    <n v="16410.86"/>
    <n v="27.8"/>
    <n v="23697.279999999999"/>
    <n v="5493.46"/>
    <x v="2"/>
  </r>
  <r>
    <s v="ORD100008"/>
    <x v="2"/>
    <x v="5"/>
    <x v="7"/>
    <x v="4"/>
    <x v="4"/>
    <s v="Textbook"/>
    <x v="0"/>
    <n v="5"/>
    <n v="1508.2"/>
    <n v="28.96"/>
    <n v="5357.13"/>
    <n v="1080.8499999999999"/>
    <x v="2"/>
  </r>
  <r>
    <s v="ORD100009"/>
    <x v="2"/>
    <x v="3"/>
    <x v="8"/>
    <x v="0"/>
    <x v="5"/>
    <s v="Laptop"/>
    <x v="1"/>
    <n v="7"/>
    <n v="34160.42"/>
    <n v="11.85"/>
    <n v="210786.87"/>
    <n v="26005.21"/>
    <x v="3"/>
  </r>
  <r>
    <s v="ORD100010"/>
    <x v="3"/>
    <x v="1"/>
    <x v="9"/>
    <x v="4"/>
    <x v="1"/>
    <s v="Jacket"/>
    <x v="2"/>
    <n v="1"/>
    <n v="4965.8900000000003"/>
    <n v="27.79"/>
    <n v="3585.87"/>
    <n v="762.96"/>
    <x v="3"/>
  </r>
  <r>
    <s v="ORD100011"/>
    <x v="3"/>
    <x v="6"/>
    <x v="10"/>
    <x v="1"/>
    <x v="3"/>
    <s v="Tennis Ball"/>
    <x v="1"/>
    <n v="3"/>
    <n v="5994.72"/>
    <n v="8.24"/>
    <n v="16502.27"/>
    <n v="3140.56"/>
    <x v="1"/>
  </r>
  <r>
    <s v="ORD100012"/>
    <x v="4"/>
    <x v="3"/>
    <x v="11"/>
    <x v="3"/>
    <x v="5"/>
    <s v="Keyboard"/>
    <x v="2"/>
    <n v="10"/>
    <n v="19260.8"/>
    <n v="7.68"/>
    <n v="177815.71"/>
    <n v="10688.22"/>
    <x v="0"/>
  </r>
  <r>
    <s v="ORD100013"/>
    <x v="4"/>
    <x v="7"/>
    <x v="12"/>
    <x v="1"/>
    <x v="4"/>
    <s v="Notebook"/>
    <x v="1"/>
    <n v="7"/>
    <n v="1240.8900000000001"/>
    <n v="16.899999999999999"/>
    <n v="7218.26"/>
    <n v="1616.02"/>
    <x v="1"/>
  </r>
  <r>
    <s v="ORD100014"/>
    <x v="4"/>
    <x v="5"/>
    <x v="13"/>
    <x v="4"/>
    <x v="4"/>
    <s v="Comics"/>
    <x v="0"/>
    <n v="7"/>
    <n v="795.4"/>
    <n v="4.84"/>
    <n v="5298.32"/>
    <n v="1496.37"/>
    <x v="0"/>
  </r>
  <r>
    <s v="ORD100015"/>
    <x v="5"/>
    <x v="1"/>
    <x v="14"/>
    <x v="4"/>
    <x v="0"/>
    <s v="Coffee"/>
    <x v="1"/>
    <n v="4"/>
    <n v="2683.05"/>
    <n v="16.18"/>
    <n v="8995.73"/>
    <n v="2265.66"/>
    <x v="3"/>
  </r>
  <r>
    <s v="ORD100016"/>
    <x v="5"/>
    <x v="8"/>
    <x v="0"/>
    <x v="0"/>
    <x v="5"/>
    <s v="Laptop"/>
    <x v="0"/>
    <n v="9"/>
    <n v="65532.17"/>
    <n v="25.82"/>
    <n v="437505.87"/>
    <n v="22635.69"/>
    <x v="2"/>
  </r>
  <r>
    <s v="ORD100017"/>
    <x v="5"/>
    <x v="8"/>
    <x v="1"/>
    <x v="4"/>
    <x v="5"/>
    <s v="Headphones"/>
    <x v="0"/>
    <n v="10"/>
    <n v="27340.41"/>
    <n v="28.29"/>
    <n v="196058.08"/>
    <n v="25644.54"/>
    <x v="3"/>
  </r>
  <r>
    <s v="ORD100018"/>
    <x v="6"/>
    <x v="9"/>
    <x v="2"/>
    <x v="0"/>
    <x v="2"/>
    <s v="Sofa"/>
    <x v="0"/>
    <n v="7"/>
    <n v="20392.689999999999"/>
    <n v="9.0299999999999994"/>
    <n v="129858.61"/>
    <n v="15740.18"/>
    <x v="4"/>
  </r>
  <r>
    <s v="ORD100019"/>
    <x v="6"/>
    <x v="10"/>
    <x v="3"/>
    <x v="3"/>
    <x v="2"/>
    <s v="Sofa"/>
    <x v="0"/>
    <n v="6"/>
    <n v="2288.98"/>
    <n v="10.35"/>
    <n v="12312.42"/>
    <n v="2568.2199999999998"/>
    <x v="0"/>
  </r>
  <r>
    <s v="ORD100020"/>
    <x v="6"/>
    <x v="8"/>
    <x v="4"/>
    <x v="1"/>
    <x v="2"/>
    <s v="Sofa"/>
    <x v="2"/>
    <n v="7"/>
    <n v="30703.16"/>
    <n v="7.13"/>
    <n v="199598.17"/>
    <n v="46317.57"/>
    <x v="1"/>
  </r>
  <r>
    <s v="ORD100021"/>
    <x v="7"/>
    <x v="11"/>
    <x v="5"/>
    <x v="0"/>
    <x v="5"/>
    <s v="Laptop"/>
    <x v="2"/>
    <n v="6"/>
    <n v="55817.120000000003"/>
    <n v="25.75"/>
    <n v="248665.27"/>
    <n v="32696.93"/>
    <x v="1"/>
  </r>
  <r>
    <s v="ORD100022"/>
    <x v="7"/>
    <x v="12"/>
    <x v="6"/>
    <x v="4"/>
    <x v="1"/>
    <s v="Dress"/>
    <x v="1"/>
    <n v="7"/>
    <n v="1642.62"/>
    <n v="20.73"/>
    <n v="9114.73"/>
    <n v="1336.98"/>
    <x v="0"/>
  </r>
  <r>
    <s v="ORD100023"/>
    <x v="8"/>
    <x v="1"/>
    <x v="7"/>
    <x v="3"/>
    <x v="5"/>
    <s v="Laptop"/>
    <x v="0"/>
    <n v="2"/>
    <n v="74013.14"/>
    <n v="26.32"/>
    <n v="109065.76"/>
    <n v="12486.44"/>
    <x v="0"/>
  </r>
  <r>
    <s v="ORD100024"/>
    <x v="8"/>
    <x v="0"/>
    <x v="8"/>
    <x v="4"/>
    <x v="0"/>
    <s v="Rice"/>
    <x v="0"/>
    <n v="2"/>
    <n v="2988.95"/>
    <n v="28.96"/>
    <n v="4246.7"/>
    <n v="805.06"/>
    <x v="1"/>
  </r>
  <r>
    <s v="ORD100025"/>
    <x v="8"/>
    <x v="0"/>
    <x v="9"/>
    <x v="4"/>
    <x v="1"/>
    <s v="Jacket"/>
    <x v="2"/>
    <n v="4"/>
    <n v="7130.57"/>
    <n v="23.4"/>
    <n v="21848.07"/>
    <n v="4599.1899999999996"/>
    <x v="0"/>
  </r>
  <r>
    <s v="ORD100026"/>
    <x v="9"/>
    <x v="12"/>
    <x v="10"/>
    <x v="3"/>
    <x v="3"/>
    <s v="Badminton Racket"/>
    <x v="2"/>
    <n v="9"/>
    <n v="6702.32"/>
    <n v="0.15"/>
    <n v="60230.400000000001"/>
    <n v="5432.9"/>
    <x v="1"/>
  </r>
  <r>
    <s v="ORD100027"/>
    <x v="9"/>
    <x v="11"/>
    <x v="11"/>
    <x v="0"/>
    <x v="4"/>
    <s v="Novel"/>
    <x v="0"/>
    <n v="4"/>
    <n v="1809.23"/>
    <n v="7.12"/>
    <n v="6721.65"/>
    <n v="882.89"/>
    <x v="3"/>
  </r>
  <r>
    <s v="ORD100028"/>
    <x v="9"/>
    <x v="4"/>
    <x v="12"/>
    <x v="1"/>
    <x v="0"/>
    <s v="Tea"/>
    <x v="1"/>
    <n v="3"/>
    <n v="1927.18"/>
    <n v="7.51"/>
    <n v="5347.35"/>
    <n v="1055.93"/>
    <x v="1"/>
  </r>
  <r>
    <s v="ORD100029"/>
    <x v="10"/>
    <x v="7"/>
    <x v="13"/>
    <x v="2"/>
    <x v="1"/>
    <s v="Jeans"/>
    <x v="0"/>
    <n v="5"/>
    <n v="4170.3100000000004"/>
    <n v="17.309999999999999"/>
    <n v="17242.150000000001"/>
    <n v="2985.12"/>
    <x v="1"/>
  </r>
  <r>
    <s v="ORD100030"/>
    <x v="10"/>
    <x v="10"/>
    <x v="14"/>
    <x v="1"/>
    <x v="0"/>
    <s v="Tea"/>
    <x v="2"/>
    <n v="1"/>
    <n v="178.63"/>
    <n v="29.84"/>
    <n v="125.33"/>
    <n v="20.99"/>
    <x v="1"/>
  </r>
  <r>
    <s v="ORD100031"/>
    <x v="10"/>
    <x v="6"/>
    <x v="0"/>
    <x v="2"/>
    <x v="0"/>
    <s v="Rice"/>
    <x v="0"/>
    <n v="5"/>
    <n v="2788.54"/>
    <n v="12.85"/>
    <n v="12151.06"/>
    <n v="3544.02"/>
    <x v="0"/>
  </r>
  <r>
    <s v="ORD100032"/>
    <x v="11"/>
    <x v="13"/>
    <x v="1"/>
    <x v="3"/>
    <x v="4"/>
    <s v="Dictionary"/>
    <x v="1"/>
    <n v="7"/>
    <n v="744.34"/>
    <n v="14.56"/>
    <n v="4451.75"/>
    <n v="637.36"/>
    <x v="4"/>
  </r>
  <r>
    <s v="ORD100033"/>
    <x v="11"/>
    <x v="0"/>
    <x v="2"/>
    <x v="1"/>
    <x v="3"/>
    <s v="Football"/>
    <x v="2"/>
    <n v="10"/>
    <n v="8798.26"/>
    <n v="22.22"/>
    <n v="68432.87"/>
    <n v="15346.34"/>
    <x v="4"/>
  </r>
  <r>
    <s v="ORD100034"/>
    <x v="12"/>
    <x v="11"/>
    <x v="3"/>
    <x v="1"/>
    <x v="1"/>
    <s v="Jeans"/>
    <x v="0"/>
    <n v="9"/>
    <n v="5008.66"/>
    <n v="2.4500000000000002"/>
    <n v="43973.53"/>
    <n v="2255.6799999999998"/>
    <x v="0"/>
  </r>
  <r>
    <s v="ORD100035"/>
    <x v="12"/>
    <x v="14"/>
    <x v="4"/>
    <x v="3"/>
    <x v="1"/>
    <s v="Dress"/>
    <x v="1"/>
    <n v="2"/>
    <n v="1023.66"/>
    <n v="17.350000000000001"/>
    <n v="1692.11"/>
    <n v="99.81"/>
    <x v="2"/>
  </r>
  <r>
    <s v="ORD100036"/>
    <x v="12"/>
    <x v="4"/>
    <x v="5"/>
    <x v="0"/>
    <x v="3"/>
    <s v="Football"/>
    <x v="0"/>
    <n v="10"/>
    <n v="498.9"/>
    <n v="1.1200000000000001"/>
    <n v="4933.12"/>
    <n v="1261.1500000000001"/>
    <x v="3"/>
  </r>
  <r>
    <s v="ORD100037"/>
    <x v="13"/>
    <x v="10"/>
    <x v="6"/>
    <x v="0"/>
    <x v="4"/>
    <s v="Comics"/>
    <x v="1"/>
    <n v="5"/>
    <n v="1197.44"/>
    <n v="25.26"/>
    <n v="4474.83"/>
    <n v="441.2"/>
    <x v="0"/>
  </r>
  <r>
    <s v="ORD100038"/>
    <x v="13"/>
    <x v="1"/>
    <x v="7"/>
    <x v="3"/>
    <x v="4"/>
    <s v="Textbook"/>
    <x v="1"/>
    <n v="10"/>
    <n v="875.1"/>
    <n v="23.86"/>
    <n v="6663.01"/>
    <n v="784.29"/>
    <x v="4"/>
  </r>
  <r>
    <s v="ORD100039"/>
    <x v="13"/>
    <x v="9"/>
    <x v="8"/>
    <x v="3"/>
    <x v="4"/>
    <s v="Textbook"/>
    <x v="2"/>
    <n v="5"/>
    <n v="294.10000000000002"/>
    <n v="12.85"/>
    <n v="1281.54"/>
    <n v="284.66000000000003"/>
    <x v="3"/>
  </r>
  <r>
    <s v="ORD100040"/>
    <x v="14"/>
    <x v="3"/>
    <x v="9"/>
    <x v="1"/>
    <x v="2"/>
    <s v="Office Chair"/>
    <x v="2"/>
    <n v="8"/>
    <n v="37449.949999999997"/>
    <n v="19.149999999999999"/>
    <n v="242226.28"/>
    <n v="43400.67"/>
    <x v="2"/>
  </r>
  <r>
    <s v="ORD100041"/>
    <x v="14"/>
    <x v="10"/>
    <x v="10"/>
    <x v="2"/>
    <x v="1"/>
    <s v="Dress"/>
    <x v="0"/>
    <n v="10"/>
    <n v="3040.99"/>
    <n v="22.74"/>
    <n v="23494.69"/>
    <n v="1259.28"/>
    <x v="3"/>
  </r>
  <r>
    <s v="ORD100042"/>
    <x v="14"/>
    <x v="2"/>
    <x v="11"/>
    <x v="2"/>
    <x v="3"/>
    <s v="Yoga Mat"/>
    <x v="0"/>
    <n v="5"/>
    <n v="4846.8999999999996"/>
    <n v="2.94"/>
    <n v="23522.01"/>
    <n v="4067.05"/>
    <x v="2"/>
  </r>
  <r>
    <s v="ORD100043"/>
    <x v="15"/>
    <x v="13"/>
    <x v="12"/>
    <x v="0"/>
    <x v="2"/>
    <s v="Desk"/>
    <x v="2"/>
    <n v="6"/>
    <n v="25768.65"/>
    <n v="1.36"/>
    <n v="152509.18"/>
    <n v="21908.42"/>
    <x v="3"/>
  </r>
  <r>
    <s v="ORD100044"/>
    <x v="15"/>
    <x v="1"/>
    <x v="13"/>
    <x v="0"/>
    <x v="4"/>
    <s v="Dictionary"/>
    <x v="2"/>
    <n v="4"/>
    <n v="1578.04"/>
    <n v="28.32"/>
    <n v="4524.5600000000004"/>
    <n v="1294.31"/>
    <x v="1"/>
  </r>
  <r>
    <s v="ORD100045"/>
    <x v="16"/>
    <x v="9"/>
    <x v="14"/>
    <x v="4"/>
    <x v="0"/>
    <s v="Rice"/>
    <x v="2"/>
    <n v="1"/>
    <n v="2443.0500000000002"/>
    <n v="24.62"/>
    <n v="1841.57"/>
    <n v="380.26"/>
    <x v="1"/>
  </r>
  <r>
    <s v="ORD100046"/>
    <x v="16"/>
    <x v="13"/>
    <x v="0"/>
    <x v="1"/>
    <x v="0"/>
    <s v="Snacks"/>
    <x v="2"/>
    <n v="2"/>
    <n v="164.94"/>
    <n v="18.55"/>
    <n v="268.69"/>
    <n v="36.04"/>
    <x v="4"/>
  </r>
  <r>
    <s v="ORD100047"/>
    <x v="16"/>
    <x v="5"/>
    <x v="1"/>
    <x v="0"/>
    <x v="2"/>
    <s v="Desk"/>
    <x v="0"/>
    <n v="3"/>
    <n v="11992.34"/>
    <n v="3.54"/>
    <n v="34703.43"/>
    <n v="7779.96"/>
    <x v="0"/>
  </r>
  <r>
    <s v="ORD100048"/>
    <x v="17"/>
    <x v="6"/>
    <x v="2"/>
    <x v="4"/>
    <x v="5"/>
    <s v="Keyboard"/>
    <x v="1"/>
    <n v="9"/>
    <n v="44063.76"/>
    <n v="12.7"/>
    <n v="346208.96"/>
    <n v="66517.149999999994"/>
    <x v="0"/>
  </r>
  <r>
    <s v="ORD100049"/>
    <x v="17"/>
    <x v="1"/>
    <x v="3"/>
    <x v="4"/>
    <x v="2"/>
    <s v="Office Chair"/>
    <x v="1"/>
    <n v="7"/>
    <n v="23641.22"/>
    <n v="26.01"/>
    <n v="122444.97"/>
    <n v="23321.69"/>
    <x v="2"/>
  </r>
  <r>
    <s v="ORD100050"/>
    <x v="17"/>
    <x v="14"/>
    <x v="4"/>
    <x v="1"/>
    <x v="5"/>
    <s v="Headphones"/>
    <x v="1"/>
    <n v="9"/>
    <n v="30529.45"/>
    <n v="16.03"/>
    <n v="230720.21"/>
    <n v="40177.69"/>
    <x v="1"/>
  </r>
  <r>
    <s v="ORD100051"/>
    <x v="18"/>
    <x v="3"/>
    <x v="5"/>
    <x v="2"/>
    <x v="5"/>
    <s v="Monitor"/>
    <x v="1"/>
    <n v="9"/>
    <n v="67847.88"/>
    <n v="10.65"/>
    <n v="545598.73"/>
    <n v="157787.26999999999"/>
    <x v="4"/>
  </r>
  <r>
    <s v="ORD100052"/>
    <x v="18"/>
    <x v="7"/>
    <x v="6"/>
    <x v="4"/>
    <x v="4"/>
    <s v="Dictionary"/>
    <x v="1"/>
    <n v="3"/>
    <n v="1545.86"/>
    <n v="16.61"/>
    <n v="3867.28"/>
    <n v="399.03"/>
    <x v="2"/>
  </r>
  <r>
    <s v="ORD100053"/>
    <x v="18"/>
    <x v="2"/>
    <x v="7"/>
    <x v="1"/>
    <x v="4"/>
    <s v="Textbook"/>
    <x v="1"/>
    <n v="10"/>
    <n v="238.14"/>
    <n v="16.489999999999998"/>
    <n v="1988.71"/>
    <n v="318.95"/>
    <x v="1"/>
  </r>
  <r>
    <s v="ORD100054"/>
    <x v="19"/>
    <x v="2"/>
    <x v="8"/>
    <x v="1"/>
    <x v="2"/>
    <s v="Sofa"/>
    <x v="2"/>
    <n v="9"/>
    <n v="30698.91"/>
    <n v="18.55"/>
    <n v="225038.36"/>
    <n v="16941.04"/>
    <x v="3"/>
  </r>
  <r>
    <s v="ORD100055"/>
    <x v="19"/>
    <x v="8"/>
    <x v="9"/>
    <x v="1"/>
    <x v="2"/>
    <s v="Bookshelf"/>
    <x v="0"/>
    <n v="10"/>
    <n v="6717.59"/>
    <n v="15.4"/>
    <n v="56830.81"/>
    <n v="6155.18"/>
    <x v="0"/>
  </r>
  <r>
    <s v="ORD100056"/>
    <x v="20"/>
    <x v="1"/>
    <x v="10"/>
    <x v="0"/>
    <x v="5"/>
    <s v="Laptop"/>
    <x v="2"/>
    <n v="4"/>
    <n v="28342.35"/>
    <n v="21.25"/>
    <n v="89278.399999999994"/>
    <n v="15214.53"/>
    <x v="4"/>
  </r>
  <r>
    <s v="ORD100057"/>
    <x v="20"/>
    <x v="5"/>
    <x v="11"/>
    <x v="4"/>
    <x v="1"/>
    <s v="Jacket"/>
    <x v="1"/>
    <n v="2"/>
    <n v="3908.69"/>
    <n v="1.69"/>
    <n v="7685.27"/>
    <n v="612.54999999999995"/>
    <x v="3"/>
  </r>
  <r>
    <s v="ORD100058"/>
    <x v="20"/>
    <x v="4"/>
    <x v="12"/>
    <x v="1"/>
    <x v="1"/>
    <s v="Shoes"/>
    <x v="2"/>
    <n v="9"/>
    <n v="3186.5"/>
    <n v="8.57"/>
    <n v="26220.75"/>
    <n v="7004.87"/>
    <x v="4"/>
  </r>
  <r>
    <s v="ORD100059"/>
    <x v="21"/>
    <x v="11"/>
    <x v="13"/>
    <x v="0"/>
    <x v="0"/>
    <s v="Snacks"/>
    <x v="1"/>
    <n v="5"/>
    <n v="178.03"/>
    <n v="27.74"/>
    <n v="643.22"/>
    <n v="179.96"/>
    <x v="0"/>
  </r>
  <r>
    <s v="ORD100060"/>
    <x v="21"/>
    <x v="4"/>
    <x v="14"/>
    <x v="0"/>
    <x v="5"/>
    <s v="Smartphone"/>
    <x v="1"/>
    <n v="9"/>
    <n v="17736.32"/>
    <n v="8.83"/>
    <n v="145531.82999999999"/>
    <n v="43507.88"/>
    <x v="3"/>
  </r>
  <r>
    <s v="ORD100061"/>
    <x v="21"/>
    <x v="1"/>
    <x v="0"/>
    <x v="1"/>
    <x v="1"/>
    <s v="Dress"/>
    <x v="2"/>
    <n v="10"/>
    <n v="7618.17"/>
    <n v="26.71"/>
    <n v="55833.57"/>
    <n v="9151.91"/>
    <x v="0"/>
  </r>
  <r>
    <s v="ORD100062"/>
    <x v="22"/>
    <x v="14"/>
    <x v="1"/>
    <x v="2"/>
    <x v="0"/>
    <s v="Cooking Oil"/>
    <x v="1"/>
    <n v="8"/>
    <n v="1092.3900000000001"/>
    <n v="17.510000000000002"/>
    <n v="7208.9"/>
    <n v="500.54"/>
    <x v="3"/>
  </r>
  <r>
    <s v="ORD100063"/>
    <x v="22"/>
    <x v="10"/>
    <x v="2"/>
    <x v="0"/>
    <x v="5"/>
    <s v="Laptop"/>
    <x v="0"/>
    <n v="5"/>
    <n v="65196.7"/>
    <n v="20.54"/>
    <n v="259026.49"/>
    <n v="23481.85"/>
    <x v="4"/>
  </r>
  <r>
    <s v="ORD100064"/>
    <x v="23"/>
    <x v="5"/>
    <x v="3"/>
    <x v="1"/>
    <x v="1"/>
    <s v="Shoes"/>
    <x v="1"/>
    <n v="9"/>
    <n v="3520.47"/>
    <n v="27.98"/>
    <n v="22818.98"/>
    <n v="6081.62"/>
    <x v="3"/>
  </r>
  <r>
    <s v="ORD100065"/>
    <x v="23"/>
    <x v="3"/>
    <x v="4"/>
    <x v="4"/>
    <x v="3"/>
    <s v="Cricket Bat"/>
    <x v="2"/>
    <n v="2"/>
    <n v="9875.31"/>
    <n v="4.51"/>
    <n v="18859.87"/>
    <n v="3744.3"/>
    <x v="1"/>
  </r>
  <r>
    <s v="ORD100066"/>
    <x v="23"/>
    <x v="2"/>
    <x v="5"/>
    <x v="2"/>
    <x v="1"/>
    <s v="T-Shirt"/>
    <x v="0"/>
    <n v="1"/>
    <n v="3908.94"/>
    <n v="12.44"/>
    <n v="3422.67"/>
    <n v="405.08"/>
    <x v="2"/>
  </r>
  <r>
    <s v="ORD100067"/>
    <x v="24"/>
    <x v="6"/>
    <x v="6"/>
    <x v="4"/>
    <x v="4"/>
    <s v="Notebook"/>
    <x v="0"/>
    <n v="5"/>
    <n v="1504.36"/>
    <n v="21.78"/>
    <n v="5883.55"/>
    <n v="1407.76"/>
    <x v="3"/>
  </r>
  <r>
    <s v="ORD100068"/>
    <x v="24"/>
    <x v="8"/>
    <x v="7"/>
    <x v="3"/>
    <x v="3"/>
    <s v="Cricket Bat"/>
    <x v="1"/>
    <n v="3"/>
    <n v="2892.37"/>
    <n v="6.22"/>
    <n v="8137.39"/>
    <n v="2193.48"/>
    <x v="4"/>
  </r>
  <r>
    <s v="ORD100069"/>
    <x v="24"/>
    <x v="4"/>
    <x v="8"/>
    <x v="2"/>
    <x v="2"/>
    <s v="Desk"/>
    <x v="0"/>
    <n v="6"/>
    <n v="31120.42"/>
    <n v="15.6"/>
    <n v="157593.81"/>
    <n v="41454.32"/>
    <x v="1"/>
  </r>
  <r>
    <s v="ORD100070"/>
    <x v="25"/>
    <x v="6"/>
    <x v="9"/>
    <x v="2"/>
    <x v="5"/>
    <s v="Laptop"/>
    <x v="2"/>
    <n v="7"/>
    <n v="60533.41"/>
    <n v="18.61"/>
    <n v="344877"/>
    <n v="77949.08"/>
    <x v="4"/>
  </r>
  <r>
    <s v="ORD100071"/>
    <x v="25"/>
    <x v="8"/>
    <x v="10"/>
    <x v="2"/>
    <x v="2"/>
    <s v="Desk"/>
    <x v="2"/>
    <n v="3"/>
    <n v="36262.19"/>
    <n v="10.45"/>
    <n v="97418.37"/>
    <n v="17388.919999999998"/>
    <x v="4"/>
  </r>
  <r>
    <s v="ORD100072"/>
    <x v="25"/>
    <x v="9"/>
    <x v="11"/>
    <x v="2"/>
    <x v="1"/>
    <s v="T-Shirt"/>
    <x v="0"/>
    <n v="5"/>
    <n v="6432.83"/>
    <n v="13.78"/>
    <n v="27731.93"/>
    <n v="7224.8"/>
    <x v="4"/>
  </r>
  <r>
    <s v="ORD100073"/>
    <x v="26"/>
    <x v="6"/>
    <x v="12"/>
    <x v="4"/>
    <x v="3"/>
    <s v="Tennis Ball"/>
    <x v="1"/>
    <n v="2"/>
    <n v="3421.77"/>
    <n v="19"/>
    <n v="5543.27"/>
    <n v="609.96"/>
    <x v="1"/>
  </r>
  <r>
    <s v="ORD100074"/>
    <x v="26"/>
    <x v="0"/>
    <x v="13"/>
    <x v="1"/>
    <x v="3"/>
    <s v="Yoga Mat"/>
    <x v="2"/>
    <n v="8"/>
    <n v="7025.71"/>
    <n v="12.35"/>
    <n v="49264.28"/>
    <n v="13231.37"/>
    <x v="2"/>
  </r>
  <r>
    <s v="ORD100075"/>
    <x v="27"/>
    <x v="4"/>
    <x v="14"/>
    <x v="1"/>
    <x v="2"/>
    <s v="Bookshelf"/>
    <x v="2"/>
    <n v="3"/>
    <n v="33049.83"/>
    <n v="10.35"/>
    <n v="88887.52"/>
    <n v="12169.13"/>
    <x v="3"/>
  </r>
  <r>
    <s v="ORD100076"/>
    <x v="27"/>
    <x v="0"/>
    <x v="0"/>
    <x v="4"/>
    <x v="4"/>
    <s v="Novel"/>
    <x v="2"/>
    <n v="10"/>
    <n v="2246.12"/>
    <n v="3.86"/>
    <n v="21594.2"/>
    <n v="2861.77"/>
    <x v="3"/>
  </r>
  <r>
    <s v="ORD100077"/>
    <x v="27"/>
    <x v="5"/>
    <x v="1"/>
    <x v="2"/>
    <x v="5"/>
    <s v="Headphones"/>
    <x v="1"/>
    <n v="1"/>
    <n v="22511.77"/>
    <n v="24.19"/>
    <n v="17066.169999999998"/>
    <n v="4045.79"/>
    <x v="4"/>
  </r>
  <r>
    <s v="ORD100078"/>
    <x v="28"/>
    <x v="3"/>
    <x v="2"/>
    <x v="0"/>
    <x v="0"/>
    <s v="Cooking Oil"/>
    <x v="1"/>
    <n v="10"/>
    <n v="158.22"/>
    <n v="7.57"/>
    <n v="1462.43"/>
    <n v="333.93"/>
    <x v="0"/>
  </r>
  <r>
    <s v="ORD100079"/>
    <x v="28"/>
    <x v="2"/>
    <x v="3"/>
    <x v="1"/>
    <x v="4"/>
    <s v="Textbook"/>
    <x v="2"/>
    <n v="10"/>
    <n v="949.95"/>
    <n v="11.91"/>
    <n v="8368.11"/>
    <n v="637.79"/>
    <x v="3"/>
  </r>
  <r>
    <s v="ORD100080"/>
    <x v="28"/>
    <x v="6"/>
    <x v="4"/>
    <x v="4"/>
    <x v="5"/>
    <s v="Smartphone"/>
    <x v="0"/>
    <n v="9"/>
    <n v="71296.92"/>
    <n v="17.809999999999999"/>
    <n v="527390.44999999995"/>
    <n v="115907.54"/>
    <x v="4"/>
  </r>
  <r>
    <s v="ORD100081"/>
    <x v="29"/>
    <x v="7"/>
    <x v="5"/>
    <x v="2"/>
    <x v="0"/>
    <s v="Cooking Oil"/>
    <x v="2"/>
    <n v="8"/>
    <n v="1780.28"/>
    <n v="16.93"/>
    <n v="11831.03"/>
    <n v="1711.87"/>
    <x v="4"/>
  </r>
  <r>
    <s v="ORD100082"/>
    <x v="29"/>
    <x v="4"/>
    <x v="6"/>
    <x v="2"/>
    <x v="1"/>
    <s v="Jacket"/>
    <x v="2"/>
    <n v="6"/>
    <n v="4964.47"/>
    <n v="7.12"/>
    <n v="27666"/>
    <n v="2087.2800000000002"/>
    <x v="1"/>
  </r>
  <r>
    <s v="ORD100083"/>
    <x v="29"/>
    <x v="8"/>
    <x v="7"/>
    <x v="3"/>
    <x v="3"/>
    <s v="Cricket Bat"/>
    <x v="1"/>
    <n v="7"/>
    <n v="706.03"/>
    <n v="0.55000000000000004"/>
    <n v="4915.03"/>
    <n v="1102.1500000000001"/>
    <x v="0"/>
  </r>
  <r>
    <s v="ORD100084"/>
    <x v="30"/>
    <x v="0"/>
    <x v="8"/>
    <x v="3"/>
    <x v="3"/>
    <s v="Cricket Bat"/>
    <x v="1"/>
    <n v="8"/>
    <n v="7284.38"/>
    <n v="24.63"/>
    <n v="43921.9"/>
    <n v="10085.1"/>
    <x v="2"/>
  </r>
  <r>
    <s v="ORD100085"/>
    <x v="30"/>
    <x v="11"/>
    <x v="9"/>
    <x v="4"/>
    <x v="0"/>
    <s v="Snacks"/>
    <x v="1"/>
    <n v="6"/>
    <n v="2905.58"/>
    <n v="21.33"/>
    <n v="13714.92"/>
    <n v="1369.8"/>
    <x v="3"/>
  </r>
  <r>
    <s v="ORD100086"/>
    <x v="31"/>
    <x v="8"/>
    <x v="10"/>
    <x v="3"/>
    <x v="2"/>
    <s v="Table"/>
    <x v="0"/>
    <n v="4"/>
    <n v="13505.05"/>
    <n v="17.82"/>
    <n v="44393.8"/>
    <n v="6317.58"/>
    <x v="4"/>
  </r>
  <r>
    <s v="ORD100087"/>
    <x v="31"/>
    <x v="9"/>
    <x v="11"/>
    <x v="4"/>
    <x v="0"/>
    <s v="Cooking Oil"/>
    <x v="1"/>
    <n v="8"/>
    <n v="2439.13"/>
    <n v="7.64"/>
    <n v="18022.240000000002"/>
    <n v="3971.66"/>
    <x v="1"/>
  </r>
  <r>
    <s v="ORD100088"/>
    <x v="31"/>
    <x v="8"/>
    <x v="12"/>
    <x v="0"/>
    <x v="3"/>
    <s v="Cricket Bat"/>
    <x v="0"/>
    <n v="5"/>
    <n v="8340.07"/>
    <n v="28.95"/>
    <n v="29628.1"/>
    <n v="2402.08"/>
    <x v="4"/>
  </r>
  <r>
    <s v="ORD100089"/>
    <x v="32"/>
    <x v="5"/>
    <x v="13"/>
    <x v="0"/>
    <x v="0"/>
    <s v="Tea"/>
    <x v="0"/>
    <n v="3"/>
    <n v="2783.03"/>
    <n v="21.65"/>
    <n v="6541.51"/>
    <n v="405.73"/>
    <x v="2"/>
  </r>
  <r>
    <s v="ORD100090"/>
    <x v="32"/>
    <x v="13"/>
    <x v="14"/>
    <x v="2"/>
    <x v="3"/>
    <s v="Yoga Mat"/>
    <x v="0"/>
    <n v="3"/>
    <n v="1809.8"/>
    <n v="24.44"/>
    <n v="4102.45"/>
    <n v="887.36"/>
    <x v="2"/>
  </r>
  <r>
    <s v="ORD100091"/>
    <x v="32"/>
    <x v="6"/>
    <x v="0"/>
    <x v="1"/>
    <x v="2"/>
    <s v="Office Chair"/>
    <x v="2"/>
    <n v="2"/>
    <n v="32847.379999999997"/>
    <n v="13.17"/>
    <n v="57042.76"/>
    <n v="8227.6299999999992"/>
    <x v="3"/>
  </r>
  <r>
    <s v="ORD100092"/>
    <x v="33"/>
    <x v="8"/>
    <x v="1"/>
    <x v="0"/>
    <x v="5"/>
    <s v="Laptop"/>
    <x v="1"/>
    <n v="1"/>
    <n v="72016.179999999993"/>
    <n v="11.52"/>
    <n v="63719.92"/>
    <n v="11844.78"/>
    <x v="1"/>
  </r>
  <r>
    <s v="ORD100093"/>
    <x v="33"/>
    <x v="3"/>
    <x v="2"/>
    <x v="1"/>
    <x v="3"/>
    <s v="Badminton Racket"/>
    <x v="0"/>
    <n v="7"/>
    <n v="7359.38"/>
    <n v="20.81"/>
    <n v="40795.25"/>
    <n v="3740.22"/>
    <x v="0"/>
  </r>
  <r>
    <s v="ORD100094"/>
    <x v="33"/>
    <x v="0"/>
    <x v="3"/>
    <x v="4"/>
    <x v="3"/>
    <s v="Badminton Racket"/>
    <x v="2"/>
    <n v="4"/>
    <n v="9977.39"/>
    <n v="22.57"/>
    <n v="30901.97"/>
    <n v="7006.87"/>
    <x v="0"/>
  </r>
  <r>
    <s v="ORD100095"/>
    <x v="34"/>
    <x v="5"/>
    <x v="4"/>
    <x v="2"/>
    <x v="3"/>
    <s v="Football"/>
    <x v="0"/>
    <n v="10"/>
    <n v="5041.0200000000004"/>
    <n v="22.64"/>
    <n v="38997.33"/>
    <n v="2953.23"/>
    <x v="0"/>
  </r>
  <r>
    <s v="ORD100096"/>
    <x v="34"/>
    <x v="6"/>
    <x v="5"/>
    <x v="2"/>
    <x v="4"/>
    <s v="Dictionary"/>
    <x v="2"/>
    <n v="4"/>
    <n v="1833.41"/>
    <n v="21.6"/>
    <n v="5749.57"/>
    <n v="1209.06"/>
    <x v="1"/>
  </r>
  <r>
    <s v="ORD100097"/>
    <x v="35"/>
    <x v="8"/>
    <x v="6"/>
    <x v="3"/>
    <x v="1"/>
    <s v="Shoes"/>
    <x v="2"/>
    <n v="4"/>
    <n v="1698.3"/>
    <n v="27.25"/>
    <n v="4942.05"/>
    <n v="967.89"/>
    <x v="1"/>
  </r>
  <r>
    <s v="ORD100098"/>
    <x v="35"/>
    <x v="1"/>
    <x v="7"/>
    <x v="0"/>
    <x v="0"/>
    <s v="Cooking Oil"/>
    <x v="0"/>
    <n v="8"/>
    <n v="1542.37"/>
    <n v="18.34"/>
    <n v="10075.99"/>
    <n v="549.41999999999996"/>
    <x v="2"/>
  </r>
  <r>
    <s v="ORD100099"/>
    <x v="35"/>
    <x v="14"/>
    <x v="8"/>
    <x v="0"/>
    <x v="2"/>
    <s v="Office Chair"/>
    <x v="1"/>
    <n v="10"/>
    <n v="3687.94"/>
    <n v="2.3199999999999998"/>
    <n v="36023.800000000003"/>
    <n v="2740.03"/>
    <x v="3"/>
  </r>
  <r>
    <s v="ORD100100"/>
    <x v="36"/>
    <x v="9"/>
    <x v="9"/>
    <x v="0"/>
    <x v="3"/>
    <s v="Tennis Ball"/>
    <x v="1"/>
    <n v="5"/>
    <n v="1822.1"/>
    <n v="5.59"/>
    <n v="8601.2199999999993"/>
    <n v="2230.92"/>
    <x v="2"/>
  </r>
  <r>
    <s v="ORD100101"/>
    <x v="36"/>
    <x v="6"/>
    <x v="10"/>
    <x v="2"/>
    <x v="5"/>
    <s v="Keyboard"/>
    <x v="0"/>
    <n v="9"/>
    <n v="16843.59"/>
    <n v="23.63"/>
    <n v="115771.05"/>
    <n v="23261.919999999998"/>
    <x v="4"/>
  </r>
  <r>
    <s v="ORD100102"/>
    <x v="36"/>
    <x v="0"/>
    <x v="11"/>
    <x v="0"/>
    <x v="1"/>
    <s v="Jeans"/>
    <x v="1"/>
    <n v="7"/>
    <n v="2971.54"/>
    <n v="22.13"/>
    <n v="16197.57"/>
    <n v="2641.09"/>
    <x v="1"/>
  </r>
  <r>
    <s v="ORD100103"/>
    <x v="37"/>
    <x v="5"/>
    <x v="12"/>
    <x v="0"/>
    <x v="3"/>
    <s v="Cricket Bat"/>
    <x v="2"/>
    <n v="7"/>
    <n v="1822.03"/>
    <n v="1.02"/>
    <n v="12624.12"/>
    <n v="1614.22"/>
    <x v="4"/>
  </r>
  <r>
    <s v="ORD100104"/>
    <x v="37"/>
    <x v="11"/>
    <x v="13"/>
    <x v="2"/>
    <x v="0"/>
    <s v="Cooking Oil"/>
    <x v="1"/>
    <n v="5"/>
    <n v="1569.76"/>
    <n v="29.27"/>
    <n v="5551.46"/>
    <n v="914.59"/>
    <x v="2"/>
  </r>
  <r>
    <s v="ORD100105"/>
    <x v="37"/>
    <x v="10"/>
    <x v="14"/>
    <x v="1"/>
    <x v="5"/>
    <s v="Laptop"/>
    <x v="0"/>
    <n v="7"/>
    <n v="34429.72"/>
    <n v="23.99"/>
    <n v="183190.21"/>
    <n v="25160.58"/>
    <x v="2"/>
  </r>
  <r>
    <s v="ORD100106"/>
    <x v="38"/>
    <x v="4"/>
    <x v="0"/>
    <x v="2"/>
    <x v="4"/>
    <s v="Notebook"/>
    <x v="0"/>
    <n v="2"/>
    <n v="805.71"/>
    <n v="21.42"/>
    <n v="1266.25"/>
    <n v="230.35"/>
    <x v="4"/>
  </r>
  <r>
    <s v="ORD100107"/>
    <x v="38"/>
    <x v="13"/>
    <x v="1"/>
    <x v="3"/>
    <x v="3"/>
    <s v="Badminton Racket"/>
    <x v="1"/>
    <n v="4"/>
    <n v="1982.9"/>
    <n v="25.85"/>
    <n v="5881.28"/>
    <n v="1685.16"/>
    <x v="4"/>
  </r>
  <r>
    <s v="ORD100108"/>
    <x v="39"/>
    <x v="8"/>
    <x v="2"/>
    <x v="4"/>
    <x v="0"/>
    <s v="Rice"/>
    <x v="0"/>
    <n v="7"/>
    <n v="2937.85"/>
    <n v="25.19"/>
    <n v="15384.64"/>
    <n v="4103.83"/>
    <x v="1"/>
  </r>
  <r>
    <s v="ORD100109"/>
    <x v="39"/>
    <x v="9"/>
    <x v="3"/>
    <x v="2"/>
    <x v="1"/>
    <s v="Shoes"/>
    <x v="1"/>
    <n v="8"/>
    <n v="1101.6400000000001"/>
    <n v="24"/>
    <n v="6697.97"/>
    <n v="633.87"/>
    <x v="4"/>
  </r>
  <r>
    <s v="ORD100110"/>
    <x v="39"/>
    <x v="2"/>
    <x v="4"/>
    <x v="3"/>
    <x v="1"/>
    <s v="Jacket"/>
    <x v="1"/>
    <n v="4"/>
    <n v="7571.95"/>
    <n v="4.2300000000000004"/>
    <n v="29006.63"/>
    <n v="4397.3500000000004"/>
    <x v="4"/>
  </r>
  <r>
    <s v="ORD100111"/>
    <x v="40"/>
    <x v="12"/>
    <x v="5"/>
    <x v="3"/>
    <x v="5"/>
    <s v="Keyboard"/>
    <x v="0"/>
    <n v="3"/>
    <n v="10260.76"/>
    <n v="26.29"/>
    <n v="22689.62"/>
    <n v="4781.42"/>
    <x v="2"/>
  </r>
  <r>
    <s v="ORD100112"/>
    <x v="40"/>
    <x v="11"/>
    <x v="6"/>
    <x v="1"/>
    <x v="0"/>
    <s v="Tea"/>
    <x v="0"/>
    <n v="10"/>
    <n v="2484.0700000000002"/>
    <n v="10.89"/>
    <n v="22135.55"/>
    <n v="1296.19"/>
    <x v="3"/>
  </r>
  <r>
    <s v="ORD100113"/>
    <x v="40"/>
    <x v="13"/>
    <x v="7"/>
    <x v="0"/>
    <x v="2"/>
    <s v="Table"/>
    <x v="2"/>
    <n v="3"/>
    <n v="37989.68"/>
    <n v="22.91"/>
    <n v="87858.73"/>
    <n v="7470.48"/>
    <x v="3"/>
  </r>
  <r>
    <s v="ORD100114"/>
    <x v="41"/>
    <x v="2"/>
    <x v="8"/>
    <x v="4"/>
    <x v="2"/>
    <s v="Bookshelf"/>
    <x v="2"/>
    <n v="1"/>
    <n v="11478.42"/>
    <n v="16.25"/>
    <n v="9613.18"/>
    <n v="2003.09"/>
    <x v="1"/>
  </r>
  <r>
    <s v="ORD100115"/>
    <x v="41"/>
    <x v="0"/>
    <x v="9"/>
    <x v="3"/>
    <x v="3"/>
    <s v="Yoga Mat"/>
    <x v="0"/>
    <n v="10"/>
    <n v="5351.76"/>
    <n v="5.15"/>
    <n v="50761.440000000002"/>
    <n v="5993.75"/>
    <x v="4"/>
  </r>
  <r>
    <s v="ORD100116"/>
    <x v="41"/>
    <x v="1"/>
    <x v="10"/>
    <x v="1"/>
    <x v="0"/>
    <s v="Rice"/>
    <x v="2"/>
    <n v="6"/>
    <n v="248.17"/>
    <n v="12.16"/>
    <n v="1307.96"/>
    <n v="228.06"/>
    <x v="2"/>
  </r>
  <r>
    <s v="ORD100117"/>
    <x v="42"/>
    <x v="7"/>
    <x v="11"/>
    <x v="3"/>
    <x v="1"/>
    <s v="T-Shirt"/>
    <x v="0"/>
    <n v="6"/>
    <n v="5937.82"/>
    <n v="7.52"/>
    <n v="32947.78"/>
    <n v="6862.18"/>
    <x v="3"/>
  </r>
  <r>
    <s v="ORD100118"/>
    <x v="42"/>
    <x v="9"/>
    <x v="12"/>
    <x v="0"/>
    <x v="2"/>
    <s v="Table"/>
    <x v="0"/>
    <n v="10"/>
    <n v="17459.41"/>
    <n v="10.62"/>
    <n v="156052.21"/>
    <n v="45201.58"/>
    <x v="0"/>
  </r>
  <r>
    <s v="ORD100119"/>
    <x v="43"/>
    <x v="0"/>
    <x v="13"/>
    <x v="0"/>
    <x v="1"/>
    <s v="Jeans"/>
    <x v="2"/>
    <n v="5"/>
    <n v="6745.51"/>
    <n v="13.12"/>
    <n v="29302.5"/>
    <n v="8171.83"/>
    <x v="4"/>
  </r>
  <r>
    <s v="ORD100120"/>
    <x v="43"/>
    <x v="6"/>
    <x v="14"/>
    <x v="2"/>
    <x v="3"/>
    <s v="Tennis Ball"/>
    <x v="1"/>
    <n v="8"/>
    <n v="2306.42"/>
    <n v="0.94"/>
    <n v="18277.919999999998"/>
    <n v="2112.31"/>
    <x v="3"/>
  </r>
  <r>
    <s v="ORD100121"/>
    <x v="43"/>
    <x v="8"/>
    <x v="0"/>
    <x v="4"/>
    <x v="3"/>
    <s v="Badminton Racket"/>
    <x v="0"/>
    <n v="2"/>
    <n v="6308.66"/>
    <n v="14.23"/>
    <n v="10821.88"/>
    <n v="1472.81"/>
    <x v="3"/>
  </r>
  <r>
    <s v="ORD100122"/>
    <x v="44"/>
    <x v="7"/>
    <x v="1"/>
    <x v="2"/>
    <x v="4"/>
    <s v="Notebook"/>
    <x v="1"/>
    <n v="8"/>
    <n v="1143.5899999999999"/>
    <n v="7.39"/>
    <n v="8472.6299999999992"/>
    <n v="2158.62"/>
    <x v="4"/>
  </r>
  <r>
    <s v="ORD100123"/>
    <x v="44"/>
    <x v="13"/>
    <x v="2"/>
    <x v="4"/>
    <x v="0"/>
    <s v="Tea"/>
    <x v="1"/>
    <n v="5"/>
    <n v="320.17"/>
    <n v="27.52"/>
    <n v="1160.3"/>
    <n v="97.7"/>
    <x v="3"/>
  </r>
  <r>
    <s v="ORD100124"/>
    <x v="44"/>
    <x v="4"/>
    <x v="3"/>
    <x v="4"/>
    <x v="0"/>
    <s v="Tea"/>
    <x v="2"/>
    <n v="8"/>
    <n v="1934.9"/>
    <n v="22.77"/>
    <n v="11954.59"/>
    <n v="2761.82"/>
    <x v="3"/>
  </r>
  <r>
    <s v="ORD100125"/>
    <x v="45"/>
    <x v="2"/>
    <x v="4"/>
    <x v="4"/>
    <x v="0"/>
    <s v="Tea"/>
    <x v="1"/>
    <n v="10"/>
    <n v="202.21"/>
    <n v="20.100000000000001"/>
    <n v="1615.66"/>
    <n v="98.62"/>
    <x v="4"/>
  </r>
  <r>
    <s v="ORD100126"/>
    <x v="45"/>
    <x v="8"/>
    <x v="5"/>
    <x v="3"/>
    <x v="4"/>
    <s v="Textbook"/>
    <x v="1"/>
    <n v="7"/>
    <n v="181.47"/>
    <n v="20.92"/>
    <n v="1004.55"/>
    <n v="124.9"/>
    <x v="2"/>
  </r>
  <r>
    <s v="ORD100127"/>
    <x v="46"/>
    <x v="10"/>
    <x v="6"/>
    <x v="0"/>
    <x v="2"/>
    <s v="Sofa"/>
    <x v="0"/>
    <n v="7"/>
    <n v="18750.599999999999"/>
    <n v="15.67"/>
    <n v="110686.67"/>
    <n v="23370.01"/>
    <x v="4"/>
  </r>
  <r>
    <s v="ORD100128"/>
    <x v="46"/>
    <x v="8"/>
    <x v="7"/>
    <x v="4"/>
    <x v="1"/>
    <s v="Shoes"/>
    <x v="0"/>
    <n v="8"/>
    <n v="3695.95"/>
    <n v="12.13"/>
    <n v="25981.05"/>
    <n v="5017.12"/>
    <x v="3"/>
  </r>
  <r>
    <s v="ORD100129"/>
    <x v="46"/>
    <x v="2"/>
    <x v="8"/>
    <x v="0"/>
    <x v="4"/>
    <s v="Textbook"/>
    <x v="2"/>
    <n v="1"/>
    <n v="2226.35"/>
    <n v="18.48"/>
    <n v="1814.92"/>
    <n v="196.45"/>
    <x v="4"/>
  </r>
  <r>
    <s v="ORD100130"/>
    <x v="47"/>
    <x v="0"/>
    <x v="9"/>
    <x v="2"/>
    <x v="3"/>
    <s v="Badminton Racket"/>
    <x v="0"/>
    <n v="7"/>
    <n v="2017.63"/>
    <n v="11.52"/>
    <n v="12496.39"/>
    <n v="3538.32"/>
    <x v="3"/>
  </r>
  <r>
    <s v="ORD100131"/>
    <x v="47"/>
    <x v="10"/>
    <x v="10"/>
    <x v="4"/>
    <x v="4"/>
    <s v="Dictionary"/>
    <x v="1"/>
    <n v="9"/>
    <n v="1493.82"/>
    <n v="8.15"/>
    <n v="12348.66"/>
    <n v="1847.01"/>
    <x v="0"/>
  </r>
  <r>
    <s v="ORD100132"/>
    <x v="47"/>
    <x v="11"/>
    <x v="11"/>
    <x v="3"/>
    <x v="4"/>
    <s v="Novel"/>
    <x v="2"/>
    <n v="1"/>
    <n v="365.14"/>
    <n v="10.64"/>
    <n v="326.29000000000002"/>
    <n v="39.75"/>
    <x v="2"/>
  </r>
  <r>
    <s v="ORD100133"/>
    <x v="48"/>
    <x v="8"/>
    <x v="12"/>
    <x v="2"/>
    <x v="5"/>
    <s v="Laptop"/>
    <x v="1"/>
    <n v="5"/>
    <n v="79023.929999999993"/>
    <n v="12.83"/>
    <n v="344425.8"/>
    <n v="50314.29"/>
    <x v="4"/>
  </r>
  <r>
    <s v="ORD100134"/>
    <x v="48"/>
    <x v="10"/>
    <x v="13"/>
    <x v="0"/>
    <x v="4"/>
    <s v="Dictionary"/>
    <x v="2"/>
    <n v="5"/>
    <n v="314.58999999999997"/>
    <n v="12.53"/>
    <n v="1375.86"/>
    <n v="371.18"/>
    <x v="2"/>
  </r>
  <r>
    <s v="ORD100135"/>
    <x v="48"/>
    <x v="3"/>
    <x v="14"/>
    <x v="1"/>
    <x v="2"/>
    <s v="Office Chair"/>
    <x v="1"/>
    <n v="7"/>
    <n v="39655.58"/>
    <n v="6.95"/>
    <n v="258296.62"/>
    <n v="73790.94"/>
    <x v="2"/>
  </r>
  <r>
    <s v="ORD100136"/>
    <x v="49"/>
    <x v="8"/>
    <x v="0"/>
    <x v="1"/>
    <x v="3"/>
    <s v="Football"/>
    <x v="0"/>
    <n v="2"/>
    <n v="3964.09"/>
    <n v="1.1000000000000001"/>
    <n v="7840.97"/>
    <n v="2268.5300000000002"/>
    <x v="3"/>
  </r>
  <r>
    <s v="ORD100137"/>
    <x v="49"/>
    <x v="12"/>
    <x v="1"/>
    <x v="3"/>
    <x v="5"/>
    <s v="Headphones"/>
    <x v="2"/>
    <n v="4"/>
    <n v="79595.17"/>
    <n v="5.22"/>
    <n v="301761.21000000002"/>
    <n v="44980.68"/>
    <x v="3"/>
  </r>
  <r>
    <s v="ORD100138"/>
    <x v="50"/>
    <x v="11"/>
    <x v="2"/>
    <x v="1"/>
    <x v="1"/>
    <s v="Jacket"/>
    <x v="2"/>
    <n v="6"/>
    <n v="5096.62"/>
    <n v="22.44"/>
    <n v="23717.63"/>
    <n v="1392.61"/>
    <x v="1"/>
  </r>
  <r>
    <s v="ORD100139"/>
    <x v="50"/>
    <x v="3"/>
    <x v="3"/>
    <x v="4"/>
    <x v="5"/>
    <s v="Headphones"/>
    <x v="0"/>
    <n v="9"/>
    <n v="4027.94"/>
    <n v="25.57"/>
    <n v="26981.96"/>
    <n v="1588.04"/>
    <x v="1"/>
  </r>
  <r>
    <s v="ORD100140"/>
    <x v="50"/>
    <x v="13"/>
    <x v="4"/>
    <x v="3"/>
    <x v="1"/>
    <s v="Jeans"/>
    <x v="2"/>
    <n v="8"/>
    <n v="2245.4"/>
    <n v="0.15"/>
    <n v="17936.259999999998"/>
    <n v="4016.44"/>
    <x v="2"/>
  </r>
  <r>
    <s v="ORD100141"/>
    <x v="51"/>
    <x v="10"/>
    <x v="5"/>
    <x v="1"/>
    <x v="0"/>
    <s v="Snacks"/>
    <x v="1"/>
    <n v="5"/>
    <n v="2974.85"/>
    <n v="1.85"/>
    <n v="14599.08"/>
    <n v="3952.36"/>
    <x v="4"/>
  </r>
  <r>
    <s v="ORD100142"/>
    <x v="51"/>
    <x v="6"/>
    <x v="6"/>
    <x v="2"/>
    <x v="1"/>
    <s v="Jeans"/>
    <x v="0"/>
    <n v="8"/>
    <n v="4656.1400000000003"/>
    <n v="8.01"/>
    <n v="34265.47"/>
    <n v="9239.94"/>
    <x v="1"/>
  </r>
  <r>
    <s v="ORD100143"/>
    <x v="51"/>
    <x v="1"/>
    <x v="7"/>
    <x v="1"/>
    <x v="1"/>
    <s v="T-Shirt"/>
    <x v="1"/>
    <n v="9"/>
    <n v="7461.7"/>
    <n v="3.18"/>
    <n v="65019.76"/>
    <n v="14613.04"/>
    <x v="2"/>
  </r>
  <r>
    <s v="ORD100144"/>
    <x v="52"/>
    <x v="7"/>
    <x v="8"/>
    <x v="3"/>
    <x v="2"/>
    <s v="Office Chair"/>
    <x v="2"/>
    <n v="3"/>
    <n v="35283.79"/>
    <n v="0.15"/>
    <n v="105692.59"/>
    <n v="26950.21"/>
    <x v="2"/>
  </r>
  <r>
    <s v="ORD100145"/>
    <x v="52"/>
    <x v="14"/>
    <x v="9"/>
    <x v="4"/>
    <x v="4"/>
    <s v="Comics"/>
    <x v="1"/>
    <n v="7"/>
    <n v="563.52"/>
    <n v="2.52"/>
    <n v="3845.24"/>
    <n v="506.07"/>
    <x v="4"/>
  </r>
  <r>
    <s v="ORD100146"/>
    <x v="52"/>
    <x v="14"/>
    <x v="10"/>
    <x v="3"/>
    <x v="0"/>
    <s v="Snacks"/>
    <x v="1"/>
    <n v="3"/>
    <n v="428.92"/>
    <n v="8.5"/>
    <n v="1177.3900000000001"/>
    <n v="64.290000000000006"/>
    <x v="0"/>
  </r>
  <r>
    <s v="ORD100147"/>
    <x v="53"/>
    <x v="0"/>
    <x v="11"/>
    <x v="4"/>
    <x v="0"/>
    <s v="Snacks"/>
    <x v="2"/>
    <n v="6"/>
    <n v="2814.82"/>
    <n v="20.64"/>
    <n v="13403.05"/>
    <n v="897.46"/>
    <x v="3"/>
  </r>
  <r>
    <s v="ORD100148"/>
    <x v="53"/>
    <x v="3"/>
    <x v="12"/>
    <x v="1"/>
    <x v="2"/>
    <s v="Office Chair"/>
    <x v="1"/>
    <n v="6"/>
    <n v="25215.71"/>
    <n v="1.37"/>
    <n v="149221.53"/>
    <n v="39974.089999999997"/>
    <x v="1"/>
  </r>
  <r>
    <s v="ORD100149"/>
    <x v="54"/>
    <x v="6"/>
    <x v="13"/>
    <x v="0"/>
    <x v="0"/>
    <s v="Snacks"/>
    <x v="2"/>
    <n v="7"/>
    <n v="243.6"/>
    <n v="24.65"/>
    <n v="1284.8699999999999"/>
    <n v="183.68"/>
    <x v="4"/>
  </r>
  <r>
    <s v="ORD100150"/>
    <x v="54"/>
    <x v="2"/>
    <x v="14"/>
    <x v="1"/>
    <x v="2"/>
    <s v="Desk"/>
    <x v="0"/>
    <n v="4"/>
    <n v="17621.07"/>
    <n v="13.54"/>
    <n v="60940.71"/>
    <n v="5539.87"/>
    <x v="1"/>
  </r>
  <r>
    <s v="ORD100151"/>
    <x v="54"/>
    <x v="1"/>
    <x v="0"/>
    <x v="2"/>
    <x v="0"/>
    <s v="Cooking Oil"/>
    <x v="0"/>
    <n v="4"/>
    <n v="1980.81"/>
    <n v="8.1999999999999993"/>
    <n v="7273.53"/>
    <n v="2092.71"/>
    <x v="2"/>
  </r>
  <r>
    <s v="ORD100152"/>
    <x v="55"/>
    <x v="9"/>
    <x v="1"/>
    <x v="3"/>
    <x v="4"/>
    <s v="Notebook"/>
    <x v="2"/>
    <n v="4"/>
    <n v="1054.23"/>
    <n v="8.23"/>
    <n v="3869.87"/>
    <n v="1145.46"/>
    <x v="4"/>
  </r>
  <r>
    <s v="ORD100153"/>
    <x v="55"/>
    <x v="0"/>
    <x v="2"/>
    <x v="2"/>
    <x v="4"/>
    <s v="Notebook"/>
    <x v="2"/>
    <n v="1"/>
    <n v="1664"/>
    <n v="11.06"/>
    <n v="1479.96"/>
    <n v="393.8"/>
    <x v="3"/>
  </r>
  <r>
    <s v="ORD100154"/>
    <x v="55"/>
    <x v="2"/>
    <x v="3"/>
    <x v="0"/>
    <x v="5"/>
    <s v="Keyboard"/>
    <x v="0"/>
    <n v="5"/>
    <n v="12715.81"/>
    <n v="13.61"/>
    <n v="54925.94"/>
    <n v="10028.85"/>
    <x v="0"/>
  </r>
  <r>
    <s v="ORD100155"/>
    <x v="56"/>
    <x v="10"/>
    <x v="4"/>
    <x v="4"/>
    <x v="4"/>
    <s v="Comics"/>
    <x v="2"/>
    <n v="10"/>
    <n v="1579.96"/>
    <n v="23.9"/>
    <n v="12023.5"/>
    <n v="2048.5700000000002"/>
    <x v="0"/>
  </r>
  <r>
    <s v="ORD100156"/>
    <x v="56"/>
    <x v="4"/>
    <x v="5"/>
    <x v="1"/>
    <x v="0"/>
    <s v="Coffee"/>
    <x v="0"/>
    <n v="9"/>
    <n v="641.54999999999995"/>
    <n v="14.75"/>
    <n v="4922.29"/>
    <n v="325.13"/>
    <x v="4"/>
  </r>
  <r>
    <s v="ORD100157"/>
    <x v="56"/>
    <x v="10"/>
    <x v="6"/>
    <x v="0"/>
    <x v="1"/>
    <s v="Shoes"/>
    <x v="0"/>
    <n v="1"/>
    <n v="389.48"/>
    <n v="2.17"/>
    <n v="381.03"/>
    <n v="56.44"/>
    <x v="3"/>
  </r>
  <r>
    <s v="ORD100158"/>
    <x v="57"/>
    <x v="14"/>
    <x v="7"/>
    <x v="4"/>
    <x v="5"/>
    <s v="Monitor"/>
    <x v="0"/>
    <n v="6"/>
    <n v="72671.58"/>
    <n v="21.73"/>
    <n v="341280.27"/>
    <n v="80982.539999999994"/>
    <x v="0"/>
  </r>
  <r>
    <s v="ORD100159"/>
    <x v="57"/>
    <x v="9"/>
    <x v="8"/>
    <x v="4"/>
    <x v="0"/>
    <s v="Rice"/>
    <x v="0"/>
    <n v="10"/>
    <n v="2338.62"/>
    <n v="28.24"/>
    <n v="16781.939999999999"/>
    <n v="1142.92"/>
    <x v="2"/>
  </r>
  <r>
    <s v="ORD100160"/>
    <x v="58"/>
    <x v="13"/>
    <x v="9"/>
    <x v="3"/>
    <x v="3"/>
    <s v="Cricket Bat"/>
    <x v="2"/>
    <n v="4"/>
    <n v="3706.45"/>
    <n v="9.66"/>
    <n v="13393.63"/>
    <n v="3942.64"/>
    <x v="4"/>
  </r>
  <r>
    <s v="ORD100161"/>
    <x v="58"/>
    <x v="14"/>
    <x v="10"/>
    <x v="4"/>
    <x v="2"/>
    <s v="Sofa"/>
    <x v="1"/>
    <n v="1"/>
    <n v="38110.449999999997"/>
    <n v="3.73"/>
    <n v="36688.93"/>
    <n v="10054.799999999999"/>
    <x v="3"/>
  </r>
  <r>
    <s v="ORD100162"/>
    <x v="58"/>
    <x v="3"/>
    <x v="11"/>
    <x v="0"/>
    <x v="2"/>
    <s v="Sofa"/>
    <x v="1"/>
    <n v="8"/>
    <n v="37946.67"/>
    <n v="18.760000000000002"/>
    <n v="246623"/>
    <n v="60633.67"/>
    <x v="1"/>
  </r>
  <r>
    <s v="ORD100163"/>
    <x v="59"/>
    <x v="14"/>
    <x v="12"/>
    <x v="2"/>
    <x v="0"/>
    <s v="Coffee"/>
    <x v="2"/>
    <n v="6"/>
    <n v="2461.0300000000002"/>
    <n v="13.57"/>
    <n v="12762.41"/>
    <n v="2691.52"/>
    <x v="1"/>
  </r>
  <r>
    <s v="ORD100164"/>
    <x v="59"/>
    <x v="6"/>
    <x v="13"/>
    <x v="2"/>
    <x v="2"/>
    <s v="Sofa"/>
    <x v="0"/>
    <n v="7"/>
    <n v="26361.47"/>
    <n v="14.38"/>
    <n v="157994.82999999999"/>
    <n v="32220.76"/>
    <x v="2"/>
  </r>
  <r>
    <s v="ORD100165"/>
    <x v="59"/>
    <x v="8"/>
    <x v="14"/>
    <x v="4"/>
    <x v="4"/>
    <s v="Notebook"/>
    <x v="1"/>
    <n v="2"/>
    <n v="150.07"/>
    <n v="19.600000000000001"/>
    <n v="241.31"/>
    <n v="32.11"/>
    <x v="1"/>
  </r>
  <r>
    <s v="ORD100166"/>
    <x v="60"/>
    <x v="9"/>
    <x v="0"/>
    <x v="2"/>
    <x v="0"/>
    <s v="Cooking Oil"/>
    <x v="0"/>
    <n v="3"/>
    <n v="2056.67"/>
    <n v="2.17"/>
    <n v="6036.12"/>
    <n v="348.06"/>
    <x v="2"/>
  </r>
  <r>
    <s v="ORD100167"/>
    <x v="60"/>
    <x v="11"/>
    <x v="1"/>
    <x v="2"/>
    <x v="2"/>
    <s v="Table"/>
    <x v="2"/>
    <n v="8"/>
    <n v="17594.240000000002"/>
    <n v="10.38"/>
    <n v="126143.66"/>
    <n v="18008.23"/>
    <x v="3"/>
  </r>
  <r>
    <s v="ORD100168"/>
    <x v="60"/>
    <x v="3"/>
    <x v="2"/>
    <x v="3"/>
    <x v="1"/>
    <s v="T-Shirt"/>
    <x v="2"/>
    <n v="4"/>
    <n v="526.34"/>
    <n v="11.87"/>
    <n v="1855.45"/>
    <n v="373.96"/>
    <x v="4"/>
  </r>
  <r>
    <s v="ORD100169"/>
    <x v="61"/>
    <x v="8"/>
    <x v="3"/>
    <x v="1"/>
    <x v="1"/>
    <s v="Jacket"/>
    <x v="1"/>
    <n v="10"/>
    <n v="7325.2"/>
    <n v="6.32"/>
    <n v="68622.47"/>
    <n v="14118.5"/>
    <x v="3"/>
  </r>
  <r>
    <s v="ORD100170"/>
    <x v="61"/>
    <x v="10"/>
    <x v="4"/>
    <x v="3"/>
    <x v="1"/>
    <s v="Jeans"/>
    <x v="1"/>
    <n v="8"/>
    <n v="3420.89"/>
    <n v="18.059999999999999"/>
    <n v="22424.62"/>
    <n v="4667.3500000000004"/>
    <x v="2"/>
  </r>
  <r>
    <s v="ORD100171"/>
    <x v="62"/>
    <x v="8"/>
    <x v="5"/>
    <x v="4"/>
    <x v="4"/>
    <s v="Dictionary"/>
    <x v="2"/>
    <n v="9"/>
    <n v="693.35"/>
    <n v="26.12"/>
    <n v="4610.22"/>
    <n v="743.75"/>
    <x v="3"/>
  </r>
  <r>
    <s v="ORD100172"/>
    <x v="62"/>
    <x v="9"/>
    <x v="6"/>
    <x v="2"/>
    <x v="1"/>
    <s v="T-Shirt"/>
    <x v="0"/>
    <n v="9"/>
    <n v="3372.65"/>
    <n v="25.74"/>
    <n v="22540.77"/>
    <n v="1177.93"/>
    <x v="1"/>
  </r>
  <r>
    <s v="ORD100173"/>
    <x v="62"/>
    <x v="10"/>
    <x v="7"/>
    <x v="4"/>
    <x v="2"/>
    <s v="Bookshelf"/>
    <x v="0"/>
    <n v="6"/>
    <n v="7620.56"/>
    <n v="15.59"/>
    <n v="38595.089999999997"/>
    <n v="5181.42"/>
    <x v="2"/>
  </r>
  <r>
    <s v="ORD100174"/>
    <x v="63"/>
    <x v="0"/>
    <x v="8"/>
    <x v="1"/>
    <x v="0"/>
    <s v="Tea"/>
    <x v="1"/>
    <n v="1"/>
    <n v="794.96"/>
    <n v="10.78"/>
    <n v="709.26"/>
    <n v="102.73"/>
    <x v="2"/>
  </r>
  <r>
    <s v="ORD100175"/>
    <x v="63"/>
    <x v="3"/>
    <x v="9"/>
    <x v="2"/>
    <x v="0"/>
    <s v="Snacks"/>
    <x v="1"/>
    <n v="1"/>
    <n v="2540.3000000000002"/>
    <n v="24.17"/>
    <n v="1926.31"/>
    <n v="378.21"/>
    <x v="2"/>
  </r>
  <r>
    <s v="ORD100176"/>
    <x v="63"/>
    <x v="9"/>
    <x v="10"/>
    <x v="0"/>
    <x v="0"/>
    <s v="Cooking Oil"/>
    <x v="2"/>
    <n v="2"/>
    <n v="412.76"/>
    <n v="6.93"/>
    <n v="768.31"/>
    <n v="48.35"/>
    <x v="2"/>
  </r>
  <r>
    <s v="ORD100177"/>
    <x v="64"/>
    <x v="11"/>
    <x v="11"/>
    <x v="1"/>
    <x v="4"/>
    <s v="Notebook"/>
    <x v="2"/>
    <n v="5"/>
    <n v="347.94"/>
    <n v="17.54"/>
    <n v="1434.56"/>
    <n v="318.55"/>
    <x v="1"/>
  </r>
  <r>
    <s v="ORD100178"/>
    <x v="64"/>
    <x v="3"/>
    <x v="12"/>
    <x v="0"/>
    <x v="1"/>
    <s v="Jeans"/>
    <x v="2"/>
    <n v="9"/>
    <n v="5221.22"/>
    <n v="26.04"/>
    <n v="34754.53"/>
    <n v="5688.79"/>
    <x v="0"/>
  </r>
  <r>
    <s v="ORD100179"/>
    <x v="65"/>
    <x v="13"/>
    <x v="13"/>
    <x v="2"/>
    <x v="3"/>
    <s v="Yoga Mat"/>
    <x v="1"/>
    <n v="7"/>
    <n v="493.74"/>
    <n v="9.24"/>
    <n v="3136.83"/>
    <n v="709.46"/>
    <x v="4"/>
  </r>
  <r>
    <s v="ORD100180"/>
    <x v="65"/>
    <x v="4"/>
    <x v="14"/>
    <x v="3"/>
    <x v="4"/>
    <s v="Novel"/>
    <x v="0"/>
    <n v="7"/>
    <n v="1714.25"/>
    <n v="13.31"/>
    <n v="10402.58"/>
    <n v="2777.86"/>
    <x v="4"/>
  </r>
  <r>
    <s v="ORD100181"/>
    <x v="65"/>
    <x v="9"/>
    <x v="0"/>
    <x v="2"/>
    <x v="1"/>
    <s v="Jeans"/>
    <x v="1"/>
    <n v="2"/>
    <n v="2179.9299999999998"/>
    <n v="24.93"/>
    <n v="3272.95"/>
    <n v="871.1"/>
    <x v="3"/>
  </r>
  <r>
    <s v="ORD100182"/>
    <x v="66"/>
    <x v="7"/>
    <x v="1"/>
    <x v="4"/>
    <x v="3"/>
    <s v="Yoga Mat"/>
    <x v="2"/>
    <n v="1"/>
    <n v="6085.97"/>
    <n v="28.23"/>
    <n v="4367.8999999999996"/>
    <n v="1121.28"/>
    <x v="0"/>
  </r>
  <r>
    <s v="ORD100183"/>
    <x v="66"/>
    <x v="5"/>
    <x v="2"/>
    <x v="4"/>
    <x v="2"/>
    <s v="Desk"/>
    <x v="0"/>
    <n v="6"/>
    <n v="13406.35"/>
    <n v="25.99"/>
    <n v="59532.24"/>
    <n v="17760.509999999998"/>
    <x v="2"/>
  </r>
  <r>
    <s v="ORD100184"/>
    <x v="66"/>
    <x v="6"/>
    <x v="3"/>
    <x v="3"/>
    <x v="5"/>
    <s v="Headphones"/>
    <x v="2"/>
    <n v="4"/>
    <n v="52215.68"/>
    <n v="22.96"/>
    <n v="160907.84"/>
    <n v="45282.48"/>
    <x v="2"/>
  </r>
  <r>
    <s v="ORD100185"/>
    <x v="67"/>
    <x v="3"/>
    <x v="4"/>
    <x v="4"/>
    <x v="5"/>
    <s v="Headphones"/>
    <x v="2"/>
    <n v="1"/>
    <n v="10056.620000000001"/>
    <n v="16.329999999999998"/>
    <n v="8414.3700000000008"/>
    <n v="432.83"/>
    <x v="2"/>
  </r>
  <r>
    <s v="ORD100186"/>
    <x v="67"/>
    <x v="4"/>
    <x v="5"/>
    <x v="3"/>
    <x v="1"/>
    <s v="Dress"/>
    <x v="1"/>
    <n v="9"/>
    <n v="4892.9399999999996"/>
    <n v="16.37"/>
    <n v="36827.69"/>
    <n v="5933.12"/>
    <x v="1"/>
  </r>
  <r>
    <s v="ORD100187"/>
    <x v="67"/>
    <x v="12"/>
    <x v="6"/>
    <x v="2"/>
    <x v="3"/>
    <s v="Football"/>
    <x v="0"/>
    <n v="2"/>
    <n v="4742.24"/>
    <n v="11.39"/>
    <n v="8404.2000000000007"/>
    <n v="2234.12"/>
    <x v="2"/>
  </r>
  <r>
    <s v="ORD100188"/>
    <x v="68"/>
    <x v="3"/>
    <x v="7"/>
    <x v="0"/>
    <x v="2"/>
    <s v="Office Chair"/>
    <x v="1"/>
    <n v="5"/>
    <n v="16554.09"/>
    <n v="17.41"/>
    <n v="68360.11"/>
    <n v="12537.29"/>
    <x v="4"/>
  </r>
  <r>
    <s v="ORD100189"/>
    <x v="68"/>
    <x v="1"/>
    <x v="8"/>
    <x v="4"/>
    <x v="0"/>
    <s v="Tea"/>
    <x v="1"/>
    <n v="5"/>
    <n v="627.54999999999995"/>
    <n v="0.23"/>
    <n v="3130.53"/>
    <n v="663.26"/>
    <x v="1"/>
  </r>
  <r>
    <s v="ORD100190"/>
    <x v="69"/>
    <x v="7"/>
    <x v="9"/>
    <x v="2"/>
    <x v="0"/>
    <s v="Snacks"/>
    <x v="2"/>
    <n v="6"/>
    <n v="623.95000000000005"/>
    <n v="4.99"/>
    <n v="3556.89"/>
    <n v="726.81"/>
    <x v="1"/>
  </r>
  <r>
    <s v="ORD100191"/>
    <x v="69"/>
    <x v="12"/>
    <x v="10"/>
    <x v="4"/>
    <x v="4"/>
    <s v="Comics"/>
    <x v="0"/>
    <n v="3"/>
    <n v="1494.24"/>
    <n v="2.69"/>
    <n v="4362.13"/>
    <n v="1000.71"/>
    <x v="0"/>
  </r>
  <r>
    <s v="ORD100192"/>
    <x v="69"/>
    <x v="2"/>
    <x v="11"/>
    <x v="4"/>
    <x v="2"/>
    <s v="Office Chair"/>
    <x v="2"/>
    <n v="7"/>
    <n v="27563.599999999999"/>
    <n v="5.44"/>
    <n v="182448.98"/>
    <n v="33076.33"/>
    <x v="2"/>
  </r>
  <r>
    <s v="ORD100193"/>
    <x v="70"/>
    <x v="8"/>
    <x v="12"/>
    <x v="1"/>
    <x v="2"/>
    <s v="Sofa"/>
    <x v="2"/>
    <n v="4"/>
    <n v="19858.28"/>
    <n v="24.18"/>
    <n v="60226.19"/>
    <n v="11295.82"/>
    <x v="1"/>
  </r>
  <r>
    <s v="ORD100194"/>
    <x v="70"/>
    <x v="8"/>
    <x v="13"/>
    <x v="3"/>
    <x v="4"/>
    <s v="Dictionary"/>
    <x v="0"/>
    <n v="6"/>
    <n v="1524.49"/>
    <n v="23.81"/>
    <n v="6969.05"/>
    <n v="1475.01"/>
    <x v="2"/>
  </r>
  <r>
    <s v="ORD100195"/>
    <x v="70"/>
    <x v="11"/>
    <x v="14"/>
    <x v="2"/>
    <x v="2"/>
    <s v="Office Chair"/>
    <x v="1"/>
    <n v="10"/>
    <n v="10970.15"/>
    <n v="9.06"/>
    <n v="99762.54"/>
    <n v="23243.63"/>
    <x v="4"/>
  </r>
  <r>
    <s v="ORD100196"/>
    <x v="71"/>
    <x v="3"/>
    <x v="0"/>
    <x v="4"/>
    <x v="5"/>
    <s v="Smartphone"/>
    <x v="1"/>
    <n v="3"/>
    <n v="50096.82"/>
    <n v="13.55"/>
    <n v="129926.1"/>
    <n v="25550.240000000002"/>
    <x v="0"/>
  </r>
  <r>
    <s v="ORD100197"/>
    <x v="71"/>
    <x v="6"/>
    <x v="1"/>
    <x v="2"/>
    <x v="2"/>
    <s v="Office Chair"/>
    <x v="1"/>
    <n v="7"/>
    <n v="21878.97"/>
    <n v="5.35"/>
    <n v="144959.12"/>
    <n v="18564.62"/>
    <x v="1"/>
  </r>
  <r>
    <s v="ORD100198"/>
    <x v="71"/>
    <x v="7"/>
    <x v="2"/>
    <x v="3"/>
    <x v="2"/>
    <s v="Office Chair"/>
    <x v="1"/>
    <n v="9"/>
    <n v="20373.91"/>
    <n v="29.63"/>
    <n v="129034.08"/>
    <n v="10853.05"/>
    <x v="4"/>
  </r>
  <r>
    <s v="ORD100199"/>
    <x v="72"/>
    <x v="10"/>
    <x v="3"/>
    <x v="0"/>
    <x v="3"/>
    <s v="Tennis Ball"/>
    <x v="2"/>
    <n v="7"/>
    <n v="7300.27"/>
    <n v="0.47"/>
    <n v="50861.71"/>
    <n v="6880.19"/>
    <x v="4"/>
  </r>
  <r>
    <s v="ORD100200"/>
    <x v="72"/>
    <x v="9"/>
    <x v="4"/>
    <x v="0"/>
    <x v="4"/>
    <s v="Comics"/>
    <x v="2"/>
    <n v="8"/>
    <n v="1648.7"/>
    <n v="17.87"/>
    <n v="10832.62"/>
    <n v="1628.11"/>
    <x v="3"/>
  </r>
  <r>
    <s v="ORD100201"/>
    <x v="73"/>
    <x v="7"/>
    <x v="5"/>
    <x v="3"/>
    <x v="0"/>
    <s v="Snacks"/>
    <x v="1"/>
    <n v="1"/>
    <n v="2504"/>
    <n v="20.09"/>
    <n v="2000.95"/>
    <n v="135.03"/>
    <x v="0"/>
  </r>
  <r>
    <s v="ORD100202"/>
    <x v="73"/>
    <x v="4"/>
    <x v="6"/>
    <x v="4"/>
    <x v="4"/>
    <s v="Textbook"/>
    <x v="1"/>
    <n v="3"/>
    <n v="556.78"/>
    <n v="1.57"/>
    <n v="1644.12"/>
    <n v="237.77"/>
    <x v="4"/>
  </r>
  <r>
    <s v="ORD100203"/>
    <x v="73"/>
    <x v="5"/>
    <x v="7"/>
    <x v="4"/>
    <x v="3"/>
    <s v="Yoga Mat"/>
    <x v="1"/>
    <n v="8"/>
    <n v="5888.66"/>
    <n v="2.66"/>
    <n v="45856.17"/>
    <n v="13317.39"/>
    <x v="4"/>
  </r>
  <r>
    <s v="ORD100204"/>
    <x v="74"/>
    <x v="11"/>
    <x v="8"/>
    <x v="0"/>
    <x v="3"/>
    <s v="Cricket Bat"/>
    <x v="2"/>
    <n v="7"/>
    <n v="7610.4"/>
    <n v="10.43"/>
    <n v="47716.45"/>
    <n v="10317.629999999999"/>
    <x v="2"/>
  </r>
  <r>
    <s v="ORD100205"/>
    <x v="74"/>
    <x v="9"/>
    <x v="9"/>
    <x v="4"/>
    <x v="0"/>
    <s v="Tea"/>
    <x v="2"/>
    <n v="8"/>
    <n v="109.08"/>
    <n v="22.12"/>
    <n v="679.61"/>
    <n v="164.57"/>
    <x v="2"/>
  </r>
  <r>
    <s v="ORD100206"/>
    <x v="74"/>
    <x v="4"/>
    <x v="10"/>
    <x v="2"/>
    <x v="0"/>
    <s v="Cooking Oil"/>
    <x v="2"/>
    <n v="8"/>
    <n v="2278.0500000000002"/>
    <n v="3.83"/>
    <n v="17526.41"/>
    <n v="4495.82"/>
    <x v="2"/>
  </r>
  <r>
    <s v="ORD100207"/>
    <x v="75"/>
    <x v="12"/>
    <x v="11"/>
    <x v="0"/>
    <x v="3"/>
    <s v="Yoga Mat"/>
    <x v="0"/>
    <n v="1"/>
    <n v="2428.1"/>
    <n v="10.25"/>
    <n v="2179.2199999999998"/>
    <n v="316.48"/>
    <x v="3"/>
  </r>
  <r>
    <s v="ORD100208"/>
    <x v="75"/>
    <x v="2"/>
    <x v="12"/>
    <x v="0"/>
    <x v="5"/>
    <s v="Headphones"/>
    <x v="2"/>
    <n v="3"/>
    <n v="32060.03"/>
    <n v="13.42"/>
    <n v="83272.72"/>
    <n v="16666.919999999998"/>
    <x v="1"/>
  </r>
  <r>
    <s v="ORD100209"/>
    <x v="75"/>
    <x v="4"/>
    <x v="13"/>
    <x v="3"/>
    <x v="3"/>
    <s v="Yoga Mat"/>
    <x v="0"/>
    <n v="5"/>
    <n v="4032.22"/>
    <n v="15.03"/>
    <n v="17130.89"/>
    <n v="2557.5500000000002"/>
    <x v="1"/>
  </r>
  <r>
    <s v="ORD100210"/>
    <x v="76"/>
    <x v="3"/>
    <x v="14"/>
    <x v="1"/>
    <x v="3"/>
    <s v="Football"/>
    <x v="1"/>
    <n v="6"/>
    <n v="1584.52"/>
    <n v="6.36"/>
    <n v="8902.4699999999993"/>
    <n v="2267.31"/>
    <x v="4"/>
  </r>
  <r>
    <s v="ORD100211"/>
    <x v="76"/>
    <x v="14"/>
    <x v="0"/>
    <x v="3"/>
    <x v="1"/>
    <s v="Jeans"/>
    <x v="0"/>
    <n v="3"/>
    <n v="2964.97"/>
    <n v="29.27"/>
    <n v="6291.37"/>
    <n v="1322.72"/>
    <x v="2"/>
  </r>
  <r>
    <s v="ORD100212"/>
    <x v="77"/>
    <x v="10"/>
    <x v="1"/>
    <x v="1"/>
    <x v="3"/>
    <s v="Cricket Bat"/>
    <x v="1"/>
    <n v="4"/>
    <n v="6142.44"/>
    <n v="4.18"/>
    <n v="23542.74"/>
    <n v="6464.02"/>
    <x v="1"/>
  </r>
  <r>
    <s v="ORD100213"/>
    <x v="77"/>
    <x v="3"/>
    <x v="2"/>
    <x v="2"/>
    <x v="5"/>
    <s v="Laptop"/>
    <x v="0"/>
    <n v="5"/>
    <n v="10180.07"/>
    <n v="14.35"/>
    <n v="43596.15"/>
    <n v="7695.89"/>
    <x v="0"/>
  </r>
  <r>
    <s v="ORD100214"/>
    <x v="77"/>
    <x v="5"/>
    <x v="3"/>
    <x v="0"/>
    <x v="0"/>
    <s v="Coffee"/>
    <x v="2"/>
    <n v="4"/>
    <n v="1346.56"/>
    <n v="3.17"/>
    <n v="5215.5"/>
    <n v="1096.33"/>
    <x v="4"/>
  </r>
  <r>
    <s v="ORD100215"/>
    <x v="78"/>
    <x v="10"/>
    <x v="4"/>
    <x v="0"/>
    <x v="0"/>
    <s v="Tea"/>
    <x v="2"/>
    <n v="3"/>
    <n v="1715.1"/>
    <n v="5.75"/>
    <n v="4849.45"/>
    <n v="499.2"/>
    <x v="2"/>
  </r>
  <r>
    <s v="ORD100216"/>
    <x v="78"/>
    <x v="6"/>
    <x v="5"/>
    <x v="2"/>
    <x v="5"/>
    <s v="Headphones"/>
    <x v="0"/>
    <n v="9"/>
    <n v="11808.82"/>
    <n v="3.64"/>
    <n v="102410.81"/>
    <n v="12885.2"/>
    <x v="0"/>
  </r>
  <r>
    <s v="ORD100217"/>
    <x v="78"/>
    <x v="1"/>
    <x v="6"/>
    <x v="3"/>
    <x v="0"/>
    <s v="Rice"/>
    <x v="1"/>
    <n v="5"/>
    <n v="1864.9"/>
    <n v="9.19"/>
    <n v="8467.58"/>
    <n v="1744.1"/>
    <x v="2"/>
  </r>
  <r>
    <s v="ORD100218"/>
    <x v="79"/>
    <x v="7"/>
    <x v="7"/>
    <x v="1"/>
    <x v="0"/>
    <s v="Snacks"/>
    <x v="2"/>
    <n v="3"/>
    <n v="1134.8900000000001"/>
    <n v="12.42"/>
    <n v="2981.81"/>
    <n v="765.98"/>
    <x v="2"/>
  </r>
  <r>
    <s v="ORD100219"/>
    <x v="79"/>
    <x v="13"/>
    <x v="8"/>
    <x v="1"/>
    <x v="3"/>
    <s v="Football"/>
    <x v="0"/>
    <n v="5"/>
    <n v="388.08"/>
    <n v="7.79"/>
    <n v="1789.24"/>
    <n v="429.55"/>
    <x v="2"/>
  </r>
  <r>
    <s v="ORD100220"/>
    <x v="79"/>
    <x v="11"/>
    <x v="9"/>
    <x v="4"/>
    <x v="4"/>
    <s v="Textbook"/>
    <x v="1"/>
    <n v="2"/>
    <n v="1610.32"/>
    <n v="5.97"/>
    <n v="3028.37"/>
    <n v="200.34"/>
    <x v="3"/>
  </r>
  <r>
    <s v="ORD100221"/>
    <x v="80"/>
    <x v="11"/>
    <x v="10"/>
    <x v="3"/>
    <x v="0"/>
    <s v="Tea"/>
    <x v="2"/>
    <n v="5"/>
    <n v="2540.85"/>
    <n v="2.94"/>
    <n v="12330.75"/>
    <n v="2121.63"/>
    <x v="1"/>
  </r>
  <r>
    <s v="ORD100222"/>
    <x v="80"/>
    <x v="9"/>
    <x v="11"/>
    <x v="4"/>
    <x v="5"/>
    <s v="Keyboard"/>
    <x v="0"/>
    <n v="4"/>
    <n v="68835.44"/>
    <n v="11.77"/>
    <n v="242934.03"/>
    <n v="70221.429999999993"/>
    <x v="3"/>
  </r>
  <r>
    <s v="ORD100223"/>
    <x v="81"/>
    <x v="13"/>
    <x v="12"/>
    <x v="2"/>
    <x v="5"/>
    <s v="Laptop"/>
    <x v="0"/>
    <n v="2"/>
    <n v="35289.449999999997"/>
    <n v="7.64"/>
    <n v="65186.67"/>
    <n v="16962.740000000002"/>
    <x v="0"/>
  </r>
  <r>
    <s v="ORD100224"/>
    <x v="81"/>
    <x v="1"/>
    <x v="13"/>
    <x v="1"/>
    <x v="1"/>
    <s v="Jeans"/>
    <x v="1"/>
    <n v="8"/>
    <n v="7192.41"/>
    <n v="19.100000000000001"/>
    <n v="46549.279999999999"/>
    <n v="9472.01"/>
    <x v="2"/>
  </r>
  <r>
    <s v="ORD100225"/>
    <x v="81"/>
    <x v="0"/>
    <x v="14"/>
    <x v="4"/>
    <x v="0"/>
    <s v="Rice"/>
    <x v="0"/>
    <n v="7"/>
    <n v="2056.67"/>
    <n v="1.25"/>
    <n v="14216.73"/>
    <n v="1012.2"/>
    <x v="1"/>
  </r>
  <r>
    <s v="ORD100226"/>
    <x v="82"/>
    <x v="11"/>
    <x v="0"/>
    <x v="0"/>
    <x v="1"/>
    <s v="T-Shirt"/>
    <x v="1"/>
    <n v="5"/>
    <n v="4216.0600000000004"/>
    <n v="11.63"/>
    <n v="18628.66"/>
    <n v="3082.8"/>
    <x v="1"/>
  </r>
  <r>
    <s v="ORD100227"/>
    <x v="82"/>
    <x v="8"/>
    <x v="1"/>
    <x v="3"/>
    <x v="1"/>
    <s v="Dress"/>
    <x v="2"/>
    <n v="3"/>
    <n v="1640.64"/>
    <n v="2.95"/>
    <n v="4776.72"/>
    <n v="1027.3599999999999"/>
    <x v="0"/>
  </r>
  <r>
    <s v="ORD100228"/>
    <x v="82"/>
    <x v="10"/>
    <x v="2"/>
    <x v="2"/>
    <x v="5"/>
    <s v="Laptop"/>
    <x v="2"/>
    <n v="9"/>
    <n v="30864.2"/>
    <n v="6.17"/>
    <n v="260638.91"/>
    <n v="20941.45"/>
    <x v="3"/>
  </r>
  <r>
    <s v="ORD100229"/>
    <x v="83"/>
    <x v="11"/>
    <x v="3"/>
    <x v="2"/>
    <x v="5"/>
    <s v="Laptop"/>
    <x v="1"/>
    <n v="10"/>
    <n v="38521.300000000003"/>
    <n v="26.87"/>
    <n v="281706.27"/>
    <n v="36777.85"/>
    <x v="4"/>
  </r>
  <r>
    <s v="ORD100230"/>
    <x v="83"/>
    <x v="12"/>
    <x v="4"/>
    <x v="0"/>
    <x v="3"/>
    <s v="Tennis Ball"/>
    <x v="2"/>
    <n v="5"/>
    <n v="9218.91"/>
    <n v="15.62"/>
    <n v="38894.58"/>
    <n v="7939.35"/>
    <x v="3"/>
  </r>
  <r>
    <s v="ORD100231"/>
    <x v="83"/>
    <x v="12"/>
    <x v="5"/>
    <x v="2"/>
    <x v="2"/>
    <s v="Office Chair"/>
    <x v="2"/>
    <n v="9"/>
    <n v="15663.72"/>
    <n v="16.5"/>
    <n v="117712.86"/>
    <n v="17323"/>
    <x v="0"/>
  </r>
  <r>
    <s v="ORD100232"/>
    <x v="84"/>
    <x v="10"/>
    <x v="6"/>
    <x v="4"/>
    <x v="4"/>
    <s v="Comics"/>
    <x v="0"/>
    <n v="3"/>
    <n v="2228.62"/>
    <n v="19.37"/>
    <n v="5390.81"/>
    <n v="654.86"/>
    <x v="4"/>
  </r>
  <r>
    <s v="ORD100233"/>
    <x v="84"/>
    <x v="2"/>
    <x v="7"/>
    <x v="2"/>
    <x v="4"/>
    <s v="Dictionary"/>
    <x v="1"/>
    <n v="5"/>
    <n v="2448.15"/>
    <n v="22.45"/>
    <n v="9492.7000000000007"/>
    <n v="1798.42"/>
    <x v="1"/>
  </r>
  <r>
    <s v="ORD100234"/>
    <x v="85"/>
    <x v="12"/>
    <x v="8"/>
    <x v="0"/>
    <x v="5"/>
    <s v="Monitor"/>
    <x v="1"/>
    <n v="2"/>
    <n v="9081.5300000000007"/>
    <n v="20.56"/>
    <n v="14428.73"/>
    <n v="1052.83"/>
    <x v="0"/>
  </r>
  <r>
    <s v="ORD100235"/>
    <x v="85"/>
    <x v="6"/>
    <x v="9"/>
    <x v="1"/>
    <x v="4"/>
    <s v="Notebook"/>
    <x v="2"/>
    <n v="5"/>
    <n v="1516.83"/>
    <n v="15.25"/>
    <n v="6427.57"/>
    <n v="799.51"/>
    <x v="0"/>
  </r>
  <r>
    <s v="ORD100236"/>
    <x v="85"/>
    <x v="7"/>
    <x v="10"/>
    <x v="0"/>
    <x v="5"/>
    <s v="Keyboard"/>
    <x v="0"/>
    <n v="8"/>
    <n v="37193.82"/>
    <n v="0.28000000000000003"/>
    <n v="296717.42"/>
    <n v="33134.35"/>
    <x v="0"/>
  </r>
  <r>
    <s v="ORD100237"/>
    <x v="86"/>
    <x v="2"/>
    <x v="11"/>
    <x v="0"/>
    <x v="1"/>
    <s v="Jeans"/>
    <x v="1"/>
    <n v="2"/>
    <n v="1871.07"/>
    <n v="16.649999999999999"/>
    <n v="3119.07"/>
    <n v="727.58"/>
    <x v="4"/>
  </r>
  <r>
    <s v="ORD100238"/>
    <x v="86"/>
    <x v="4"/>
    <x v="12"/>
    <x v="2"/>
    <x v="5"/>
    <s v="Keyboard"/>
    <x v="0"/>
    <n v="9"/>
    <n v="44561.01"/>
    <n v="0.16"/>
    <n v="400407.41"/>
    <n v="96196.96"/>
    <x v="3"/>
  </r>
  <r>
    <s v="ORD100239"/>
    <x v="86"/>
    <x v="4"/>
    <x v="13"/>
    <x v="0"/>
    <x v="2"/>
    <s v="Table"/>
    <x v="0"/>
    <n v="9"/>
    <n v="27456.77"/>
    <n v="22.69"/>
    <n v="191041.46"/>
    <n v="49764.89"/>
    <x v="4"/>
  </r>
  <r>
    <s v="ORD100240"/>
    <x v="87"/>
    <x v="7"/>
    <x v="14"/>
    <x v="1"/>
    <x v="0"/>
    <s v="Snacks"/>
    <x v="2"/>
    <n v="4"/>
    <n v="2180.11"/>
    <n v="26.59"/>
    <n v="6401.68"/>
    <n v="1269.2"/>
    <x v="2"/>
  </r>
  <r>
    <s v="ORD100241"/>
    <x v="87"/>
    <x v="5"/>
    <x v="0"/>
    <x v="0"/>
    <x v="2"/>
    <s v="Sofa"/>
    <x v="0"/>
    <n v="9"/>
    <n v="16119.27"/>
    <n v="12.07"/>
    <n v="127563.07"/>
    <n v="34259.050000000003"/>
    <x v="4"/>
  </r>
  <r>
    <s v="ORD100242"/>
    <x v="88"/>
    <x v="3"/>
    <x v="1"/>
    <x v="2"/>
    <x v="0"/>
    <s v="Coffee"/>
    <x v="1"/>
    <n v="8"/>
    <n v="1830.29"/>
    <n v="20.29"/>
    <n v="11671.39"/>
    <n v="2932.4"/>
    <x v="3"/>
  </r>
  <r>
    <s v="ORD100243"/>
    <x v="88"/>
    <x v="7"/>
    <x v="2"/>
    <x v="2"/>
    <x v="3"/>
    <s v="Badminton Racket"/>
    <x v="1"/>
    <n v="6"/>
    <n v="7015.07"/>
    <n v="22.38"/>
    <n v="32670.58"/>
    <n v="9653.9"/>
    <x v="2"/>
  </r>
  <r>
    <s v="ORD100244"/>
    <x v="88"/>
    <x v="1"/>
    <x v="3"/>
    <x v="0"/>
    <x v="0"/>
    <s v="Rice"/>
    <x v="1"/>
    <n v="7"/>
    <n v="745.78"/>
    <n v="11.14"/>
    <n v="4638.8999999999996"/>
    <n v="304.48"/>
    <x v="1"/>
  </r>
  <r>
    <s v="ORD100245"/>
    <x v="89"/>
    <x v="3"/>
    <x v="4"/>
    <x v="0"/>
    <x v="5"/>
    <s v="Monitor"/>
    <x v="1"/>
    <n v="6"/>
    <n v="51583.93"/>
    <n v="12.64"/>
    <n v="270382.33"/>
    <n v="56521.9"/>
    <x v="0"/>
  </r>
  <r>
    <s v="ORD100246"/>
    <x v="89"/>
    <x v="12"/>
    <x v="5"/>
    <x v="0"/>
    <x v="1"/>
    <s v="T-Shirt"/>
    <x v="0"/>
    <n v="10"/>
    <n v="4825.82"/>
    <n v="5.53"/>
    <n v="45589.52"/>
    <n v="6408.01"/>
    <x v="1"/>
  </r>
  <r>
    <s v="ORD100247"/>
    <x v="89"/>
    <x v="13"/>
    <x v="6"/>
    <x v="0"/>
    <x v="5"/>
    <s v="Keyboard"/>
    <x v="2"/>
    <n v="6"/>
    <n v="41687.26"/>
    <n v="8.9600000000000009"/>
    <n v="227712.49"/>
    <n v="64936.73"/>
    <x v="4"/>
  </r>
  <r>
    <s v="ORD100248"/>
    <x v="90"/>
    <x v="11"/>
    <x v="7"/>
    <x v="3"/>
    <x v="1"/>
    <s v="Shoes"/>
    <x v="2"/>
    <n v="5"/>
    <n v="4002.98"/>
    <n v="13.06"/>
    <n v="17400.95"/>
    <n v="4947.76"/>
    <x v="4"/>
  </r>
  <r>
    <s v="ORD100249"/>
    <x v="90"/>
    <x v="1"/>
    <x v="8"/>
    <x v="2"/>
    <x v="1"/>
    <s v="T-Shirt"/>
    <x v="0"/>
    <n v="8"/>
    <n v="5917.21"/>
    <n v="22.97"/>
    <n v="36464.21"/>
    <n v="3271.83"/>
    <x v="0"/>
  </r>
  <r>
    <s v="ORD100250"/>
    <x v="90"/>
    <x v="1"/>
    <x v="9"/>
    <x v="0"/>
    <x v="5"/>
    <s v="Monitor"/>
    <x v="1"/>
    <n v="5"/>
    <n v="5982.16"/>
    <n v="1.71"/>
    <n v="29399.33"/>
    <n v="3543.99"/>
    <x v="0"/>
  </r>
  <r>
    <s v="ORD100251"/>
    <x v="91"/>
    <x v="14"/>
    <x v="10"/>
    <x v="1"/>
    <x v="3"/>
    <s v="Football"/>
    <x v="1"/>
    <n v="6"/>
    <n v="4403.09"/>
    <n v="25.34"/>
    <n v="19724.080000000002"/>
    <n v="2308.4"/>
    <x v="0"/>
  </r>
  <r>
    <s v="ORD100252"/>
    <x v="91"/>
    <x v="4"/>
    <x v="11"/>
    <x v="3"/>
    <x v="2"/>
    <s v="Desk"/>
    <x v="1"/>
    <n v="9"/>
    <n v="14490.9"/>
    <n v="9.4600000000000009"/>
    <n v="118080.55"/>
    <n v="28689.37"/>
    <x v="0"/>
  </r>
  <r>
    <s v="ORD100253"/>
    <x v="92"/>
    <x v="13"/>
    <x v="12"/>
    <x v="1"/>
    <x v="4"/>
    <s v="Textbook"/>
    <x v="2"/>
    <n v="10"/>
    <n v="1105.0999999999999"/>
    <n v="7.8"/>
    <n v="10189.02"/>
    <n v="2371.04"/>
    <x v="2"/>
  </r>
  <r>
    <s v="ORD100254"/>
    <x v="92"/>
    <x v="1"/>
    <x v="13"/>
    <x v="4"/>
    <x v="1"/>
    <s v="Jeans"/>
    <x v="0"/>
    <n v="5"/>
    <n v="4653.04"/>
    <n v="13.92"/>
    <n v="20026.68"/>
    <n v="5867.84"/>
    <x v="3"/>
  </r>
  <r>
    <s v="ORD100255"/>
    <x v="92"/>
    <x v="2"/>
    <x v="14"/>
    <x v="4"/>
    <x v="5"/>
    <s v="Smartphone"/>
    <x v="0"/>
    <n v="5"/>
    <n v="18412.7"/>
    <n v="7.53"/>
    <n v="85131.12"/>
    <n v="22360.03"/>
    <x v="2"/>
  </r>
  <r>
    <s v="ORD100256"/>
    <x v="93"/>
    <x v="12"/>
    <x v="0"/>
    <x v="3"/>
    <x v="4"/>
    <s v="Textbook"/>
    <x v="0"/>
    <n v="10"/>
    <n v="1402.11"/>
    <n v="23.75"/>
    <n v="10691.09"/>
    <n v="2001.48"/>
    <x v="4"/>
  </r>
  <r>
    <s v="ORD100257"/>
    <x v="93"/>
    <x v="6"/>
    <x v="1"/>
    <x v="1"/>
    <x v="4"/>
    <s v="Dictionary"/>
    <x v="1"/>
    <n v="2"/>
    <n v="1694.05"/>
    <n v="6.48"/>
    <n v="3168.55"/>
    <n v="235.71"/>
    <x v="0"/>
  </r>
  <r>
    <s v="ORD100258"/>
    <x v="93"/>
    <x v="2"/>
    <x v="2"/>
    <x v="1"/>
    <x v="3"/>
    <s v="Yoga Mat"/>
    <x v="2"/>
    <n v="10"/>
    <n v="9785.01"/>
    <n v="23.82"/>
    <n v="74542.210000000006"/>
    <n v="12993.75"/>
    <x v="0"/>
  </r>
  <r>
    <s v="ORD100259"/>
    <x v="94"/>
    <x v="11"/>
    <x v="3"/>
    <x v="2"/>
    <x v="3"/>
    <s v="Yoga Mat"/>
    <x v="2"/>
    <n v="6"/>
    <n v="375.87"/>
    <n v="3.79"/>
    <n v="2169.75"/>
    <n v="466.3"/>
    <x v="1"/>
  </r>
  <r>
    <s v="ORD100260"/>
    <x v="94"/>
    <x v="14"/>
    <x v="4"/>
    <x v="0"/>
    <x v="4"/>
    <s v="Novel"/>
    <x v="0"/>
    <n v="8"/>
    <n v="2463.98"/>
    <n v="23.16"/>
    <n v="15146.58"/>
    <n v="860.2"/>
    <x v="4"/>
  </r>
  <r>
    <s v="ORD100261"/>
    <x v="94"/>
    <x v="0"/>
    <x v="5"/>
    <x v="0"/>
    <x v="0"/>
    <s v="Tea"/>
    <x v="0"/>
    <n v="6"/>
    <n v="1147.2"/>
    <n v="13.55"/>
    <n v="5950.53"/>
    <n v="888.68"/>
    <x v="1"/>
  </r>
  <r>
    <s v="ORD100262"/>
    <x v="95"/>
    <x v="7"/>
    <x v="6"/>
    <x v="1"/>
    <x v="1"/>
    <s v="Dress"/>
    <x v="1"/>
    <n v="10"/>
    <n v="1024.08"/>
    <n v="10.7"/>
    <n v="9145.0300000000007"/>
    <n v="2189.0500000000002"/>
    <x v="3"/>
  </r>
  <r>
    <s v="ORD100263"/>
    <x v="95"/>
    <x v="6"/>
    <x v="7"/>
    <x v="1"/>
    <x v="3"/>
    <s v="Football"/>
    <x v="1"/>
    <n v="10"/>
    <n v="4586.51"/>
    <n v="16.73"/>
    <n v="38191.870000000003"/>
    <n v="3494.88"/>
    <x v="1"/>
  </r>
  <r>
    <s v="ORD100264"/>
    <x v="96"/>
    <x v="8"/>
    <x v="8"/>
    <x v="1"/>
    <x v="2"/>
    <s v="Bookshelf"/>
    <x v="1"/>
    <n v="8"/>
    <n v="20774.990000000002"/>
    <n v="17.940000000000001"/>
    <n v="136383.65"/>
    <n v="7957.43"/>
    <x v="2"/>
  </r>
  <r>
    <s v="ORD100265"/>
    <x v="96"/>
    <x v="3"/>
    <x v="9"/>
    <x v="1"/>
    <x v="0"/>
    <s v="Tea"/>
    <x v="1"/>
    <n v="9"/>
    <n v="2420.63"/>
    <n v="15.16"/>
    <n v="18482.96"/>
    <n v="5392.99"/>
    <x v="2"/>
  </r>
  <r>
    <s v="ORD100266"/>
    <x v="96"/>
    <x v="2"/>
    <x v="10"/>
    <x v="0"/>
    <x v="4"/>
    <s v="Dictionary"/>
    <x v="0"/>
    <n v="2"/>
    <n v="498.29"/>
    <n v="26.46"/>
    <n v="732.88"/>
    <n v="114.97"/>
    <x v="3"/>
  </r>
  <r>
    <s v="ORD100267"/>
    <x v="97"/>
    <x v="7"/>
    <x v="11"/>
    <x v="0"/>
    <x v="1"/>
    <s v="T-Shirt"/>
    <x v="0"/>
    <n v="4"/>
    <n v="5839.02"/>
    <n v="26.71"/>
    <n v="17117.669999999998"/>
    <n v="1195.7"/>
    <x v="0"/>
  </r>
  <r>
    <s v="ORD100268"/>
    <x v="97"/>
    <x v="14"/>
    <x v="12"/>
    <x v="0"/>
    <x v="4"/>
    <s v="Novel"/>
    <x v="2"/>
    <n v="4"/>
    <n v="2303.6999999999998"/>
    <n v="3.32"/>
    <n v="8908.8700000000008"/>
    <n v="2137.1999999999998"/>
    <x v="0"/>
  </r>
  <r>
    <s v="ORD100269"/>
    <x v="97"/>
    <x v="10"/>
    <x v="13"/>
    <x v="3"/>
    <x v="0"/>
    <s v="Rice"/>
    <x v="0"/>
    <n v="5"/>
    <n v="800.25"/>
    <n v="24.58"/>
    <n v="3017.74"/>
    <n v="814.66"/>
    <x v="0"/>
  </r>
  <r>
    <s v="ORD100270"/>
    <x v="98"/>
    <x v="12"/>
    <x v="14"/>
    <x v="3"/>
    <x v="2"/>
    <s v="Office Chair"/>
    <x v="1"/>
    <n v="5"/>
    <n v="17384.63"/>
    <n v="27.16"/>
    <n v="63314.82"/>
    <n v="14873.78"/>
    <x v="3"/>
  </r>
  <r>
    <s v="ORD100271"/>
    <x v="98"/>
    <x v="9"/>
    <x v="0"/>
    <x v="2"/>
    <x v="3"/>
    <s v="Cricket Bat"/>
    <x v="0"/>
    <n v="5"/>
    <n v="8100.72"/>
    <n v="25.31"/>
    <n v="30252.14"/>
    <n v="3433.43"/>
    <x v="4"/>
  </r>
  <r>
    <s v="ORD100272"/>
    <x v="98"/>
    <x v="11"/>
    <x v="1"/>
    <x v="2"/>
    <x v="2"/>
    <s v="Bookshelf"/>
    <x v="0"/>
    <n v="8"/>
    <n v="1148.8699999999999"/>
    <n v="20.45"/>
    <n v="7311.41"/>
    <n v="671.06"/>
    <x v="1"/>
  </r>
  <r>
    <s v="ORD100273"/>
    <x v="99"/>
    <x v="14"/>
    <x v="2"/>
    <x v="1"/>
    <x v="0"/>
    <s v="Cooking Oil"/>
    <x v="0"/>
    <n v="9"/>
    <n v="685.81"/>
    <n v="10.81"/>
    <n v="5505.07"/>
    <n v="369.54"/>
    <x v="0"/>
  </r>
  <r>
    <s v="ORD100274"/>
    <x v="99"/>
    <x v="12"/>
    <x v="3"/>
    <x v="0"/>
    <x v="3"/>
    <s v="Yoga Mat"/>
    <x v="0"/>
    <n v="1"/>
    <n v="7707.43"/>
    <n v="23.65"/>
    <n v="5884.62"/>
    <n v="1272.53"/>
    <x v="1"/>
  </r>
  <r>
    <s v="ORD100275"/>
    <x v="100"/>
    <x v="8"/>
    <x v="4"/>
    <x v="0"/>
    <x v="1"/>
    <s v="Jacket"/>
    <x v="1"/>
    <n v="2"/>
    <n v="3742.33"/>
    <n v="13.81"/>
    <n v="6451.03"/>
    <n v="1716.88"/>
    <x v="1"/>
  </r>
  <r>
    <s v="ORD100276"/>
    <x v="100"/>
    <x v="4"/>
    <x v="5"/>
    <x v="4"/>
    <x v="0"/>
    <s v="Rice"/>
    <x v="1"/>
    <n v="9"/>
    <n v="1293.26"/>
    <n v="0.82"/>
    <n v="11543.9"/>
    <n v="3365.75"/>
    <x v="1"/>
  </r>
  <r>
    <s v="ORD100277"/>
    <x v="100"/>
    <x v="3"/>
    <x v="6"/>
    <x v="4"/>
    <x v="1"/>
    <s v="Jeans"/>
    <x v="1"/>
    <n v="3"/>
    <n v="6497.78"/>
    <n v="0.54"/>
    <n v="19388.080000000002"/>
    <n v="5636.17"/>
    <x v="0"/>
  </r>
  <r>
    <s v="ORD100278"/>
    <x v="101"/>
    <x v="5"/>
    <x v="7"/>
    <x v="2"/>
    <x v="5"/>
    <s v="Monitor"/>
    <x v="0"/>
    <n v="3"/>
    <n v="69883.929999999993"/>
    <n v="3.38"/>
    <n v="202565.56"/>
    <n v="45763.91"/>
    <x v="3"/>
  </r>
  <r>
    <s v="ORD100279"/>
    <x v="101"/>
    <x v="10"/>
    <x v="8"/>
    <x v="4"/>
    <x v="5"/>
    <s v="Monitor"/>
    <x v="1"/>
    <n v="9"/>
    <n v="66050.52"/>
    <n v="2.23"/>
    <n v="581198.34"/>
    <n v="61948.7"/>
    <x v="0"/>
  </r>
  <r>
    <s v="ORD100280"/>
    <x v="101"/>
    <x v="3"/>
    <x v="9"/>
    <x v="1"/>
    <x v="0"/>
    <s v="Cooking Oil"/>
    <x v="2"/>
    <n v="9"/>
    <n v="1024.7"/>
    <n v="10.210000000000001"/>
    <n v="8280.7000000000007"/>
    <n v="2461.5"/>
    <x v="3"/>
  </r>
  <r>
    <s v="ORD100281"/>
    <x v="102"/>
    <x v="7"/>
    <x v="10"/>
    <x v="1"/>
    <x v="3"/>
    <s v="Yoga Mat"/>
    <x v="0"/>
    <n v="3"/>
    <n v="2824.21"/>
    <n v="23.67"/>
    <n v="6467.16"/>
    <n v="1250.3399999999999"/>
    <x v="1"/>
  </r>
  <r>
    <s v="ORD100282"/>
    <x v="102"/>
    <x v="9"/>
    <x v="11"/>
    <x v="3"/>
    <x v="0"/>
    <s v="Rice"/>
    <x v="0"/>
    <n v="5"/>
    <n v="326.88"/>
    <n v="27.29"/>
    <n v="1188.3699999999999"/>
    <n v="258.23"/>
    <x v="2"/>
  </r>
  <r>
    <s v="ORD100283"/>
    <x v="102"/>
    <x v="7"/>
    <x v="12"/>
    <x v="0"/>
    <x v="0"/>
    <s v="Coffee"/>
    <x v="2"/>
    <n v="9"/>
    <n v="1055.4100000000001"/>
    <n v="4.9400000000000004"/>
    <n v="9029.4500000000007"/>
    <n v="836.54"/>
    <x v="0"/>
  </r>
  <r>
    <s v="ORD100284"/>
    <x v="103"/>
    <x v="4"/>
    <x v="13"/>
    <x v="2"/>
    <x v="5"/>
    <s v="Keyboard"/>
    <x v="0"/>
    <n v="3"/>
    <n v="19375.96"/>
    <n v="15.37"/>
    <n v="49193.62"/>
    <n v="3741.48"/>
    <x v="1"/>
  </r>
  <r>
    <s v="ORD100285"/>
    <x v="103"/>
    <x v="8"/>
    <x v="14"/>
    <x v="4"/>
    <x v="3"/>
    <s v="Yoga Mat"/>
    <x v="2"/>
    <n v="2"/>
    <n v="2861.37"/>
    <n v="14.19"/>
    <n v="4910.68"/>
    <n v="1453.37"/>
    <x v="3"/>
  </r>
  <r>
    <s v="ORD100286"/>
    <x v="104"/>
    <x v="9"/>
    <x v="0"/>
    <x v="4"/>
    <x v="4"/>
    <s v="Comics"/>
    <x v="0"/>
    <n v="6"/>
    <n v="209.56"/>
    <n v="4.2"/>
    <n v="1204.55"/>
    <n v="143.59"/>
    <x v="2"/>
  </r>
  <r>
    <s v="ORD100287"/>
    <x v="104"/>
    <x v="9"/>
    <x v="1"/>
    <x v="1"/>
    <x v="5"/>
    <s v="Headphones"/>
    <x v="0"/>
    <n v="8"/>
    <n v="37844.629999999997"/>
    <n v="13.42"/>
    <n v="262127.05"/>
    <n v="44187.31"/>
    <x v="3"/>
  </r>
  <r>
    <s v="ORD100288"/>
    <x v="104"/>
    <x v="7"/>
    <x v="2"/>
    <x v="1"/>
    <x v="3"/>
    <s v="Cricket Bat"/>
    <x v="0"/>
    <n v="8"/>
    <n v="559.87"/>
    <n v="3.24"/>
    <n v="4333.84"/>
    <n v="583.83000000000004"/>
    <x v="4"/>
  </r>
  <r>
    <s v="ORD100289"/>
    <x v="105"/>
    <x v="7"/>
    <x v="3"/>
    <x v="0"/>
    <x v="1"/>
    <s v="T-Shirt"/>
    <x v="1"/>
    <n v="9"/>
    <n v="6588.45"/>
    <n v="8.5399999999999991"/>
    <n v="54232.17"/>
    <n v="13804.89"/>
    <x v="3"/>
  </r>
  <r>
    <s v="ORD100290"/>
    <x v="105"/>
    <x v="8"/>
    <x v="4"/>
    <x v="2"/>
    <x v="4"/>
    <s v="Notebook"/>
    <x v="1"/>
    <n v="3"/>
    <n v="1181.43"/>
    <n v="27.88"/>
    <n v="2556.14"/>
    <n v="233.38"/>
    <x v="0"/>
  </r>
  <r>
    <s v="ORD100291"/>
    <x v="105"/>
    <x v="8"/>
    <x v="5"/>
    <x v="4"/>
    <x v="4"/>
    <s v="Dictionary"/>
    <x v="1"/>
    <n v="1"/>
    <n v="2077.1"/>
    <n v="28.65"/>
    <n v="1482.01"/>
    <n v="378.36"/>
    <x v="2"/>
  </r>
  <r>
    <s v="ORD100292"/>
    <x v="106"/>
    <x v="11"/>
    <x v="6"/>
    <x v="3"/>
    <x v="5"/>
    <s v="Monitor"/>
    <x v="0"/>
    <n v="2"/>
    <n v="20907.189999999999"/>
    <n v="19.96"/>
    <n v="33468.230000000003"/>
    <n v="8370.0300000000007"/>
    <x v="1"/>
  </r>
  <r>
    <s v="ORD100293"/>
    <x v="106"/>
    <x v="2"/>
    <x v="7"/>
    <x v="3"/>
    <x v="0"/>
    <s v="Coffee"/>
    <x v="1"/>
    <n v="1"/>
    <n v="259.47000000000003"/>
    <n v="2.41"/>
    <n v="253.22"/>
    <n v="35.119999999999997"/>
    <x v="2"/>
  </r>
  <r>
    <s v="ORD100294"/>
    <x v="106"/>
    <x v="6"/>
    <x v="8"/>
    <x v="4"/>
    <x v="5"/>
    <s v="Smartphone"/>
    <x v="0"/>
    <n v="2"/>
    <n v="71099.11"/>
    <n v="17.96"/>
    <n v="116659.42"/>
    <n v="20478.21"/>
    <x v="0"/>
  </r>
  <r>
    <s v="ORD100295"/>
    <x v="107"/>
    <x v="10"/>
    <x v="9"/>
    <x v="3"/>
    <x v="1"/>
    <s v="Dress"/>
    <x v="0"/>
    <n v="6"/>
    <n v="1228.3"/>
    <n v="27.07"/>
    <n v="5374.8"/>
    <n v="358.02"/>
    <x v="3"/>
  </r>
  <r>
    <s v="ORD100296"/>
    <x v="107"/>
    <x v="7"/>
    <x v="10"/>
    <x v="1"/>
    <x v="3"/>
    <s v="Yoga Mat"/>
    <x v="2"/>
    <n v="3"/>
    <n v="4598.76"/>
    <n v="2.5299999999999998"/>
    <n v="13447.23"/>
    <n v="2014.96"/>
    <x v="3"/>
  </r>
  <r>
    <s v="ORD100297"/>
    <x v="108"/>
    <x v="6"/>
    <x v="11"/>
    <x v="1"/>
    <x v="5"/>
    <s v="Laptop"/>
    <x v="1"/>
    <n v="6"/>
    <n v="67725.55"/>
    <n v="20.77"/>
    <n v="321953.71999999997"/>
    <n v="50702.16"/>
    <x v="3"/>
  </r>
  <r>
    <s v="ORD100298"/>
    <x v="108"/>
    <x v="14"/>
    <x v="12"/>
    <x v="0"/>
    <x v="4"/>
    <s v="Textbook"/>
    <x v="2"/>
    <n v="2"/>
    <n v="1022.18"/>
    <n v="13.5"/>
    <n v="1768.37"/>
    <n v="344.51"/>
    <x v="1"/>
  </r>
  <r>
    <s v="ORD100299"/>
    <x v="108"/>
    <x v="2"/>
    <x v="13"/>
    <x v="2"/>
    <x v="5"/>
    <s v="Monitor"/>
    <x v="0"/>
    <n v="1"/>
    <n v="42302.1"/>
    <n v="15.35"/>
    <n v="35808.730000000003"/>
    <n v="3273.17"/>
    <x v="3"/>
  </r>
  <r>
    <s v="ORD100300"/>
    <x v="109"/>
    <x v="0"/>
    <x v="14"/>
    <x v="0"/>
    <x v="5"/>
    <s v="Monitor"/>
    <x v="2"/>
    <n v="3"/>
    <n v="2523.1"/>
    <n v="19.37"/>
    <n v="6103.13"/>
    <n v="1276.93"/>
    <x v="1"/>
  </r>
  <r>
    <s v="ORD100301"/>
    <x v="109"/>
    <x v="8"/>
    <x v="0"/>
    <x v="2"/>
    <x v="5"/>
    <s v="Laptop"/>
    <x v="2"/>
    <n v="6"/>
    <n v="67847.59"/>
    <n v="15.93"/>
    <n v="342236.81"/>
    <n v="89129.02"/>
    <x v="3"/>
  </r>
  <r>
    <s v="ORD100302"/>
    <x v="109"/>
    <x v="0"/>
    <x v="1"/>
    <x v="1"/>
    <x v="0"/>
    <s v="Rice"/>
    <x v="2"/>
    <n v="2"/>
    <n v="1482.49"/>
    <n v="0.83"/>
    <n v="2940.37"/>
    <n v="518.57000000000005"/>
    <x v="1"/>
  </r>
  <r>
    <s v="ORD100303"/>
    <x v="110"/>
    <x v="7"/>
    <x v="2"/>
    <x v="3"/>
    <x v="3"/>
    <s v="Badminton Racket"/>
    <x v="0"/>
    <n v="10"/>
    <n v="4075.26"/>
    <n v="9.4"/>
    <n v="36921.86"/>
    <n v="3203.54"/>
    <x v="4"/>
  </r>
  <r>
    <s v="ORD100304"/>
    <x v="110"/>
    <x v="12"/>
    <x v="3"/>
    <x v="2"/>
    <x v="4"/>
    <s v="Dictionary"/>
    <x v="0"/>
    <n v="10"/>
    <n v="999.53"/>
    <n v="14.22"/>
    <n v="8573.9699999999993"/>
    <n v="1380.68"/>
    <x v="3"/>
  </r>
  <r>
    <s v="ORD100305"/>
    <x v="111"/>
    <x v="7"/>
    <x v="4"/>
    <x v="1"/>
    <x v="4"/>
    <s v="Dictionary"/>
    <x v="0"/>
    <n v="4"/>
    <n v="174.25"/>
    <n v="29.12"/>
    <n v="494.03"/>
    <n v="120.24"/>
    <x v="3"/>
  </r>
  <r>
    <s v="ORD100306"/>
    <x v="111"/>
    <x v="12"/>
    <x v="5"/>
    <x v="1"/>
    <x v="4"/>
    <s v="Textbook"/>
    <x v="1"/>
    <n v="6"/>
    <n v="692.58"/>
    <n v="25.16"/>
    <n v="3109.96"/>
    <n v="432.43"/>
    <x v="4"/>
  </r>
  <r>
    <s v="ORD100307"/>
    <x v="111"/>
    <x v="1"/>
    <x v="6"/>
    <x v="1"/>
    <x v="5"/>
    <s v="Keyboard"/>
    <x v="1"/>
    <n v="5"/>
    <n v="77330.179999999993"/>
    <n v="16.73"/>
    <n v="321964.2"/>
    <n v="44050.9"/>
    <x v="2"/>
  </r>
  <r>
    <s v="ORD100308"/>
    <x v="112"/>
    <x v="8"/>
    <x v="7"/>
    <x v="4"/>
    <x v="2"/>
    <s v="Bookshelf"/>
    <x v="2"/>
    <n v="4"/>
    <n v="16669.37"/>
    <n v="29.82"/>
    <n v="46794.26"/>
    <n v="12638.13"/>
    <x v="1"/>
  </r>
  <r>
    <s v="ORD100309"/>
    <x v="112"/>
    <x v="6"/>
    <x v="8"/>
    <x v="0"/>
    <x v="4"/>
    <s v="Dictionary"/>
    <x v="0"/>
    <n v="8"/>
    <n v="194.7"/>
    <n v="14.27"/>
    <n v="1335.33"/>
    <n v="248.05"/>
    <x v="4"/>
  </r>
  <r>
    <s v="ORD100310"/>
    <x v="112"/>
    <x v="9"/>
    <x v="9"/>
    <x v="2"/>
    <x v="1"/>
    <s v="Shoes"/>
    <x v="0"/>
    <n v="6"/>
    <n v="1306.02"/>
    <n v="23.72"/>
    <n v="5977.39"/>
    <n v="485.4"/>
    <x v="4"/>
  </r>
  <r>
    <s v="ORD100311"/>
    <x v="113"/>
    <x v="4"/>
    <x v="10"/>
    <x v="3"/>
    <x v="0"/>
    <s v="Rice"/>
    <x v="2"/>
    <n v="3"/>
    <n v="1414.89"/>
    <n v="29.43"/>
    <n v="2995.46"/>
    <n v="511.78"/>
    <x v="1"/>
  </r>
  <r>
    <s v="ORD100312"/>
    <x v="113"/>
    <x v="0"/>
    <x v="11"/>
    <x v="3"/>
    <x v="5"/>
    <s v="Headphones"/>
    <x v="1"/>
    <n v="9"/>
    <n v="29300.31"/>
    <n v="21.77"/>
    <n v="206294.69"/>
    <n v="56444.94"/>
    <x v="0"/>
  </r>
  <r>
    <s v="ORD100313"/>
    <x v="113"/>
    <x v="9"/>
    <x v="12"/>
    <x v="0"/>
    <x v="4"/>
    <s v="Notebook"/>
    <x v="1"/>
    <n v="9"/>
    <n v="242.73"/>
    <n v="0.1"/>
    <n v="2182.39"/>
    <n v="458.41"/>
    <x v="1"/>
  </r>
  <r>
    <s v="ORD100314"/>
    <x v="114"/>
    <x v="0"/>
    <x v="13"/>
    <x v="0"/>
    <x v="1"/>
    <s v="Shoes"/>
    <x v="2"/>
    <n v="7"/>
    <n v="447.19"/>
    <n v="14.31"/>
    <n v="2682.38"/>
    <n v="595.29999999999995"/>
    <x v="4"/>
  </r>
  <r>
    <s v="ORD100315"/>
    <x v="114"/>
    <x v="10"/>
    <x v="14"/>
    <x v="0"/>
    <x v="2"/>
    <s v="Table"/>
    <x v="1"/>
    <n v="2"/>
    <n v="14002.89"/>
    <n v="21.99"/>
    <n v="21847.31"/>
    <n v="3979.37"/>
    <x v="4"/>
  </r>
  <r>
    <s v="ORD100316"/>
    <x v="115"/>
    <x v="14"/>
    <x v="0"/>
    <x v="1"/>
    <x v="2"/>
    <s v="Office Chair"/>
    <x v="0"/>
    <n v="8"/>
    <n v="12490.16"/>
    <n v="0.43"/>
    <n v="99491.62"/>
    <n v="23327.54"/>
    <x v="2"/>
  </r>
  <r>
    <s v="ORD100317"/>
    <x v="115"/>
    <x v="8"/>
    <x v="1"/>
    <x v="4"/>
    <x v="4"/>
    <s v="Dictionary"/>
    <x v="2"/>
    <n v="9"/>
    <n v="1938.68"/>
    <n v="25.38"/>
    <n v="13019.79"/>
    <n v="2648.24"/>
    <x v="0"/>
  </r>
  <r>
    <s v="ORD100318"/>
    <x v="115"/>
    <x v="12"/>
    <x v="2"/>
    <x v="1"/>
    <x v="3"/>
    <s v="Badminton Racket"/>
    <x v="0"/>
    <n v="3"/>
    <n v="5581.48"/>
    <n v="18.96"/>
    <n v="13569.69"/>
    <n v="2636.05"/>
    <x v="1"/>
  </r>
  <r>
    <s v="ORD100319"/>
    <x v="116"/>
    <x v="4"/>
    <x v="3"/>
    <x v="2"/>
    <x v="1"/>
    <s v="Jeans"/>
    <x v="2"/>
    <n v="8"/>
    <n v="1169.57"/>
    <n v="25.26"/>
    <n v="6993.09"/>
    <n v="773.14"/>
    <x v="4"/>
  </r>
  <r>
    <s v="ORD100320"/>
    <x v="116"/>
    <x v="8"/>
    <x v="4"/>
    <x v="0"/>
    <x v="2"/>
    <s v="Table"/>
    <x v="2"/>
    <n v="8"/>
    <n v="12516.33"/>
    <n v="6.97"/>
    <n v="93151.53"/>
    <n v="11201.58"/>
    <x v="2"/>
  </r>
  <r>
    <s v="ORD100321"/>
    <x v="116"/>
    <x v="7"/>
    <x v="5"/>
    <x v="0"/>
    <x v="4"/>
    <s v="Novel"/>
    <x v="0"/>
    <n v="1"/>
    <n v="1637.14"/>
    <n v="29.37"/>
    <n v="1156.31"/>
    <n v="232.27"/>
    <x v="3"/>
  </r>
  <r>
    <s v="ORD100322"/>
    <x v="117"/>
    <x v="8"/>
    <x v="6"/>
    <x v="2"/>
    <x v="3"/>
    <s v="Cricket Bat"/>
    <x v="2"/>
    <n v="7"/>
    <n v="5130.22"/>
    <n v="13.48"/>
    <n v="31070.66"/>
    <n v="6104.33"/>
    <x v="4"/>
  </r>
  <r>
    <s v="ORD100323"/>
    <x v="117"/>
    <x v="5"/>
    <x v="7"/>
    <x v="0"/>
    <x v="0"/>
    <s v="Coffee"/>
    <x v="1"/>
    <n v="5"/>
    <n v="2421.6799999999998"/>
    <n v="16.579999999999998"/>
    <n v="10100.83"/>
    <n v="1818.58"/>
    <x v="4"/>
  </r>
  <r>
    <s v="ORD100324"/>
    <x v="117"/>
    <x v="9"/>
    <x v="8"/>
    <x v="4"/>
    <x v="0"/>
    <s v="Cooking Oil"/>
    <x v="1"/>
    <n v="2"/>
    <n v="2480.15"/>
    <n v="21.65"/>
    <n v="3886.4"/>
    <n v="458.16"/>
    <x v="3"/>
  </r>
  <r>
    <s v="ORD100325"/>
    <x v="118"/>
    <x v="8"/>
    <x v="9"/>
    <x v="3"/>
    <x v="2"/>
    <s v="Table"/>
    <x v="0"/>
    <n v="10"/>
    <n v="28886.51"/>
    <n v="17.8"/>
    <n v="237447.11"/>
    <n v="65044.29"/>
    <x v="2"/>
  </r>
  <r>
    <s v="ORD100326"/>
    <x v="118"/>
    <x v="1"/>
    <x v="10"/>
    <x v="2"/>
    <x v="0"/>
    <s v="Rice"/>
    <x v="2"/>
    <n v="9"/>
    <n v="1112.69"/>
    <n v="8.11"/>
    <n v="9202.06"/>
    <n v="2398.77"/>
    <x v="1"/>
  </r>
  <r>
    <s v="ORD100327"/>
    <x v="119"/>
    <x v="9"/>
    <x v="11"/>
    <x v="3"/>
    <x v="4"/>
    <s v="Notebook"/>
    <x v="1"/>
    <n v="1"/>
    <n v="1005.55"/>
    <n v="28.09"/>
    <n v="723.09"/>
    <n v="158.19999999999999"/>
    <x v="4"/>
  </r>
  <r>
    <s v="ORD100328"/>
    <x v="119"/>
    <x v="7"/>
    <x v="12"/>
    <x v="0"/>
    <x v="4"/>
    <s v="Novel"/>
    <x v="0"/>
    <n v="9"/>
    <n v="1789.26"/>
    <n v="0.13"/>
    <n v="16082.41"/>
    <n v="1475.37"/>
    <x v="2"/>
  </r>
  <r>
    <s v="ORD100329"/>
    <x v="119"/>
    <x v="11"/>
    <x v="13"/>
    <x v="0"/>
    <x v="5"/>
    <s v="Monitor"/>
    <x v="1"/>
    <n v="1"/>
    <n v="54250.6"/>
    <n v="28.32"/>
    <n v="38886.83"/>
    <n v="4559.17"/>
    <x v="0"/>
  </r>
  <r>
    <s v="ORD100330"/>
    <x v="120"/>
    <x v="14"/>
    <x v="14"/>
    <x v="0"/>
    <x v="4"/>
    <s v="Textbook"/>
    <x v="1"/>
    <n v="1"/>
    <n v="964.12"/>
    <n v="28.7"/>
    <n v="687.42"/>
    <n v="120.37"/>
    <x v="4"/>
  </r>
  <r>
    <s v="ORD100331"/>
    <x v="120"/>
    <x v="5"/>
    <x v="0"/>
    <x v="2"/>
    <x v="3"/>
    <s v="Badminton Racket"/>
    <x v="1"/>
    <n v="9"/>
    <n v="713.08"/>
    <n v="23.03"/>
    <n v="4939.72"/>
    <n v="761.34"/>
    <x v="4"/>
  </r>
  <r>
    <s v="ORD100332"/>
    <x v="120"/>
    <x v="5"/>
    <x v="1"/>
    <x v="1"/>
    <x v="5"/>
    <s v="Laptop"/>
    <x v="0"/>
    <n v="6"/>
    <n v="38046.400000000001"/>
    <n v="26.4"/>
    <n v="168012.9"/>
    <n v="17462.45"/>
    <x v="4"/>
  </r>
  <r>
    <s v="ORD100333"/>
    <x v="121"/>
    <x v="1"/>
    <x v="2"/>
    <x v="4"/>
    <x v="5"/>
    <s v="Monitor"/>
    <x v="0"/>
    <n v="2"/>
    <n v="59099.18"/>
    <n v="29.24"/>
    <n v="83637.16"/>
    <n v="5273.29"/>
    <x v="0"/>
  </r>
  <r>
    <s v="ORD100334"/>
    <x v="121"/>
    <x v="3"/>
    <x v="3"/>
    <x v="1"/>
    <x v="1"/>
    <s v="Jacket"/>
    <x v="2"/>
    <n v="9"/>
    <n v="6639.48"/>
    <n v="23.46"/>
    <n v="45736.72"/>
    <n v="8504.81"/>
    <x v="2"/>
  </r>
  <r>
    <s v="ORD100335"/>
    <x v="121"/>
    <x v="6"/>
    <x v="4"/>
    <x v="4"/>
    <x v="4"/>
    <s v="Textbook"/>
    <x v="2"/>
    <n v="6"/>
    <n v="1802.52"/>
    <n v="28.47"/>
    <n v="7736.06"/>
    <n v="447.57"/>
    <x v="0"/>
  </r>
  <r>
    <s v="ORD100336"/>
    <x v="122"/>
    <x v="11"/>
    <x v="5"/>
    <x v="2"/>
    <x v="4"/>
    <s v="Notebook"/>
    <x v="1"/>
    <n v="9"/>
    <n v="2412.4"/>
    <n v="15.57"/>
    <n v="18331.099999999999"/>
    <n v="4021.58"/>
    <x v="3"/>
  </r>
  <r>
    <s v="ORD100337"/>
    <x v="122"/>
    <x v="12"/>
    <x v="6"/>
    <x v="1"/>
    <x v="0"/>
    <s v="Cooking Oil"/>
    <x v="2"/>
    <n v="6"/>
    <n v="100"/>
    <n v="23.1"/>
    <n v="461.4"/>
    <n v="116.18"/>
    <x v="2"/>
  </r>
  <r>
    <s v="ORD100338"/>
    <x v="123"/>
    <x v="0"/>
    <x v="7"/>
    <x v="1"/>
    <x v="5"/>
    <s v="Laptop"/>
    <x v="0"/>
    <n v="7"/>
    <n v="41677.86"/>
    <n v="10.44"/>
    <n v="261286.84"/>
    <n v="37346.99"/>
    <x v="0"/>
  </r>
  <r>
    <s v="ORD100339"/>
    <x v="123"/>
    <x v="4"/>
    <x v="8"/>
    <x v="0"/>
    <x v="1"/>
    <s v="T-Shirt"/>
    <x v="1"/>
    <n v="8"/>
    <n v="6330.63"/>
    <n v="23.41"/>
    <n v="38789.040000000001"/>
    <n v="6380.76"/>
    <x v="2"/>
  </r>
  <r>
    <s v="ORD100340"/>
    <x v="123"/>
    <x v="1"/>
    <x v="9"/>
    <x v="3"/>
    <x v="5"/>
    <s v="Keyboard"/>
    <x v="2"/>
    <n v="2"/>
    <n v="48461.7"/>
    <n v="14.2"/>
    <n v="83160.28"/>
    <n v="5399.52"/>
    <x v="3"/>
  </r>
  <r>
    <s v="ORD100341"/>
    <x v="124"/>
    <x v="9"/>
    <x v="10"/>
    <x v="0"/>
    <x v="4"/>
    <s v="Comics"/>
    <x v="2"/>
    <n v="2"/>
    <n v="1647.02"/>
    <n v="16.84"/>
    <n v="2739.32"/>
    <n v="669.03"/>
    <x v="0"/>
  </r>
  <r>
    <s v="ORD100342"/>
    <x v="124"/>
    <x v="5"/>
    <x v="11"/>
    <x v="1"/>
    <x v="2"/>
    <s v="Office Chair"/>
    <x v="1"/>
    <n v="10"/>
    <n v="34040.58"/>
    <n v="9.4499999999999993"/>
    <n v="308237.45"/>
    <n v="36698.54"/>
    <x v="0"/>
  </r>
  <r>
    <s v="ORD100343"/>
    <x v="124"/>
    <x v="1"/>
    <x v="12"/>
    <x v="4"/>
    <x v="1"/>
    <s v="Jacket"/>
    <x v="1"/>
    <n v="1"/>
    <n v="2957.98"/>
    <n v="27.52"/>
    <n v="2143.94"/>
    <n v="262.89999999999998"/>
    <x v="3"/>
  </r>
  <r>
    <s v="ORD100344"/>
    <x v="125"/>
    <x v="0"/>
    <x v="13"/>
    <x v="4"/>
    <x v="3"/>
    <s v="Football"/>
    <x v="2"/>
    <n v="10"/>
    <n v="1643.57"/>
    <n v="0.24"/>
    <n v="16396.25"/>
    <n v="3406"/>
    <x v="1"/>
  </r>
  <r>
    <s v="ORD100345"/>
    <x v="125"/>
    <x v="4"/>
    <x v="14"/>
    <x v="3"/>
    <x v="2"/>
    <s v="Table"/>
    <x v="2"/>
    <n v="10"/>
    <n v="27505.19"/>
    <n v="2.29"/>
    <n v="268753.21000000002"/>
    <n v="31894.54"/>
    <x v="4"/>
  </r>
  <r>
    <s v="ORD100346"/>
    <x v="125"/>
    <x v="0"/>
    <x v="0"/>
    <x v="2"/>
    <x v="3"/>
    <s v="Tennis Ball"/>
    <x v="0"/>
    <n v="3"/>
    <n v="1824.35"/>
    <n v="13.37"/>
    <n v="4741.3"/>
    <n v="485.02"/>
    <x v="3"/>
  </r>
  <r>
    <s v="ORD100347"/>
    <x v="126"/>
    <x v="11"/>
    <x v="1"/>
    <x v="0"/>
    <x v="1"/>
    <s v="Shoes"/>
    <x v="1"/>
    <n v="2"/>
    <n v="6874.14"/>
    <n v="7.26"/>
    <n v="12750.15"/>
    <n v="3699.54"/>
    <x v="4"/>
  </r>
  <r>
    <s v="ORD100348"/>
    <x v="126"/>
    <x v="4"/>
    <x v="2"/>
    <x v="3"/>
    <x v="3"/>
    <s v="Cricket Bat"/>
    <x v="2"/>
    <n v="5"/>
    <n v="4482.5600000000004"/>
    <n v="17.809999999999999"/>
    <n v="18421.080000000002"/>
    <n v="1257.6099999999999"/>
    <x v="0"/>
  </r>
  <r>
    <s v="ORD100349"/>
    <x v="127"/>
    <x v="12"/>
    <x v="3"/>
    <x v="1"/>
    <x v="0"/>
    <s v="Tea"/>
    <x v="2"/>
    <n v="2"/>
    <n v="2110.02"/>
    <n v="11.86"/>
    <n v="3719.54"/>
    <n v="1072.06"/>
    <x v="0"/>
  </r>
  <r>
    <s v="ORD100350"/>
    <x v="127"/>
    <x v="5"/>
    <x v="4"/>
    <x v="2"/>
    <x v="3"/>
    <s v="Cricket Bat"/>
    <x v="0"/>
    <n v="7"/>
    <n v="7857.22"/>
    <n v="28.81"/>
    <n v="39154.879999999997"/>
    <n v="9432.2099999999991"/>
    <x v="2"/>
  </r>
  <r>
    <s v="ORD100351"/>
    <x v="127"/>
    <x v="7"/>
    <x v="5"/>
    <x v="3"/>
    <x v="2"/>
    <s v="Sofa"/>
    <x v="2"/>
    <n v="5"/>
    <n v="15702.44"/>
    <n v="16.559999999999999"/>
    <n v="65510.58"/>
    <n v="16455.490000000002"/>
    <x v="1"/>
  </r>
  <r>
    <s v="ORD100352"/>
    <x v="128"/>
    <x v="11"/>
    <x v="6"/>
    <x v="4"/>
    <x v="3"/>
    <s v="Tennis Ball"/>
    <x v="2"/>
    <n v="9"/>
    <n v="4147.09"/>
    <n v="26.84"/>
    <n v="27306.1"/>
    <n v="1368.33"/>
    <x v="1"/>
  </r>
  <r>
    <s v="ORD100353"/>
    <x v="128"/>
    <x v="11"/>
    <x v="7"/>
    <x v="2"/>
    <x v="2"/>
    <s v="Bookshelf"/>
    <x v="0"/>
    <n v="1"/>
    <n v="2751.54"/>
    <n v="22.83"/>
    <n v="2123.36"/>
    <n v="303.49"/>
    <x v="1"/>
  </r>
  <r>
    <s v="ORD100354"/>
    <x v="128"/>
    <x v="11"/>
    <x v="8"/>
    <x v="1"/>
    <x v="1"/>
    <s v="T-Shirt"/>
    <x v="0"/>
    <n v="7"/>
    <n v="4743.84"/>
    <n v="10.71"/>
    <n v="29650.42"/>
    <n v="7320.31"/>
    <x v="1"/>
  </r>
  <r>
    <s v="ORD100355"/>
    <x v="129"/>
    <x v="11"/>
    <x v="9"/>
    <x v="3"/>
    <x v="2"/>
    <s v="Sofa"/>
    <x v="1"/>
    <n v="1"/>
    <n v="10375.56"/>
    <n v="5.75"/>
    <n v="9778.9699999999993"/>
    <n v="2733.81"/>
    <x v="1"/>
  </r>
  <r>
    <s v="ORD100356"/>
    <x v="129"/>
    <x v="5"/>
    <x v="10"/>
    <x v="4"/>
    <x v="5"/>
    <s v="Laptop"/>
    <x v="0"/>
    <n v="5"/>
    <n v="3363.5"/>
    <n v="5.26"/>
    <n v="15932.9"/>
    <n v="4249.1899999999996"/>
    <x v="0"/>
  </r>
  <r>
    <s v="ORD100357"/>
    <x v="130"/>
    <x v="6"/>
    <x v="11"/>
    <x v="1"/>
    <x v="4"/>
    <s v="Notebook"/>
    <x v="1"/>
    <n v="8"/>
    <n v="1492.21"/>
    <n v="15.5"/>
    <n v="10087.34"/>
    <n v="2417.88"/>
    <x v="4"/>
  </r>
  <r>
    <s v="ORD100358"/>
    <x v="130"/>
    <x v="5"/>
    <x v="12"/>
    <x v="1"/>
    <x v="4"/>
    <s v="Dictionary"/>
    <x v="0"/>
    <n v="4"/>
    <n v="2075.59"/>
    <n v="26.67"/>
    <n v="6088.12"/>
    <n v="1133.1600000000001"/>
    <x v="1"/>
  </r>
  <r>
    <s v="ORD100359"/>
    <x v="130"/>
    <x v="9"/>
    <x v="13"/>
    <x v="0"/>
    <x v="3"/>
    <s v="Yoga Mat"/>
    <x v="1"/>
    <n v="9"/>
    <n v="3770.67"/>
    <n v="8.86"/>
    <n v="30929.3"/>
    <n v="8347.02"/>
    <x v="1"/>
  </r>
  <r>
    <s v="ORD100360"/>
    <x v="131"/>
    <x v="12"/>
    <x v="14"/>
    <x v="4"/>
    <x v="4"/>
    <s v="Comics"/>
    <x v="0"/>
    <n v="2"/>
    <n v="1957.37"/>
    <n v="10.58"/>
    <n v="3500.56"/>
    <n v="896.83"/>
    <x v="2"/>
  </r>
  <r>
    <s v="ORD100361"/>
    <x v="131"/>
    <x v="5"/>
    <x v="0"/>
    <x v="4"/>
    <x v="0"/>
    <s v="Snacks"/>
    <x v="2"/>
    <n v="5"/>
    <n v="1205.8800000000001"/>
    <n v="16.399999999999999"/>
    <n v="5040.58"/>
    <n v="922.45"/>
    <x v="2"/>
  </r>
  <r>
    <s v="ORD100362"/>
    <x v="131"/>
    <x v="6"/>
    <x v="1"/>
    <x v="0"/>
    <x v="5"/>
    <s v="Smartphone"/>
    <x v="2"/>
    <n v="8"/>
    <n v="18476.96"/>
    <n v="9.1300000000000008"/>
    <n v="134320.10999999999"/>
    <n v="16922.400000000001"/>
    <x v="0"/>
  </r>
  <r>
    <s v="ORD100363"/>
    <x v="132"/>
    <x v="5"/>
    <x v="2"/>
    <x v="3"/>
    <x v="0"/>
    <s v="Coffee"/>
    <x v="2"/>
    <n v="6"/>
    <n v="2208.59"/>
    <n v="19.22"/>
    <n v="10704.59"/>
    <n v="1648.36"/>
    <x v="2"/>
  </r>
  <r>
    <s v="ORD100364"/>
    <x v="132"/>
    <x v="4"/>
    <x v="3"/>
    <x v="2"/>
    <x v="5"/>
    <s v="Headphones"/>
    <x v="1"/>
    <n v="3"/>
    <n v="14938.31"/>
    <n v="11.13"/>
    <n v="39827.03"/>
    <n v="10971.75"/>
    <x v="2"/>
  </r>
  <r>
    <s v="ORD100365"/>
    <x v="132"/>
    <x v="13"/>
    <x v="4"/>
    <x v="0"/>
    <x v="3"/>
    <s v="Tennis Ball"/>
    <x v="2"/>
    <n v="8"/>
    <n v="6677.94"/>
    <n v="2.35"/>
    <n v="52168.07"/>
    <n v="9709.74"/>
    <x v="3"/>
  </r>
  <r>
    <s v="ORD100366"/>
    <x v="133"/>
    <x v="3"/>
    <x v="5"/>
    <x v="4"/>
    <x v="5"/>
    <s v="Headphones"/>
    <x v="1"/>
    <n v="10"/>
    <n v="38808.46"/>
    <n v="10.85"/>
    <n v="345977.42"/>
    <n v="99400.06"/>
    <x v="2"/>
  </r>
  <r>
    <s v="ORD100367"/>
    <x v="133"/>
    <x v="3"/>
    <x v="6"/>
    <x v="3"/>
    <x v="4"/>
    <s v="Novel"/>
    <x v="1"/>
    <n v="1"/>
    <n v="1800.38"/>
    <n v="5.16"/>
    <n v="1707.48"/>
    <n v="500.47"/>
    <x v="1"/>
  </r>
  <r>
    <s v="ORD100368"/>
    <x v="134"/>
    <x v="12"/>
    <x v="7"/>
    <x v="0"/>
    <x v="3"/>
    <s v="Cricket Bat"/>
    <x v="0"/>
    <n v="7"/>
    <n v="1426.23"/>
    <n v="25.51"/>
    <n v="7436.79"/>
    <n v="1012.53"/>
    <x v="2"/>
  </r>
  <r>
    <s v="ORD100369"/>
    <x v="134"/>
    <x v="3"/>
    <x v="8"/>
    <x v="4"/>
    <x v="5"/>
    <s v="Keyboard"/>
    <x v="1"/>
    <n v="6"/>
    <n v="27181.03"/>
    <n v="29.36"/>
    <n v="115204.08"/>
    <n v="30429.35"/>
    <x v="2"/>
  </r>
  <r>
    <s v="ORD100370"/>
    <x v="134"/>
    <x v="11"/>
    <x v="9"/>
    <x v="3"/>
    <x v="5"/>
    <s v="Laptop"/>
    <x v="0"/>
    <n v="3"/>
    <n v="38858.78"/>
    <n v="15.2"/>
    <n v="98856.74"/>
    <n v="14513.09"/>
    <x v="1"/>
  </r>
  <r>
    <s v="ORD100371"/>
    <x v="135"/>
    <x v="5"/>
    <x v="10"/>
    <x v="2"/>
    <x v="1"/>
    <s v="Dress"/>
    <x v="1"/>
    <n v="3"/>
    <n v="387.92"/>
    <n v="21.11"/>
    <n v="918.09"/>
    <n v="268.60000000000002"/>
    <x v="2"/>
  </r>
  <r>
    <s v="ORD100372"/>
    <x v="135"/>
    <x v="0"/>
    <x v="11"/>
    <x v="1"/>
    <x v="1"/>
    <s v="T-Shirt"/>
    <x v="2"/>
    <n v="1"/>
    <n v="7746.17"/>
    <n v="1.55"/>
    <n v="7626.1"/>
    <n v="1343.71"/>
    <x v="1"/>
  </r>
  <r>
    <s v="ORD100373"/>
    <x v="135"/>
    <x v="12"/>
    <x v="12"/>
    <x v="0"/>
    <x v="1"/>
    <s v="Dress"/>
    <x v="0"/>
    <n v="10"/>
    <n v="6527.68"/>
    <n v="20.309999999999999"/>
    <n v="52019.08"/>
    <n v="10729.31"/>
    <x v="2"/>
  </r>
  <r>
    <s v="ORD100374"/>
    <x v="136"/>
    <x v="8"/>
    <x v="13"/>
    <x v="2"/>
    <x v="3"/>
    <s v="Badminton Racket"/>
    <x v="0"/>
    <n v="2"/>
    <n v="8361.74"/>
    <n v="27.18"/>
    <n v="12178.04"/>
    <n v="645.91"/>
    <x v="3"/>
  </r>
  <r>
    <s v="ORD100375"/>
    <x v="136"/>
    <x v="14"/>
    <x v="14"/>
    <x v="2"/>
    <x v="0"/>
    <s v="Snacks"/>
    <x v="2"/>
    <n v="5"/>
    <n v="1091.23"/>
    <n v="18.64"/>
    <n v="4439.12"/>
    <n v="592.67999999999995"/>
    <x v="2"/>
  </r>
  <r>
    <s v="ORD100376"/>
    <x v="136"/>
    <x v="7"/>
    <x v="0"/>
    <x v="0"/>
    <x v="3"/>
    <s v="Badminton Racket"/>
    <x v="2"/>
    <n v="1"/>
    <n v="3000.43"/>
    <n v="12.98"/>
    <n v="2610.9699999999998"/>
    <n v="577.97"/>
    <x v="0"/>
  </r>
  <r>
    <s v="ORD100377"/>
    <x v="137"/>
    <x v="6"/>
    <x v="1"/>
    <x v="1"/>
    <x v="5"/>
    <s v="Keyboard"/>
    <x v="0"/>
    <n v="4"/>
    <n v="53882.59"/>
    <n v="18.97"/>
    <n v="174644.25"/>
    <n v="17420.419999999998"/>
    <x v="4"/>
  </r>
  <r>
    <s v="ORD100378"/>
    <x v="137"/>
    <x v="12"/>
    <x v="2"/>
    <x v="3"/>
    <x v="2"/>
    <s v="Office Chair"/>
    <x v="0"/>
    <n v="9"/>
    <n v="1447.75"/>
    <n v="13.5"/>
    <n v="11270.73"/>
    <n v="3316.71"/>
    <x v="0"/>
  </r>
  <r>
    <s v="ORD100379"/>
    <x v="138"/>
    <x v="9"/>
    <x v="3"/>
    <x v="2"/>
    <x v="3"/>
    <s v="Cricket Bat"/>
    <x v="1"/>
    <n v="5"/>
    <n v="2060.19"/>
    <n v="17.47"/>
    <n v="8501.3700000000008"/>
    <n v="859.57"/>
    <x v="1"/>
  </r>
  <r>
    <s v="ORD100380"/>
    <x v="138"/>
    <x v="13"/>
    <x v="4"/>
    <x v="3"/>
    <x v="1"/>
    <s v="Jeans"/>
    <x v="1"/>
    <n v="2"/>
    <n v="4019.41"/>
    <n v="8.06"/>
    <n v="7390.89"/>
    <n v="900.69"/>
    <x v="1"/>
  </r>
  <r>
    <s v="ORD100381"/>
    <x v="138"/>
    <x v="3"/>
    <x v="5"/>
    <x v="3"/>
    <x v="4"/>
    <s v="Comics"/>
    <x v="2"/>
    <n v="9"/>
    <n v="320.95999999999998"/>
    <n v="17.97"/>
    <n v="2369.5500000000002"/>
    <n v="487.92"/>
    <x v="2"/>
  </r>
  <r>
    <s v="ORD100382"/>
    <x v="139"/>
    <x v="4"/>
    <x v="6"/>
    <x v="4"/>
    <x v="2"/>
    <s v="Bookshelf"/>
    <x v="1"/>
    <n v="6"/>
    <n v="10784.83"/>
    <n v="20.28"/>
    <n v="51586"/>
    <n v="11692.35"/>
    <x v="0"/>
  </r>
  <r>
    <s v="ORD100383"/>
    <x v="139"/>
    <x v="13"/>
    <x v="7"/>
    <x v="1"/>
    <x v="1"/>
    <s v="Dress"/>
    <x v="1"/>
    <n v="2"/>
    <n v="6968.94"/>
    <n v="28.4"/>
    <n v="9979.52"/>
    <n v="763.2"/>
    <x v="1"/>
  </r>
  <r>
    <s v="ORD100384"/>
    <x v="139"/>
    <x v="14"/>
    <x v="8"/>
    <x v="1"/>
    <x v="3"/>
    <s v="Badminton Racket"/>
    <x v="0"/>
    <n v="5"/>
    <n v="2185.8000000000002"/>
    <n v="17.63"/>
    <n v="9002.2199999999993"/>
    <n v="2028.06"/>
    <x v="3"/>
  </r>
  <r>
    <s v="ORD100385"/>
    <x v="140"/>
    <x v="11"/>
    <x v="9"/>
    <x v="4"/>
    <x v="4"/>
    <s v="Comics"/>
    <x v="0"/>
    <n v="7"/>
    <n v="707.44"/>
    <n v="13.51"/>
    <n v="4283.05"/>
    <n v="1239.49"/>
    <x v="4"/>
  </r>
  <r>
    <s v="ORD100386"/>
    <x v="140"/>
    <x v="0"/>
    <x v="10"/>
    <x v="1"/>
    <x v="3"/>
    <s v="Cricket Bat"/>
    <x v="1"/>
    <n v="10"/>
    <n v="281.54000000000002"/>
    <n v="13.01"/>
    <n v="2449.12"/>
    <n v="179.17"/>
    <x v="3"/>
  </r>
  <r>
    <s v="ORD100387"/>
    <x v="140"/>
    <x v="0"/>
    <x v="11"/>
    <x v="4"/>
    <x v="0"/>
    <s v="Coffee"/>
    <x v="0"/>
    <n v="9"/>
    <n v="1343.24"/>
    <n v="29.89"/>
    <n v="8475.7099999999991"/>
    <n v="909.38"/>
    <x v="4"/>
  </r>
  <r>
    <s v="ORD100388"/>
    <x v="141"/>
    <x v="11"/>
    <x v="12"/>
    <x v="4"/>
    <x v="2"/>
    <s v="Sofa"/>
    <x v="0"/>
    <n v="8"/>
    <n v="26505.77"/>
    <n v="24.55"/>
    <n v="159988.82999999999"/>
    <n v="10000.040000000001"/>
    <x v="2"/>
  </r>
  <r>
    <s v="ORD100389"/>
    <x v="141"/>
    <x v="9"/>
    <x v="13"/>
    <x v="0"/>
    <x v="1"/>
    <s v="Jeans"/>
    <x v="2"/>
    <n v="8"/>
    <n v="3032.43"/>
    <n v="12.74"/>
    <n v="21168.79"/>
    <n v="2198.08"/>
    <x v="4"/>
  </r>
  <r>
    <s v="ORD100390"/>
    <x v="142"/>
    <x v="13"/>
    <x v="14"/>
    <x v="4"/>
    <x v="2"/>
    <s v="Bookshelf"/>
    <x v="1"/>
    <n v="4"/>
    <n v="37375.71"/>
    <n v="16.329999999999998"/>
    <n v="125089.03"/>
    <n v="12517.72"/>
    <x v="1"/>
  </r>
  <r>
    <s v="ORD100391"/>
    <x v="142"/>
    <x v="2"/>
    <x v="0"/>
    <x v="4"/>
    <x v="3"/>
    <s v="Badminton Racket"/>
    <x v="0"/>
    <n v="10"/>
    <n v="4389.46"/>
    <n v="6.19"/>
    <n v="41177.519999999997"/>
    <n v="10291.48"/>
    <x v="2"/>
  </r>
  <r>
    <s v="ORD100392"/>
    <x v="142"/>
    <x v="0"/>
    <x v="1"/>
    <x v="2"/>
    <x v="5"/>
    <s v="Smartphone"/>
    <x v="2"/>
    <n v="8"/>
    <n v="63096.18"/>
    <n v="12.34"/>
    <n v="442480.89"/>
    <n v="118775.47"/>
    <x v="4"/>
  </r>
  <r>
    <s v="ORD100393"/>
    <x v="143"/>
    <x v="0"/>
    <x v="2"/>
    <x v="3"/>
    <x v="0"/>
    <s v="Cooking Oil"/>
    <x v="0"/>
    <n v="5"/>
    <n v="2362.7600000000002"/>
    <n v="12.58"/>
    <n v="10327.620000000001"/>
    <n v="1807.54"/>
    <x v="2"/>
  </r>
  <r>
    <s v="ORD100394"/>
    <x v="143"/>
    <x v="6"/>
    <x v="3"/>
    <x v="3"/>
    <x v="0"/>
    <s v="Snacks"/>
    <x v="0"/>
    <n v="6"/>
    <n v="133.52000000000001"/>
    <n v="6.3"/>
    <n v="750.65"/>
    <n v="90.27"/>
    <x v="3"/>
  </r>
  <r>
    <s v="ORD100395"/>
    <x v="143"/>
    <x v="6"/>
    <x v="4"/>
    <x v="1"/>
    <x v="3"/>
    <s v="Tennis Ball"/>
    <x v="1"/>
    <n v="5"/>
    <n v="7907.92"/>
    <n v="28.28"/>
    <n v="28357.8"/>
    <n v="6712.13"/>
    <x v="0"/>
  </r>
  <r>
    <s v="ORD100396"/>
    <x v="144"/>
    <x v="8"/>
    <x v="5"/>
    <x v="3"/>
    <x v="1"/>
    <s v="Jacket"/>
    <x v="1"/>
    <n v="4"/>
    <n v="2526.7399999999998"/>
    <n v="9.2899999999999991"/>
    <n v="9168.02"/>
    <n v="1031.3"/>
    <x v="3"/>
  </r>
  <r>
    <s v="ORD100397"/>
    <x v="144"/>
    <x v="2"/>
    <x v="6"/>
    <x v="1"/>
    <x v="4"/>
    <s v="Dictionary"/>
    <x v="2"/>
    <n v="10"/>
    <n v="2088.5300000000002"/>
    <n v="23.68"/>
    <n v="15939.66"/>
    <n v="2023.52"/>
    <x v="4"/>
  </r>
  <r>
    <s v="ORD100398"/>
    <x v="144"/>
    <x v="14"/>
    <x v="7"/>
    <x v="0"/>
    <x v="5"/>
    <s v="Smartphone"/>
    <x v="0"/>
    <n v="10"/>
    <n v="75319.100000000006"/>
    <n v="26.29"/>
    <n v="555177.09"/>
    <n v="41994.7"/>
    <x v="1"/>
  </r>
  <r>
    <s v="ORD100399"/>
    <x v="145"/>
    <x v="6"/>
    <x v="8"/>
    <x v="4"/>
    <x v="3"/>
    <s v="Cricket Bat"/>
    <x v="1"/>
    <n v="6"/>
    <n v="7985.96"/>
    <n v="26.53"/>
    <n v="35203.71"/>
    <n v="4794.58"/>
    <x v="3"/>
  </r>
  <r>
    <s v="ORD100400"/>
    <x v="145"/>
    <x v="2"/>
    <x v="9"/>
    <x v="1"/>
    <x v="4"/>
    <s v="Dictionary"/>
    <x v="0"/>
    <n v="7"/>
    <n v="530.21"/>
    <n v="20.82"/>
    <n v="2938.74"/>
    <n v="315.62"/>
    <x v="2"/>
  </r>
  <r>
    <s v="ORD100401"/>
    <x v="146"/>
    <x v="10"/>
    <x v="10"/>
    <x v="4"/>
    <x v="2"/>
    <s v="Table"/>
    <x v="2"/>
    <n v="6"/>
    <n v="31787.86"/>
    <n v="8.9"/>
    <n v="173752.44"/>
    <n v="32203.69"/>
    <x v="1"/>
  </r>
  <r>
    <s v="ORD100402"/>
    <x v="146"/>
    <x v="14"/>
    <x v="11"/>
    <x v="3"/>
    <x v="2"/>
    <s v="Bookshelf"/>
    <x v="1"/>
    <n v="10"/>
    <n v="14816.58"/>
    <n v="3.16"/>
    <n v="143483.76"/>
    <n v="15150.5"/>
    <x v="1"/>
  </r>
  <r>
    <s v="ORD100403"/>
    <x v="146"/>
    <x v="10"/>
    <x v="12"/>
    <x v="4"/>
    <x v="3"/>
    <s v="Yoga Mat"/>
    <x v="1"/>
    <n v="8"/>
    <n v="6239.74"/>
    <n v="16.71"/>
    <n v="41576.639999999999"/>
    <n v="6400.46"/>
    <x v="1"/>
  </r>
  <r>
    <s v="ORD100404"/>
    <x v="147"/>
    <x v="9"/>
    <x v="13"/>
    <x v="3"/>
    <x v="2"/>
    <s v="Desk"/>
    <x v="0"/>
    <n v="1"/>
    <n v="8943.02"/>
    <n v="9.83"/>
    <n v="8063.92"/>
    <n v="1505.3"/>
    <x v="2"/>
  </r>
  <r>
    <s v="ORD100405"/>
    <x v="147"/>
    <x v="7"/>
    <x v="14"/>
    <x v="3"/>
    <x v="5"/>
    <s v="Keyboard"/>
    <x v="0"/>
    <n v="7"/>
    <n v="11855.94"/>
    <n v="20.76"/>
    <n v="65762.53"/>
    <n v="6679.04"/>
    <x v="1"/>
  </r>
  <r>
    <s v="ORD100406"/>
    <x v="147"/>
    <x v="14"/>
    <x v="0"/>
    <x v="0"/>
    <x v="2"/>
    <s v="Office Chair"/>
    <x v="0"/>
    <n v="7"/>
    <n v="17351.59"/>
    <n v="0.54"/>
    <n v="120805.24"/>
    <n v="29982.6"/>
    <x v="1"/>
  </r>
  <r>
    <s v="ORD100407"/>
    <x v="148"/>
    <x v="8"/>
    <x v="1"/>
    <x v="4"/>
    <x v="4"/>
    <s v="Dictionary"/>
    <x v="0"/>
    <n v="10"/>
    <n v="707.85"/>
    <n v="0.3"/>
    <n v="7057.26"/>
    <n v="1629.25"/>
    <x v="3"/>
  </r>
  <r>
    <s v="ORD100408"/>
    <x v="148"/>
    <x v="5"/>
    <x v="2"/>
    <x v="0"/>
    <x v="3"/>
    <s v="Cricket Bat"/>
    <x v="1"/>
    <n v="3"/>
    <n v="1448.39"/>
    <n v="8.57"/>
    <n v="3972.79"/>
    <n v="726.6"/>
    <x v="4"/>
  </r>
  <r>
    <s v="ORD100409"/>
    <x v="148"/>
    <x v="12"/>
    <x v="3"/>
    <x v="0"/>
    <x v="5"/>
    <s v="Keyboard"/>
    <x v="2"/>
    <n v="3"/>
    <n v="1562.73"/>
    <n v="12.29"/>
    <n v="4112.01"/>
    <n v="871.51"/>
    <x v="0"/>
  </r>
  <r>
    <s v="ORD100410"/>
    <x v="149"/>
    <x v="5"/>
    <x v="4"/>
    <x v="2"/>
    <x v="5"/>
    <s v="Monitor"/>
    <x v="0"/>
    <n v="4"/>
    <n v="52041.279999999999"/>
    <n v="2.2200000000000002"/>
    <n v="203543.85"/>
    <n v="29283.29"/>
    <x v="1"/>
  </r>
  <r>
    <s v="ORD100411"/>
    <x v="149"/>
    <x v="0"/>
    <x v="5"/>
    <x v="2"/>
    <x v="2"/>
    <s v="Table"/>
    <x v="1"/>
    <n v="3"/>
    <n v="9584.34"/>
    <n v="10.52"/>
    <n v="25728.2"/>
    <n v="3682.56"/>
    <x v="0"/>
  </r>
  <r>
    <s v="ORD100412"/>
    <x v="150"/>
    <x v="12"/>
    <x v="6"/>
    <x v="4"/>
    <x v="0"/>
    <s v="Tea"/>
    <x v="0"/>
    <n v="10"/>
    <n v="1082.3399999999999"/>
    <n v="27.88"/>
    <n v="7805.84"/>
    <n v="1130.3399999999999"/>
    <x v="0"/>
  </r>
  <r>
    <s v="ORD100413"/>
    <x v="150"/>
    <x v="13"/>
    <x v="7"/>
    <x v="3"/>
    <x v="0"/>
    <s v="Cooking Oil"/>
    <x v="0"/>
    <n v="8"/>
    <n v="1667.84"/>
    <n v="1.99"/>
    <n v="13077.2"/>
    <n v="3159.83"/>
    <x v="2"/>
  </r>
  <r>
    <s v="ORD100414"/>
    <x v="150"/>
    <x v="5"/>
    <x v="8"/>
    <x v="0"/>
    <x v="3"/>
    <s v="Football"/>
    <x v="1"/>
    <n v="4"/>
    <n v="1575.18"/>
    <n v="20.13"/>
    <n v="5032.3900000000003"/>
    <n v="1032.24"/>
    <x v="0"/>
  </r>
  <r>
    <s v="ORD100415"/>
    <x v="151"/>
    <x v="6"/>
    <x v="9"/>
    <x v="1"/>
    <x v="5"/>
    <s v="Monitor"/>
    <x v="2"/>
    <n v="6"/>
    <n v="60123.23"/>
    <n v="27.25"/>
    <n v="262437.90000000002"/>
    <n v="62900.81"/>
    <x v="0"/>
  </r>
  <r>
    <s v="ORD100416"/>
    <x v="151"/>
    <x v="5"/>
    <x v="10"/>
    <x v="0"/>
    <x v="2"/>
    <s v="Table"/>
    <x v="2"/>
    <n v="5"/>
    <n v="25663.26"/>
    <n v="4.6900000000000004"/>
    <n v="122298.27"/>
    <n v="20604.849999999999"/>
    <x v="1"/>
  </r>
  <r>
    <s v="ORD100417"/>
    <x v="151"/>
    <x v="3"/>
    <x v="11"/>
    <x v="4"/>
    <x v="5"/>
    <s v="Keyboard"/>
    <x v="2"/>
    <n v="2"/>
    <n v="34275.64"/>
    <n v="27.24"/>
    <n v="49877.91"/>
    <n v="8816.66"/>
    <x v="4"/>
  </r>
  <r>
    <s v="ORD100418"/>
    <x v="152"/>
    <x v="10"/>
    <x v="12"/>
    <x v="4"/>
    <x v="2"/>
    <s v="Sofa"/>
    <x v="1"/>
    <n v="3"/>
    <n v="33051.410000000003"/>
    <n v="19.79"/>
    <n v="79531.61"/>
    <n v="19808.169999999998"/>
    <x v="1"/>
  </r>
  <r>
    <s v="ORD100419"/>
    <x v="152"/>
    <x v="10"/>
    <x v="13"/>
    <x v="1"/>
    <x v="3"/>
    <s v="Badminton Racket"/>
    <x v="1"/>
    <n v="1"/>
    <n v="5381.5"/>
    <n v="24.78"/>
    <n v="4047.96"/>
    <n v="671.07"/>
    <x v="0"/>
  </r>
  <r>
    <s v="ORD100420"/>
    <x v="153"/>
    <x v="2"/>
    <x v="14"/>
    <x v="2"/>
    <x v="3"/>
    <s v="Football"/>
    <x v="2"/>
    <n v="7"/>
    <n v="7812.55"/>
    <n v="24.65"/>
    <n v="41207.29"/>
    <n v="6814.89"/>
    <x v="2"/>
  </r>
  <r>
    <s v="ORD100421"/>
    <x v="153"/>
    <x v="4"/>
    <x v="0"/>
    <x v="1"/>
    <x v="0"/>
    <s v="Coffee"/>
    <x v="0"/>
    <n v="1"/>
    <n v="1325.42"/>
    <n v="0.93"/>
    <n v="1313.09"/>
    <n v="150.87"/>
    <x v="1"/>
  </r>
  <r>
    <s v="ORD100422"/>
    <x v="153"/>
    <x v="10"/>
    <x v="1"/>
    <x v="0"/>
    <x v="4"/>
    <s v="Comics"/>
    <x v="1"/>
    <n v="8"/>
    <n v="2159.4899999999998"/>
    <n v="23.51"/>
    <n v="13214.35"/>
    <n v="2077.91"/>
    <x v="2"/>
  </r>
  <r>
    <s v="ORD100423"/>
    <x v="154"/>
    <x v="4"/>
    <x v="2"/>
    <x v="0"/>
    <x v="4"/>
    <s v="Textbook"/>
    <x v="1"/>
    <n v="2"/>
    <n v="1895.21"/>
    <n v="24.38"/>
    <n v="2866.32"/>
    <n v="649.82000000000005"/>
    <x v="2"/>
  </r>
  <r>
    <s v="ORD100424"/>
    <x v="154"/>
    <x v="5"/>
    <x v="3"/>
    <x v="1"/>
    <x v="1"/>
    <s v="Shoes"/>
    <x v="0"/>
    <n v="10"/>
    <n v="344.03"/>
    <n v="13.97"/>
    <n v="2959.69"/>
    <n v="570.6"/>
    <x v="1"/>
  </r>
  <r>
    <s v="ORD100425"/>
    <x v="154"/>
    <x v="7"/>
    <x v="4"/>
    <x v="0"/>
    <x v="0"/>
    <s v="Tea"/>
    <x v="2"/>
    <n v="5"/>
    <n v="2362.0300000000002"/>
    <n v="16.989999999999998"/>
    <n v="9803.61"/>
    <n v="1256.77"/>
    <x v="4"/>
  </r>
  <r>
    <s v="ORD100426"/>
    <x v="155"/>
    <x v="7"/>
    <x v="5"/>
    <x v="1"/>
    <x v="5"/>
    <s v="Monitor"/>
    <x v="0"/>
    <n v="7"/>
    <n v="67051.009999999995"/>
    <n v="18.59"/>
    <n v="382103.59"/>
    <n v="72924.03"/>
    <x v="4"/>
  </r>
  <r>
    <s v="ORD100427"/>
    <x v="155"/>
    <x v="13"/>
    <x v="6"/>
    <x v="1"/>
    <x v="1"/>
    <s v="T-Shirt"/>
    <x v="1"/>
    <n v="4"/>
    <n v="7928.23"/>
    <n v="22.7"/>
    <n v="24514.09"/>
    <n v="3936.31"/>
    <x v="3"/>
  </r>
  <r>
    <s v="ORD100428"/>
    <x v="155"/>
    <x v="7"/>
    <x v="7"/>
    <x v="0"/>
    <x v="0"/>
    <s v="Tea"/>
    <x v="0"/>
    <n v="7"/>
    <n v="2788.14"/>
    <n v="27.87"/>
    <n v="14077.6"/>
    <n v="1907.18"/>
    <x v="1"/>
  </r>
  <r>
    <s v="ORD100429"/>
    <x v="156"/>
    <x v="14"/>
    <x v="8"/>
    <x v="0"/>
    <x v="4"/>
    <s v="Comics"/>
    <x v="1"/>
    <n v="2"/>
    <n v="1658.82"/>
    <n v="24.13"/>
    <n v="2517.09"/>
    <n v="575.85"/>
    <x v="2"/>
  </r>
  <r>
    <s v="ORD100430"/>
    <x v="156"/>
    <x v="1"/>
    <x v="9"/>
    <x v="1"/>
    <x v="2"/>
    <s v="Bookshelf"/>
    <x v="1"/>
    <n v="7"/>
    <n v="34682.019999999997"/>
    <n v="3.3"/>
    <n v="234762.59"/>
    <n v="66029.75"/>
    <x v="3"/>
  </r>
  <r>
    <s v="ORD100431"/>
    <x v="157"/>
    <x v="2"/>
    <x v="10"/>
    <x v="2"/>
    <x v="1"/>
    <s v="T-Shirt"/>
    <x v="0"/>
    <n v="9"/>
    <n v="837.47"/>
    <n v="16.64"/>
    <n v="6283.03"/>
    <n v="1488.76"/>
    <x v="0"/>
  </r>
  <r>
    <s v="ORD100432"/>
    <x v="157"/>
    <x v="9"/>
    <x v="11"/>
    <x v="0"/>
    <x v="3"/>
    <s v="Football"/>
    <x v="1"/>
    <n v="1"/>
    <n v="8406.2000000000007"/>
    <n v="5.09"/>
    <n v="7978.32"/>
    <n v="437.1"/>
    <x v="0"/>
  </r>
  <r>
    <s v="ORD100433"/>
    <x v="157"/>
    <x v="5"/>
    <x v="12"/>
    <x v="3"/>
    <x v="3"/>
    <s v="Yoga Mat"/>
    <x v="0"/>
    <n v="6"/>
    <n v="5452.16"/>
    <n v="14.65"/>
    <n v="27920.51"/>
    <n v="4201.25"/>
    <x v="3"/>
  </r>
  <r>
    <s v="ORD100434"/>
    <x v="158"/>
    <x v="0"/>
    <x v="13"/>
    <x v="2"/>
    <x v="3"/>
    <s v="Football"/>
    <x v="0"/>
    <n v="4"/>
    <n v="969.87"/>
    <n v="22.22"/>
    <n v="3017.46"/>
    <n v="222.47"/>
    <x v="4"/>
  </r>
  <r>
    <s v="ORD100435"/>
    <x v="158"/>
    <x v="2"/>
    <x v="14"/>
    <x v="1"/>
    <x v="3"/>
    <s v="Cricket Bat"/>
    <x v="1"/>
    <n v="4"/>
    <n v="8833.5400000000009"/>
    <n v="26.49"/>
    <n v="25974.14"/>
    <n v="5578.24"/>
    <x v="1"/>
  </r>
  <r>
    <s v="ORD100436"/>
    <x v="158"/>
    <x v="3"/>
    <x v="0"/>
    <x v="4"/>
    <x v="4"/>
    <s v="Novel"/>
    <x v="1"/>
    <n v="3"/>
    <n v="581.33000000000004"/>
    <n v="6.49"/>
    <n v="1630.81"/>
    <n v="363.35"/>
    <x v="2"/>
  </r>
  <r>
    <s v="ORD100437"/>
    <x v="159"/>
    <x v="13"/>
    <x v="1"/>
    <x v="1"/>
    <x v="3"/>
    <s v="Yoga Mat"/>
    <x v="1"/>
    <n v="7"/>
    <n v="4466.8599999999997"/>
    <n v="11.88"/>
    <n v="27553.38"/>
    <n v="5988.1"/>
    <x v="1"/>
  </r>
  <r>
    <s v="ORD100438"/>
    <x v="159"/>
    <x v="4"/>
    <x v="2"/>
    <x v="3"/>
    <x v="2"/>
    <s v="Desk"/>
    <x v="1"/>
    <n v="7"/>
    <n v="9220.93"/>
    <n v="6.88"/>
    <n v="60105.71"/>
    <n v="10054.290000000001"/>
    <x v="2"/>
  </r>
  <r>
    <s v="ORD100439"/>
    <x v="159"/>
    <x v="8"/>
    <x v="3"/>
    <x v="0"/>
    <x v="0"/>
    <s v="Tea"/>
    <x v="2"/>
    <n v="5"/>
    <n v="2289.91"/>
    <n v="29.03"/>
    <n v="8125.75"/>
    <n v="1299.5899999999999"/>
    <x v="2"/>
  </r>
  <r>
    <s v="ORD100440"/>
    <x v="160"/>
    <x v="11"/>
    <x v="4"/>
    <x v="1"/>
    <x v="3"/>
    <s v="Yoga Mat"/>
    <x v="2"/>
    <n v="10"/>
    <n v="2713.34"/>
    <n v="10.66"/>
    <n v="24240.98"/>
    <n v="5296.62"/>
    <x v="0"/>
  </r>
  <r>
    <s v="ORD100441"/>
    <x v="160"/>
    <x v="4"/>
    <x v="5"/>
    <x v="3"/>
    <x v="2"/>
    <s v="Desk"/>
    <x v="2"/>
    <n v="7"/>
    <n v="28560.35"/>
    <n v="18.52"/>
    <n v="162896.81"/>
    <n v="14497.04"/>
    <x v="1"/>
  </r>
  <r>
    <s v="ORD100442"/>
    <x v="161"/>
    <x v="14"/>
    <x v="6"/>
    <x v="3"/>
    <x v="0"/>
    <s v="Coffee"/>
    <x v="0"/>
    <n v="7"/>
    <n v="292.7"/>
    <n v="13.79"/>
    <n v="1766.36"/>
    <n v="223.65"/>
    <x v="4"/>
  </r>
  <r>
    <s v="ORD100443"/>
    <x v="161"/>
    <x v="3"/>
    <x v="7"/>
    <x v="3"/>
    <x v="5"/>
    <s v="Keyboard"/>
    <x v="1"/>
    <n v="9"/>
    <n v="46155.86"/>
    <n v="20.02"/>
    <n v="332239.11"/>
    <n v="81153.5"/>
    <x v="2"/>
  </r>
  <r>
    <s v="ORD100444"/>
    <x v="161"/>
    <x v="14"/>
    <x v="8"/>
    <x v="2"/>
    <x v="5"/>
    <s v="Laptop"/>
    <x v="2"/>
    <n v="8"/>
    <n v="30031.65"/>
    <n v="5.85"/>
    <n v="226198.39"/>
    <n v="38984.870000000003"/>
    <x v="1"/>
  </r>
  <r>
    <s v="ORD100445"/>
    <x v="162"/>
    <x v="0"/>
    <x v="9"/>
    <x v="4"/>
    <x v="0"/>
    <s v="Rice"/>
    <x v="2"/>
    <n v="3"/>
    <n v="2409.17"/>
    <n v="3.7"/>
    <n v="6960.09"/>
    <n v="1563.46"/>
    <x v="2"/>
  </r>
  <r>
    <s v="ORD100446"/>
    <x v="162"/>
    <x v="13"/>
    <x v="10"/>
    <x v="2"/>
    <x v="4"/>
    <s v="Novel"/>
    <x v="1"/>
    <n v="1"/>
    <n v="521.17999999999995"/>
    <n v="17.03"/>
    <n v="432.42"/>
    <n v="84.25"/>
    <x v="3"/>
  </r>
  <r>
    <s v="ORD100447"/>
    <x v="162"/>
    <x v="6"/>
    <x v="11"/>
    <x v="2"/>
    <x v="4"/>
    <s v="Notebook"/>
    <x v="1"/>
    <n v="6"/>
    <n v="415.97"/>
    <n v="25.64"/>
    <n v="1855.89"/>
    <n v="169.49"/>
    <x v="2"/>
  </r>
  <r>
    <s v="ORD100448"/>
    <x v="163"/>
    <x v="10"/>
    <x v="12"/>
    <x v="4"/>
    <x v="3"/>
    <s v="Football"/>
    <x v="2"/>
    <n v="6"/>
    <n v="6117.74"/>
    <n v="17.3"/>
    <n v="30356.23"/>
    <n v="5758.32"/>
    <x v="1"/>
  </r>
  <r>
    <s v="ORD100449"/>
    <x v="163"/>
    <x v="11"/>
    <x v="13"/>
    <x v="4"/>
    <x v="2"/>
    <s v="Bookshelf"/>
    <x v="1"/>
    <n v="1"/>
    <n v="29449.09"/>
    <n v="17.2"/>
    <n v="24383.85"/>
    <n v="3277.49"/>
    <x v="3"/>
  </r>
  <r>
    <s v="ORD100450"/>
    <x v="163"/>
    <x v="5"/>
    <x v="14"/>
    <x v="3"/>
    <x v="3"/>
    <s v="Tennis Ball"/>
    <x v="2"/>
    <n v="10"/>
    <n v="5315.14"/>
    <n v="17.670000000000002"/>
    <n v="43759.55"/>
    <n v="10411.23"/>
    <x v="3"/>
  </r>
  <r>
    <s v="ORD100451"/>
    <x v="164"/>
    <x v="9"/>
    <x v="0"/>
    <x v="3"/>
    <x v="0"/>
    <s v="Coffee"/>
    <x v="2"/>
    <n v="1"/>
    <n v="498.54"/>
    <n v="13.75"/>
    <n v="429.99"/>
    <n v="59.25"/>
    <x v="1"/>
  </r>
  <r>
    <s v="ORD100452"/>
    <x v="164"/>
    <x v="1"/>
    <x v="1"/>
    <x v="4"/>
    <x v="4"/>
    <s v="Notebook"/>
    <x v="0"/>
    <n v="10"/>
    <n v="1985.95"/>
    <n v="17.7"/>
    <n v="16344.37"/>
    <n v="843.51"/>
    <x v="4"/>
  </r>
  <r>
    <s v="ORD100453"/>
    <x v="165"/>
    <x v="10"/>
    <x v="2"/>
    <x v="3"/>
    <x v="3"/>
    <s v="Football"/>
    <x v="0"/>
    <n v="1"/>
    <n v="7100.02"/>
    <n v="28.06"/>
    <n v="5107.75"/>
    <n v="735.27"/>
    <x v="1"/>
  </r>
  <r>
    <s v="ORD100454"/>
    <x v="165"/>
    <x v="11"/>
    <x v="3"/>
    <x v="3"/>
    <x v="4"/>
    <s v="Dictionary"/>
    <x v="1"/>
    <n v="7"/>
    <n v="1651.84"/>
    <n v="6.8"/>
    <n v="10776.6"/>
    <n v="2344"/>
    <x v="2"/>
  </r>
  <r>
    <s v="ORD100455"/>
    <x v="165"/>
    <x v="6"/>
    <x v="4"/>
    <x v="0"/>
    <x v="0"/>
    <s v="Rice"/>
    <x v="2"/>
    <n v="9"/>
    <n v="1342.63"/>
    <n v="25.18"/>
    <n v="9041"/>
    <n v="815.23"/>
    <x v="3"/>
  </r>
  <r>
    <s v="ORD100456"/>
    <x v="166"/>
    <x v="9"/>
    <x v="5"/>
    <x v="0"/>
    <x v="0"/>
    <s v="Rice"/>
    <x v="2"/>
    <n v="9"/>
    <n v="1844.54"/>
    <n v="8.43"/>
    <n v="15201.41"/>
    <n v="1419.42"/>
    <x v="1"/>
  </r>
  <r>
    <s v="ORD100457"/>
    <x v="166"/>
    <x v="8"/>
    <x v="6"/>
    <x v="3"/>
    <x v="1"/>
    <s v="Jacket"/>
    <x v="2"/>
    <n v="1"/>
    <n v="1923.02"/>
    <n v="16.690000000000001"/>
    <n v="1602.07"/>
    <n v="423.14"/>
    <x v="2"/>
  </r>
  <r>
    <s v="ORD100458"/>
    <x v="166"/>
    <x v="8"/>
    <x v="7"/>
    <x v="4"/>
    <x v="4"/>
    <s v="Notebook"/>
    <x v="0"/>
    <n v="6"/>
    <n v="310.12"/>
    <n v="8.48"/>
    <n v="1702.93"/>
    <n v="263.35000000000002"/>
    <x v="1"/>
  </r>
  <r>
    <s v="ORD100459"/>
    <x v="167"/>
    <x v="4"/>
    <x v="8"/>
    <x v="2"/>
    <x v="2"/>
    <s v="Bookshelf"/>
    <x v="2"/>
    <n v="7"/>
    <n v="11354.36"/>
    <n v="18.34"/>
    <n v="64903.79"/>
    <n v="14254.49"/>
    <x v="2"/>
  </r>
  <r>
    <s v="ORD100460"/>
    <x v="167"/>
    <x v="5"/>
    <x v="9"/>
    <x v="2"/>
    <x v="1"/>
    <s v="Dress"/>
    <x v="2"/>
    <n v="4"/>
    <n v="2998.18"/>
    <n v="27.39"/>
    <n v="8707.91"/>
    <n v="1175.07"/>
    <x v="3"/>
  </r>
  <r>
    <s v="ORD100461"/>
    <x v="167"/>
    <x v="10"/>
    <x v="10"/>
    <x v="0"/>
    <x v="5"/>
    <s v="Monitor"/>
    <x v="0"/>
    <n v="7"/>
    <n v="35133.760000000002"/>
    <n v="23.83"/>
    <n v="187329.69"/>
    <n v="22391.95"/>
    <x v="4"/>
  </r>
  <r>
    <s v="ORD100462"/>
    <x v="168"/>
    <x v="0"/>
    <x v="11"/>
    <x v="4"/>
    <x v="2"/>
    <s v="Office Chair"/>
    <x v="1"/>
    <n v="8"/>
    <n v="37620.86"/>
    <n v="13.58"/>
    <n v="260095.58"/>
    <n v="25911.439999999999"/>
    <x v="0"/>
  </r>
  <r>
    <s v="ORD100463"/>
    <x v="168"/>
    <x v="4"/>
    <x v="12"/>
    <x v="3"/>
    <x v="3"/>
    <s v="Tennis Ball"/>
    <x v="0"/>
    <n v="9"/>
    <n v="9149.68"/>
    <n v="5.68"/>
    <n v="77669.8"/>
    <n v="3981.09"/>
    <x v="4"/>
  </r>
  <r>
    <s v="ORD100464"/>
    <x v="169"/>
    <x v="9"/>
    <x v="13"/>
    <x v="0"/>
    <x v="0"/>
    <s v="Cooking Oil"/>
    <x v="0"/>
    <n v="3"/>
    <n v="2717.86"/>
    <n v="24.52"/>
    <n v="6154.32"/>
    <n v="1472.5"/>
    <x v="2"/>
  </r>
  <r>
    <s v="ORD100465"/>
    <x v="169"/>
    <x v="11"/>
    <x v="14"/>
    <x v="4"/>
    <x v="0"/>
    <s v="Cooking Oil"/>
    <x v="2"/>
    <n v="2"/>
    <n v="2575.59"/>
    <n v="10.7"/>
    <n v="4600"/>
    <n v="1101.08"/>
    <x v="3"/>
  </r>
  <r>
    <s v="ORD100466"/>
    <x v="169"/>
    <x v="7"/>
    <x v="0"/>
    <x v="1"/>
    <x v="2"/>
    <s v="Bookshelf"/>
    <x v="0"/>
    <n v="10"/>
    <n v="24548.080000000002"/>
    <n v="25.89"/>
    <n v="181925.82"/>
    <n v="46504.54"/>
    <x v="0"/>
  </r>
  <r>
    <s v="ORD100467"/>
    <x v="170"/>
    <x v="7"/>
    <x v="1"/>
    <x v="4"/>
    <x v="3"/>
    <s v="Tennis Ball"/>
    <x v="2"/>
    <n v="10"/>
    <n v="3139.43"/>
    <n v="17.88"/>
    <n v="25781"/>
    <n v="4085.28"/>
    <x v="2"/>
  </r>
  <r>
    <s v="ORD100468"/>
    <x v="170"/>
    <x v="4"/>
    <x v="2"/>
    <x v="0"/>
    <x v="3"/>
    <s v="Cricket Bat"/>
    <x v="2"/>
    <n v="7"/>
    <n v="6654.88"/>
    <n v="27.95"/>
    <n v="33563.89"/>
    <n v="8567.02"/>
    <x v="4"/>
  </r>
  <r>
    <s v="ORD100469"/>
    <x v="170"/>
    <x v="13"/>
    <x v="3"/>
    <x v="1"/>
    <x v="5"/>
    <s v="Monitor"/>
    <x v="0"/>
    <n v="1"/>
    <n v="7077.36"/>
    <n v="7.62"/>
    <n v="6538.07"/>
    <n v="1601.81"/>
    <x v="2"/>
  </r>
  <r>
    <s v="ORD100470"/>
    <x v="171"/>
    <x v="9"/>
    <x v="4"/>
    <x v="2"/>
    <x v="1"/>
    <s v="Shoes"/>
    <x v="1"/>
    <n v="6"/>
    <n v="1953.16"/>
    <n v="2.02"/>
    <n v="11482.24"/>
    <n v="2281.66"/>
    <x v="1"/>
  </r>
  <r>
    <s v="ORD100471"/>
    <x v="171"/>
    <x v="5"/>
    <x v="5"/>
    <x v="1"/>
    <x v="0"/>
    <s v="Coffee"/>
    <x v="2"/>
    <n v="7"/>
    <n v="558.95000000000005"/>
    <n v="17.04"/>
    <n v="3245.93"/>
    <n v="402.79"/>
    <x v="0"/>
  </r>
  <r>
    <s v="ORD100472"/>
    <x v="172"/>
    <x v="2"/>
    <x v="6"/>
    <x v="2"/>
    <x v="2"/>
    <s v="Office Chair"/>
    <x v="0"/>
    <n v="7"/>
    <n v="38819.22"/>
    <n v="12.94"/>
    <n v="236572.09"/>
    <n v="32381.919999999998"/>
    <x v="0"/>
  </r>
  <r>
    <s v="ORD100473"/>
    <x v="172"/>
    <x v="7"/>
    <x v="7"/>
    <x v="4"/>
    <x v="5"/>
    <s v="Keyboard"/>
    <x v="2"/>
    <n v="1"/>
    <n v="20602.22"/>
    <n v="17.329999999999998"/>
    <n v="17031.86"/>
    <n v="2381.09"/>
    <x v="1"/>
  </r>
  <r>
    <s v="ORD100474"/>
    <x v="172"/>
    <x v="10"/>
    <x v="8"/>
    <x v="1"/>
    <x v="4"/>
    <s v="Novel"/>
    <x v="2"/>
    <n v="1"/>
    <n v="1437.55"/>
    <n v="4.68"/>
    <n v="1370.27"/>
    <n v="354.42"/>
    <x v="1"/>
  </r>
  <r>
    <s v="ORD100475"/>
    <x v="173"/>
    <x v="8"/>
    <x v="9"/>
    <x v="0"/>
    <x v="3"/>
    <s v="Tennis Ball"/>
    <x v="2"/>
    <n v="6"/>
    <n v="7666.46"/>
    <n v="23.45"/>
    <n v="35212.050000000003"/>
    <n v="4188.1000000000004"/>
    <x v="2"/>
  </r>
  <r>
    <s v="ORD100476"/>
    <x v="173"/>
    <x v="13"/>
    <x v="10"/>
    <x v="2"/>
    <x v="3"/>
    <s v="Football"/>
    <x v="2"/>
    <n v="1"/>
    <n v="4323.46"/>
    <n v="18.05"/>
    <n v="3543.08"/>
    <n v="1007.22"/>
    <x v="1"/>
  </r>
  <r>
    <s v="ORD100477"/>
    <x v="173"/>
    <x v="1"/>
    <x v="11"/>
    <x v="0"/>
    <x v="2"/>
    <s v="Desk"/>
    <x v="1"/>
    <n v="4"/>
    <n v="22925.360000000001"/>
    <n v="21.44"/>
    <n v="72040.649999999994"/>
    <n v="4834.84"/>
    <x v="1"/>
  </r>
  <r>
    <s v="ORD100478"/>
    <x v="174"/>
    <x v="13"/>
    <x v="12"/>
    <x v="2"/>
    <x v="0"/>
    <s v="Tea"/>
    <x v="0"/>
    <n v="1"/>
    <n v="1962.3"/>
    <n v="6.94"/>
    <n v="1826.12"/>
    <n v="402.36"/>
    <x v="2"/>
  </r>
  <r>
    <s v="ORD100479"/>
    <x v="174"/>
    <x v="13"/>
    <x v="13"/>
    <x v="1"/>
    <x v="5"/>
    <s v="Headphones"/>
    <x v="1"/>
    <n v="2"/>
    <n v="8917.01"/>
    <n v="10.65"/>
    <n v="15934.7"/>
    <n v="2442.6799999999998"/>
    <x v="0"/>
  </r>
  <r>
    <s v="ORD100480"/>
    <x v="174"/>
    <x v="3"/>
    <x v="14"/>
    <x v="0"/>
    <x v="1"/>
    <s v="Dress"/>
    <x v="2"/>
    <n v="4"/>
    <n v="3527.71"/>
    <n v="5.05"/>
    <n v="13398.24"/>
    <n v="3615.28"/>
    <x v="1"/>
  </r>
  <r>
    <s v="ORD100481"/>
    <x v="175"/>
    <x v="13"/>
    <x v="0"/>
    <x v="1"/>
    <x v="5"/>
    <s v="Keyboard"/>
    <x v="0"/>
    <n v="2"/>
    <n v="70951.45"/>
    <n v="28.03"/>
    <n v="102127.52"/>
    <n v="28504.32"/>
    <x v="1"/>
  </r>
  <r>
    <s v="ORD100482"/>
    <x v="175"/>
    <x v="1"/>
    <x v="1"/>
    <x v="3"/>
    <x v="3"/>
    <s v="Football"/>
    <x v="1"/>
    <n v="6"/>
    <n v="5406.68"/>
    <n v="20.32"/>
    <n v="25848.26"/>
    <n v="4061.14"/>
    <x v="2"/>
  </r>
  <r>
    <s v="ORD100483"/>
    <x v="176"/>
    <x v="3"/>
    <x v="2"/>
    <x v="3"/>
    <x v="4"/>
    <s v="Textbook"/>
    <x v="0"/>
    <n v="4"/>
    <n v="1943.51"/>
    <n v="15.01"/>
    <n v="6607.16"/>
    <n v="1046.8599999999999"/>
    <x v="2"/>
  </r>
  <r>
    <s v="ORD100484"/>
    <x v="176"/>
    <x v="0"/>
    <x v="3"/>
    <x v="0"/>
    <x v="2"/>
    <s v="Sofa"/>
    <x v="0"/>
    <n v="6"/>
    <n v="13683.24"/>
    <n v="1.18"/>
    <n v="81130.67"/>
    <n v="9573.39"/>
    <x v="0"/>
  </r>
  <r>
    <s v="ORD100485"/>
    <x v="176"/>
    <x v="6"/>
    <x v="4"/>
    <x v="4"/>
    <x v="0"/>
    <s v="Rice"/>
    <x v="2"/>
    <n v="9"/>
    <n v="672.11"/>
    <n v="25.72"/>
    <n v="4493.1899999999996"/>
    <n v="1146.24"/>
    <x v="1"/>
  </r>
  <r>
    <s v="ORD100486"/>
    <x v="177"/>
    <x v="9"/>
    <x v="5"/>
    <x v="3"/>
    <x v="4"/>
    <s v="Notebook"/>
    <x v="0"/>
    <n v="10"/>
    <n v="161.85"/>
    <n v="18.11"/>
    <n v="1325.39"/>
    <n v="284.8"/>
    <x v="1"/>
  </r>
  <r>
    <s v="ORD100487"/>
    <x v="177"/>
    <x v="11"/>
    <x v="6"/>
    <x v="4"/>
    <x v="5"/>
    <s v="Laptop"/>
    <x v="2"/>
    <n v="7"/>
    <n v="5722.52"/>
    <n v="26.61"/>
    <n v="29398.3"/>
    <n v="4555.62"/>
    <x v="2"/>
  </r>
  <r>
    <s v="ORD100488"/>
    <x v="177"/>
    <x v="14"/>
    <x v="7"/>
    <x v="4"/>
    <x v="5"/>
    <s v="Smartphone"/>
    <x v="2"/>
    <n v="10"/>
    <n v="7188.15"/>
    <n v="11.79"/>
    <n v="63406.67"/>
    <n v="4759.3900000000003"/>
    <x v="1"/>
  </r>
  <r>
    <s v="ORD100489"/>
    <x v="178"/>
    <x v="5"/>
    <x v="8"/>
    <x v="4"/>
    <x v="0"/>
    <s v="Cooking Oil"/>
    <x v="2"/>
    <n v="10"/>
    <n v="739.75"/>
    <n v="0.71"/>
    <n v="7344.98"/>
    <n v="1900.42"/>
    <x v="4"/>
  </r>
  <r>
    <s v="ORD100490"/>
    <x v="178"/>
    <x v="6"/>
    <x v="9"/>
    <x v="3"/>
    <x v="0"/>
    <s v="Rice"/>
    <x v="1"/>
    <n v="10"/>
    <n v="2784.4"/>
    <n v="6.41"/>
    <n v="26059.200000000001"/>
    <n v="4039.2"/>
    <x v="2"/>
  </r>
  <r>
    <s v="ORD100491"/>
    <x v="178"/>
    <x v="13"/>
    <x v="10"/>
    <x v="2"/>
    <x v="1"/>
    <s v="Jeans"/>
    <x v="0"/>
    <n v="6"/>
    <n v="6318.44"/>
    <n v="9.41"/>
    <n v="34343.25"/>
    <n v="3845.36"/>
    <x v="0"/>
  </r>
  <r>
    <s v="ORD100492"/>
    <x v="179"/>
    <x v="2"/>
    <x v="11"/>
    <x v="2"/>
    <x v="3"/>
    <s v="Football"/>
    <x v="0"/>
    <n v="10"/>
    <n v="2897.34"/>
    <n v="21.28"/>
    <n v="22807.86"/>
    <n v="2688.43"/>
    <x v="1"/>
  </r>
  <r>
    <s v="ORD100493"/>
    <x v="179"/>
    <x v="11"/>
    <x v="12"/>
    <x v="2"/>
    <x v="5"/>
    <s v="Keyboard"/>
    <x v="2"/>
    <n v="1"/>
    <n v="18473.29"/>
    <n v="24.52"/>
    <n v="13943.64"/>
    <n v="3940.47"/>
    <x v="2"/>
  </r>
  <r>
    <s v="ORD100494"/>
    <x v="180"/>
    <x v="1"/>
    <x v="13"/>
    <x v="1"/>
    <x v="0"/>
    <s v="Snacks"/>
    <x v="0"/>
    <n v="7"/>
    <n v="672.82"/>
    <n v="22.57"/>
    <n v="3646.75"/>
    <n v="229.1"/>
    <x v="2"/>
  </r>
  <r>
    <s v="ORD100495"/>
    <x v="180"/>
    <x v="0"/>
    <x v="14"/>
    <x v="2"/>
    <x v="1"/>
    <s v="Dress"/>
    <x v="0"/>
    <n v="4"/>
    <n v="1542.53"/>
    <n v="17.16"/>
    <n v="5111.33"/>
    <n v="1284.77"/>
    <x v="0"/>
  </r>
  <r>
    <s v="ORD100496"/>
    <x v="180"/>
    <x v="11"/>
    <x v="0"/>
    <x v="1"/>
    <x v="5"/>
    <s v="Monitor"/>
    <x v="1"/>
    <n v="2"/>
    <n v="32972.22"/>
    <n v="20.39"/>
    <n v="52498.37"/>
    <n v="3368.83"/>
    <x v="4"/>
  </r>
  <r>
    <s v="ORD100497"/>
    <x v="181"/>
    <x v="11"/>
    <x v="1"/>
    <x v="4"/>
    <x v="4"/>
    <s v="Notebook"/>
    <x v="1"/>
    <n v="6"/>
    <n v="723.59"/>
    <n v="26.58"/>
    <n v="3187.56"/>
    <n v="873.14"/>
    <x v="1"/>
  </r>
  <r>
    <s v="ORD100498"/>
    <x v="181"/>
    <x v="7"/>
    <x v="2"/>
    <x v="2"/>
    <x v="1"/>
    <s v="Dress"/>
    <x v="1"/>
    <n v="9"/>
    <n v="1386.53"/>
    <n v="16.37"/>
    <n v="10436"/>
    <n v="797.29"/>
    <x v="1"/>
  </r>
  <r>
    <s v="ORD100499"/>
    <x v="181"/>
    <x v="13"/>
    <x v="3"/>
    <x v="2"/>
    <x v="4"/>
    <s v="Textbook"/>
    <x v="1"/>
    <n v="4"/>
    <n v="749.55"/>
    <n v="2.44"/>
    <n v="2925.04"/>
    <n v="872.09"/>
    <x v="4"/>
  </r>
  <r>
    <s v="ORD100500"/>
    <x v="182"/>
    <x v="12"/>
    <x v="4"/>
    <x v="0"/>
    <x v="3"/>
    <s v="Badminton Racket"/>
    <x v="2"/>
    <n v="9"/>
    <n v="5169.41"/>
    <n v="19.14"/>
    <n v="37619.86"/>
    <n v="11146.53"/>
    <x v="4"/>
  </r>
  <r>
    <s v="ORD100501"/>
    <x v="182"/>
    <x v="7"/>
    <x v="5"/>
    <x v="0"/>
    <x v="2"/>
    <s v="Sofa"/>
    <x v="0"/>
    <n v="8"/>
    <n v="23005.040000000001"/>
    <n v="25.52"/>
    <n v="137073.23000000001"/>
    <n v="13759.7"/>
    <x v="1"/>
  </r>
  <r>
    <s v="ORD100502"/>
    <x v="182"/>
    <x v="9"/>
    <x v="6"/>
    <x v="0"/>
    <x v="4"/>
    <s v="Comics"/>
    <x v="0"/>
    <n v="7"/>
    <n v="138.88"/>
    <n v="24.55"/>
    <n v="733.49"/>
    <n v="44.03"/>
    <x v="0"/>
  </r>
  <r>
    <s v="ORD100503"/>
    <x v="183"/>
    <x v="13"/>
    <x v="7"/>
    <x v="0"/>
    <x v="4"/>
    <s v="Textbook"/>
    <x v="2"/>
    <n v="7"/>
    <n v="707.26"/>
    <n v="25.97"/>
    <n v="3665.09"/>
    <n v="277.49"/>
    <x v="1"/>
  </r>
  <r>
    <s v="ORD100504"/>
    <x v="183"/>
    <x v="12"/>
    <x v="8"/>
    <x v="4"/>
    <x v="1"/>
    <s v="Shoes"/>
    <x v="2"/>
    <n v="3"/>
    <n v="2797.34"/>
    <n v="20.29"/>
    <n v="6689.28"/>
    <n v="1328.23"/>
    <x v="0"/>
  </r>
  <r>
    <s v="ORD100505"/>
    <x v="184"/>
    <x v="13"/>
    <x v="9"/>
    <x v="4"/>
    <x v="3"/>
    <s v="Yoga Mat"/>
    <x v="0"/>
    <n v="6"/>
    <n v="1605.27"/>
    <n v="0.55000000000000004"/>
    <n v="9578.65"/>
    <n v="1590.22"/>
    <x v="3"/>
  </r>
  <r>
    <s v="ORD100506"/>
    <x v="184"/>
    <x v="12"/>
    <x v="10"/>
    <x v="0"/>
    <x v="3"/>
    <s v="Football"/>
    <x v="1"/>
    <n v="5"/>
    <n v="6574.17"/>
    <n v="6.37"/>
    <n v="30776.98"/>
    <n v="2477.6"/>
    <x v="3"/>
  </r>
  <r>
    <s v="ORD100507"/>
    <x v="184"/>
    <x v="14"/>
    <x v="11"/>
    <x v="3"/>
    <x v="2"/>
    <s v="Desk"/>
    <x v="0"/>
    <n v="9"/>
    <n v="37225.519999999997"/>
    <n v="9.9600000000000009"/>
    <n v="301660.71999999997"/>
    <n v="50176.5"/>
    <x v="4"/>
  </r>
  <r>
    <s v="ORD100508"/>
    <x v="185"/>
    <x v="0"/>
    <x v="12"/>
    <x v="3"/>
    <x v="0"/>
    <s v="Coffee"/>
    <x v="1"/>
    <n v="2"/>
    <n v="1307.8800000000001"/>
    <n v="16.440000000000001"/>
    <n v="2185.73"/>
    <n v="204.72"/>
    <x v="3"/>
  </r>
  <r>
    <s v="ORD100509"/>
    <x v="185"/>
    <x v="13"/>
    <x v="13"/>
    <x v="1"/>
    <x v="3"/>
    <s v="Football"/>
    <x v="2"/>
    <n v="5"/>
    <n v="5853.44"/>
    <n v="16.920000000000002"/>
    <n v="24315.19"/>
    <n v="4256.8500000000004"/>
    <x v="4"/>
  </r>
  <r>
    <s v="ORD100510"/>
    <x v="185"/>
    <x v="10"/>
    <x v="14"/>
    <x v="1"/>
    <x v="2"/>
    <s v="Sofa"/>
    <x v="0"/>
    <n v="6"/>
    <n v="6587.98"/>
    <n v="21.44"/>
    <n v="31053.1"/>
    <n v="3830.04"/>
    <x v="3"/>
  </r>
  <r>
    <s v="ORD100511"/>
    <x v="186"/>
    <x v="0"/>
    <x v="0"/>
    <x v="0"/>
    <x v="4"/>
    <s v="Comics"/>
    <x v="0"/>
    <n v="4"/>
    <n v="2370.2199999999998"/>
    <n v="8.8699999999999992"/>
    <n v="8639.93"/>
    <n v="434.4"/>
    <x v="0"/>
  </r>
  <r>
    <s v="ORD100512"/>
    <x v="186"/>
    <x v="5"/>
    <x v="1"/>
    <x v="1"/>
    <x v="4"/>
    <s v="Notebook"/>
    <x v="1"/>
    <n v="7"/>
    <n v="138.97999999999999"/>
    <n v="21.86"/>
    <n v="760.19"/>
    <n v="99.5"/>
    <x v="0"/>
  </r>
  <r>
    <s v="ORD100513"/>
    <x v="186"/>
    <x v="11"/>
    <x v="2"/>
    <x v="0"/>
    <x v="5"/>
    <s v="Laptop"/>
    <x v="2"/>
    <n v="6"/>
    <n v="73512.600000000006"/>
    <n v="19.489999999999998"/>
    <n v="355109.97"/>
    <n v="26938.12"/>
    <x v="1"/>
  </r>
  <r>
    <s v="ORD100514"/>
    <x v="187"/>
    <x v="2"/>
    <x v="3"/>
    <x v="1"/>
    <x v="5"/>
    <s v="Keyboard"/>
    <x v="1"/>
    <n v="3"/>
    <n v="28849.4"/>
    <n v="7.63"/>
    <n v="79944.570000000007"/>
    <n v="4255"/>
    <x v="0"/>
  </r>
  <r>
    <s v="ORD100515"/>
    <x v="187"/>
    <x v="12"/>
    <x v="4"/>
    <x v="1"/>
    <x v="1"/>
    <s v="Shoes"/>
    <x v="0"/>
    <n v="9"/>
    <n v="4558.96"/>
    <n v="24.37"/>
    <n v="31031.47"/>
    <n v="4530.93"/>
    <x v="0"/>
  </r>
  <r>
    <s v="ORD100516"/>
    <x v="188"/>
    <x v="0"/>
    <x v="5"/>
    <x v="0"/>
    <x v="1"/>
    <s v="T-Shirt"/>
    <x v="0"/>
    <n v="8"/>
    <n v="1031.23"/>
    <n v="9.4499999999999993"/>
    <n v="7470.23"/>
    <n v="554"/>
    <x v="4"/>
  </r>
  <r>
    <s v="ORD100517"/>
    <x v="188"/>
    <x v="9"/>
    <x v="6"/>
    <x v="3"/>
    <x v="1"/>
    <s v="Dress"/>
    <x v="0"/>
    <n v="3"/>
    <n v="6556.05"/>
    <n v="9.81"/>
    <n v="17738.7"/>
    <n v="2242.81"/>
    <x v="0"/>
  </r>
  <r>
    <s v="ORD100518"/>
    <x v="188"/>
    <x v="1"/>
    <x v="7"/>
    <x v="2"/>
    <x v="3"/>
    <s v="Tennis Ball"/>
    <x v="0"/>
    <n v="3"/>
    <n v="3773.77"/>
    <n v="22.16"/>
    <n v="8812.51"/>
    <n v="1909.27"/>
    <x v="0"/>
  </r>
  <r>
    <s v="ORD100519"/>
    <x v="189"/>
    <x v="5"/>
    <x v="8"/>
    <x v="1"/>
    <x v="5"/>
    <s v="Monitor"/>
    <x v="0"/>
    <n v="3"/>
    <n v="40246.74"/>
    <n v="21.91"/>
    <n v="94286.04"/>
    <n v="19309.14"/>
    <x v="0"/>
  </r>
  <r>
    <s v="ORD100520"/>
    <x v="189"/>
    <x v="13"/>
    <x v="9"/>
    <x v="0"/>
    <x v="0"/>
    <s v="Snacks"/>
    <x v="2"/>
    <n v="6"/>
    <n v="736"/>
    <n v="6.78"/>
    <n v="4116.6000000000004"/>
    <n v="772.94"/>
    <x v="1"/>
  </r>
  <r>
    <s v="ORD100521"/>
    <x v="189"/>
    <x v="1"/>
    <x v="10"/>
    <x v="0"/>
    <x v="4"/>
    <s v="Comics"/>
    <x v="2"/>
    <n v="9"/>
    <n v="306.48"/>
    <n v="1.71"/>
    <n v="2711.15"/>
    <n v="207.05"/>
    <x v="4"/>
  </r>
  <r>
    <s v="ORD100522"/>
    <x v="190"/>
    <x v="11"/>
    <x v="11"/>
    <x v="4"/>
    <x v="1"/>
    <s v="Jacket"/>
    <x v="2"/>
    <n v="6"/>
    <n v="4328.74"/>
    <n v="8.15"/>
    <n v="23855.69"/>
    <n v="3573.38"/>
    <x v="0"/>
  </r>
  <r>
    <s v="ORD100523"/>
    <x v="190"/>
    <x v="2"/>
    <x v="12"/>
    <x v="0"/>
    <x v="5"/>
    <s v="Headphones"/>
    <x v="1"/>
    <n v="8"/>
    <n v="43809.39"/>
    <n v="4.07"/>
    <n v="336210.78"/>
    <n v="91922.99"/>
    <x v="2"/>
  </r>
  <r>
    <s v="ORD100524"/>
    <x v="190"/>
    <x v="7"/>
    <x v="13"/>
    <x v="1"/>
    <x v="0"/>
    <s v="Rice"/>
    <x v="0"/>
    <n v="10"/>
    <n v="2322.8200000000002"/>
    <n v="10.119999999999999"/>
    <n v="20877.509999999998"/>
    <n v="5958.32"/>
    <x v="2"/>
  </r>
  <r>
    <s v="ORD100525"/>
    <x v="191"/>
    <x v="9"/>
    <x v="14"/>
    <x v="3"/>
    <x v="5"/>
    <s v="Keyboard"/>
    <x v="1"/>
    <n v="6"/>
    <n v="24589.89"/>
    <n v="29"/>
    <n v="104752.93"/>
    <n v="21686.99"/>
    <x v="0"/>
  </r>
  <r>
    <s v="ORD100526"/>
    <x v="191"/>
    <x v="14"/>
    <x v="0"/>
    <x v="3"/>
    <x v="3"/>
    <s v="Cricket Bat"/>
    <x v="0"/>
    <n v="7"/>
    <n v="7942.15"/>
    <n v="9.5399999999999991"/>
    <n v="50291.28"/>
    <n v="9803.42"/>
    <x v="2"/>
  </r>
  <r>
    <s v="ORD100527"/>
    <x v="192"/>
    <x v="6"/>
    <x v="1"/>
    <x v="2"/>
    <x v="1"/>
    <s v="T-Shirt"/>
    <x v="0"/>
    <n v="4"/>
    <n v="1578.6"/>
    <n v="1.83"/>
    <n v="6198.85"/>
    <n v="1083.72"/>
    <x v="2"/>
  </r>
  <r>
    <s v="ORD100528"/>
    <x v="192"/>
    <x v="4"/>
    <x v="2"/>
    <x v="2"/>
    <x v="3"/>
    <s v="Cricket Bat"/>
    <x v="2"/>
    <n v="3"/>
    <n v="201.83"/>
    <n v="18.420000000000002"/>
    <n v="493.96"/>
    <n v="100.82"/>
    <x v="3"/>
  </r>
  <r>
    <s v="ORD100529"/>
    <x v="192"/>
    <x v="5"/>
    <x v="3"/>
    <x v="3"/>
    <x v="2"/>
    <s v="Office Chair"/>
    <x v="2"/>
    <n v="2"/>
    <n v="8707.93"/>
    <n v="5.42"/>
    <n v="16471.919999999998"/>
    <n v="1904.44"/>
    <x v="1"/>
  </r>
  <r>
    <s v="ORD100530"/>
    <x v="193"/>
    <x v="11"/>
    <x v="4"/>
    <x v="0"/>
    <x v="0"/>
    <s v="Rice"/>
    <x v="2"/>
    <n v="1"/>
    <n v="529.49"/>
    <n v="20.27"/>
    <n v="422.16"/>
    <n v="25.13"/>
    <x v="4"/>
  </r>
  <r>
    <s v="ORD100531"/>
    <x v="193"/>
    <x v="5"/>
    <x v="5"/>
    <x v="0"/>
    <x v="0"/>
    <s v="Rice"/>
    <x v="2"/>
    <n v="7"/>
    <n v="1805.93"/>
    <n v="26.16"/>
    <n v="9334.49"/>
    <n v="1813.18"/>
    <x v="0"/>
  </r>
  <r>
    <s v="ORD100532"/>
    <x v="193"/>
    <x v="3"/>
    <x v="6"/>
    <x v="0"/>
    <x v="1"/>
    <s v="Jacket"/>
    <x v="1"/>
    <n v="9"/>
    <n v="3351.61"/>
    <n v="8.89"/>
    <n v="27482.87"/>
    <n v="2359.88"/>
    <x v="0"/>
  </r>
  <r>
    <s v="ORD100533"/>
    <x v="194"/>
    <x v="11"/>
    <x v="7"/>
    <x v="0"/>
    <x v="4"/>
    <s v="Novel"/>
    <x v="2"/>
    <n v="7"/>
    <n v="2354.96"/>
    <n v="22.65"/>
    <n v="12750.93"/>
    <n v="2507.5500000000002"/>
    <x v="0"/>
  </r>
  <r>
    <s v="ORD100534"/>
    <x v="194"/>
    <x v="3"/>
    <x v="8"/>
    <x v="3"/>
    <x v="0"/>
    <s v="Coffee"/>
    <x v="2"/>
    <n v="2"/>
    <n v="955.57"/>
    <n v="5.86"/>
    <n v="1799.15"/>
    <n v="395.13"/>
    <x v="4"/>
  </r>
  <r>
    <s v="ORD100535"/>
    <x v="195"/>
    <x v="10"/>
    <x v="9"/>
    <x v="1"/>
    <x v="4"/>
    <s v="Comics"/>
    <x v="2"/>
    <n v="8"/>
    <n v="2024.04"/>
    <n v="14.09"/>
    <n v="13910.82"/>
    <n v="2165.41"/>
    <x v="3"/>
  </r>
  <r>
    <s v="ORD100536"/>
    <x v="195"/>
    <x v="14"/>
    <x v="10"/>
    <x v="1"/>
    <x v="2"/>
    <s v="Office Chair"/>
    <x v="1"/>
    <n v="10"/>
    <n v="32577.33"/>
    <n v="28.52"/>
    <n v="232862.75"/>
    <n v="12927.73"/>
    <x v="2"/>
  </r>
  <r>
    <s v="ORD100537"/>
    <x v="195"/>
    <x v="4"/>
    <x v="11"/>
    <x v="3"/>
    <x v="5"/>
    <s v="Headphones"/>
    <x v="1"/>
    <n v="5"/>
    <n v="35468.519999999997"/>
    <n v="19.32"/>
    <n v="143080.01"/>
    <n v="20780.650000000001"/>
    <x v="1"/>
  </r>
  <r>
    <s v="ORD100538"/>
    <x v="196"/>
    <x v="13"/>
    <x v="12"/>
    <x v="0"/>
    <x v="2"/>
    <s v="Sofa"/>
    <x v="1"/>
    <n v="6"/>
    <n v="9436.98"/>
    <n v="13.28"/>
    <n v="49102.49"/>
    <n v="3048.81"/>
    <x v="4"/>
  </r>
  <r>
    <s v="ORD100539"/>
    <x v="196"/>
    <x v="4"/>
    <x v="13"/>
    <x v="3"/>
    <x v="0"/>
    <s v="Rice"/>
    <x v="0"/>
    <n v="2"/>
    <n v="2409.36"/>
    <n v="16.64"/>
    <n v="4016.88"/>
    <n v="1030.26"/>
    <x v="3"/>
  </r>
  <r>
    <s v="ORD100540"/>
    <x v="196"/>
    <x v="14"/>
    <x v="14"/>
    <x v="3"/>
    <x v="4"/>
    <s v="Notebook"/>
    <x v="0"/>
    <n v="7"/>
    <n v="1552.21"/>
    <n v="6.61"/>
    <n v="10147.26"/>
    <n v="2094.52"/>
    <x v="2"/>
  </r>
  <r>
    <s v="ORD100541"/>
    <x v="197"/>
    <x v="3"/>
    <x v="0"/>
    <x v="1"/>
    <x v="4"/>
    <s v="Textbook"/>
    <x v="1"/>
    <n v="5"/>
    <n v="1356.16"/>
    <n v="6.8"/>
    <n v="6319.71"/>
    <n v="1369.04"/>
    <x v="1"/>
  </r>
  <r>
    <s v="ORD100542"/>
    <x v="197"/>
    <x v="6"/>
    <x v="1"/>
    <x v="0"/>
    <x v="1"/>
    <s v="Jeans"/>
    <x v="1"/>
    <n v="3"/>
    <n v="693.86"/>
    <n v="11.93"/>
    <n v="1833.25"/>
    <n v="326.18"/>
    <x v="4"/>
  </r>
  <r>
    <s v="ORD100543"/>
    <x v="197"/>
    <x v="5"/>
    <x v="2"/>
    <x v="0"/>
    <x v="0"/>
    <s v="Coffee"/>
    <x v="0"/>
    <n v="3"/>
    <n v="233.02"/>
    <n v="2.13"/>
    <n v="684.17"/>
    <n v="132.36000000000001"/>
    <x v="0"/>
  </r>
  <r>
    <s v="ORD100544"/>
    <x v="198"/>
    <x v="14"/>
    <x v="3"/>
    <x v="4"/>
    <x v="3"/>
    <s v="Tennis Ball"/>
    <x v="0"/>
    <n v="5"/>
    <n v="677.21"/>
    <n v="2.94"/>
    <n v="3286.5"/>
    <n v="200.53"/>
    <x v="0"/>
  </r>
  <r>
    <s v="ORD100545"/>
    <x v="198"/>
    <x v="9"/>
    <x v="4"/>
    <x v="2"/>
    <x v="5"/>
    <s v="Smartphone"/>
    <x v="2"/>
    <n v="8"/>
    <n v="24080.69"/>
    <n v="2.3199999999999998"/>
    <n v="188176.14"/>
    <n v="17400.98"/>
    <x v="3"/>
  </r>
  <r>
    <s v="ORD100546"/>
    <x v="199"/>
    <x v="12"/>
    <x v="5"/>
    <x v="1"/>
    <x v="0"/>
    <s v="Rice"/>
    <x v="1"/>
    <n v="7"/>
    <n v="2969.04"/>
    <n v="20.53"/>
    <n v="16516.47"/>
    <n v="4744.28"/>
    <x v="0"/>
  </r>
  <r>
    <s v="ORD100547"/>
    <x v="199"/>
    <x v="14"/>
    <x v="6"/>
    <x v="2"/>
    <x v="2"/>
    <s v="Bookshelf"/>
    <x v="0"/>
    <n v="9"/>
    <n v="3161.22"/>
    <n v="9.93"/>
    <n v="25625.8"/>
    <n v="6188.45"/>
    <x v="0"/>
  </r>
  <r>
    <s v="ORD100548"/>
    <x v="199"/>
    <x v="8"/>
    <x v="7"/>
    <x v="1"/>
    <x v="3"/>
    <s v="Cricket Bat"/>
    <x v="0"/>
    <n v="2"/>
    <n v="606"/>
    <n v="29.03"/>
    <n v="860.16"/>
    <n v="161.25"/>
    <x v="2"/>
  </r>
  <r>
    <s v="ORD100549"/>
    <x v="200"/>
    <x v="5"/>
    <x v="8"/>
    <x v="3"/>
    <x v="5"/>
    <s v="Monitor"/>
    <x v="1"/>
    <n v="6"/>
    <n v="49593.56"/>
    <n v="6.23"/>
    <n v="279023.28999999998"/>
    <n v="54946.45"/>
    <x v="0"/>
  </r>
  <r>
    <s v="ORD100550"/>
    <x v="200"/>
    <x v="13"/>
    <x v="9"/>
    <x v="1"/>
    <x v="4"/>
    <s v="Textbook"/>
    <x v="0"/>
    <n v="9"/>
    <n v="1653.9"/>
    <n v="25.31"/>
    <n v="11117.68"/>
    <n v="1458.98"/>
    <x v="3"/>
  </r>
  <r>
    <s v="ORD100551"/>
    <x v="200"/>
    <x v="1"/>
    <x v="10"/>
    <x v="2"/>
    <x v="1"/>
    <s v="Jacket"/>
    <x v="1"/>
    <n v="7"/>
    <n v="5014.5200000000004"/>
    <n v="0.5"/>
    <n v="34926.129999999997"/>
    <n v="3446.98"/>
    <x v="3"/>
  </r>
  <r>
    <s v="ORD100552"/>
    <x v="201"/>
    <x v="12"/>
    <x v="11"/>
    <x v="0"/>
    <x v="1"/>
    <s v="Dress"/>
    <x v="2"/>
    <n v="4"/>
    <n v="6971.46"/>
    <n v="1.79"/>
    <n v="27386.68"/>
    <n v="6107.58"/>
    <x v="2"/>
  </r>
  <r>
    <s v="ORD100553"/>
    <x v="201"/>
    <x v="5"/>
    <x v="12"/>
    <x v="2"/>
    <x v="3"/>
    <s v="Yoga Mat"/>
    <x v="1"/>
    <n v="6"/>
    <n v="779.94"/>
    <n v="18.98"/>
    <n v="3791.44"/>
    <n v="918.4"/>
    <x v="2"/>
  </r>
  <r>
    <s v="ORD100554"/>
    <x v="201"/>
    <x v="2"/>
    <x v="13"/>
    <x v="0"/>
    <x v="2"/>
    <s v="Table"/>
    <x v="1"/>
    <n v="9"/>
    <n v="16954.32"/>
    <n v="10.63"/>
    <n v="136368.68"/>
    <n v="17142.560000000001"/>
    <x v="2"/>
  </r>
  <r>
    <s v="ORD100555"/>
    <x v="202"/>
    <x v="0"/>
    <x v="14"/>
    <x v="1"/>
    <x v="1"/>
    <s v="Jeans"/>
    <x v="2"/>
    <n v="7"/>
    <n v="2177.27"/>
    <n v="19.68"/>
    <n v="12241.48"/>
    <n v="1220.52"/>
    <x v="1"/>
  </r>
  <r>
    <s v="ORD100556"/>
    <x v="202"/>
    <x v="14"/>
    <x v="0"/>
    <x v="1"/>
    <x v="1"/>
    <s v="Jeans"/>
    <x v="0"/>
    <n v="7"/>
    <n v="6307.64"/>
    <n v="16.920000000000002"/>
    <n v="36682.71"/>
    <n v="4229.17"/>
    <x v="3"/>
  </r>
  <r>
    <s v="ORD100557"/>
    <x v="203"/>
    <x v="7"/>
    <x v="1"/>
    <x v="1"/>
    <x v="4"/>
    <s v="Textbook"/>
    <x v="0"/>
    <n v="8"/>
    <n v="1564.26"/>
    <n v="14.65"/>
    <n v="10680.77"/>
    <n v="889.66"/>
    <x v="0"/>
  </r>
  <r>
    <s v="ORD100558"/>
    <x v="203"/>
    <x v="5"/>
    <x v="2"/>
    <x v="1"/>
    <x v="5"/>
    <s v="Smartphone"/>
    <x v="1"/>
    <n v="9"/>
    <n v="25864.080000000002"/>
    <n v="12.47"/>
    <n v="203749.46"/>
    <n v="56439.37"/>
    <x v="4"/>
  </r>
  <r>
    <s v="ORD100559"/>
    <x v="203"/>
    <x v="11"/>
    <x v="3"/>
    <x v="1"/>
    <x v="1"/>
    <s v="Shoes"/>
    <x v="0"/>
    <n v="3"/>
    <n v="768.94"/>
    <n v="0.93"/>
    <n v="2285.37"/>
    <n v="522.44000000000005"/>
    <x v="1"/>
  </r>
  <r>
    <s v="ORD100560"/>
    <x v="204"/>
    <x v="12"/>
    <x v="4"/>
    <x v="4"/>
    <x v="3"/>
    <s v="Cricket Bat"/>
    <x v="2"/>
    <n v="4"/>
    <n v="2900.26"/>
    <n v="14.84"/>
    <n v="9879.4500000000007"/>
    <n v="794.54"/>
    <x v="2"/>
  </r>
  <r>
    <s v="ORD100561"/>
    <x v="204"/>
    <x v="6"/>
    <x v="5"/>
    <x v="4"/>
    <x v="1"/>
    <s v="Jacket"/>
    <x v="2"/>
    <n v="9"/>
    <n v="6073.92"/>
    <n v="27.39"/>
    <n v="39692.46"/>
    <n v="7661.86"/>
    <x v="0"/>
  </r>
  <r>
    <s v="ORD100562"/>
    <x v="204"/>
    <x v="14"/>
    <x v="6"/>
    <x v="0"/>
    <x v="2"/>
    <s v="Desk"/>
    <x v="1"/>
    <n v="9"/>
    <n v="22650.22"/>
    <n v="17.64"/>
    <n v="167892.49"/>
    <n v="26296.15"/>
    <x v="4"/>
  </r>
  <r>
    <s v="ORD100563"/>
    <x v="205"/>
    <x v="3"/>
    <x v="7"/>
    <x v="2"/>
    <x v="2"/>
    <s v="Office Chair"/>
    <x v="1"/>
    <n v="4"/>
    <n v="23580.13"/>
    <n v="0.44"/>
    <n v="93905.51"/>
    <n v="13155.59"/>
    <x v="3"/>
  </r>
  <r>
    <s v="ORD100564"/>
    <x v="205"/>
    <x v="11"/>
    <x v="8"/>
    <x v="1"/>
    <x v="4"/>
    <s v="Novel"/>
    <x v="1"/>
    <n v="10"/>
    <n v="2338.61"/>
    <n v="0.6"/>
    <n v="23245.78"/>
    <n v="2055.9899999999998"/>
    <x v="2"/>
  </r>
  <r>
    <s v="ORD100565"/>
    <x v="205"/>
    <x v="5"/>
    <x v="9"/>
    <x v="4"/>
    <x v="0"/>
    <s v="Cooking Oil"/>
    <x v="1"/>
    <n v="2"/>
    <n v="2457.4299999999998"/>
    <n v="0.56999999999999995"/>
    <n v="4886.8500000000004"/>
    <n v="1143.42"/>
    <x v="3"/>
  </r>
  <r>
    <s v="ORD100566"/>
    <x v="206"/>
    <x v="5"/>
    <x v="10"/>
    <x v="2"/>
    <x v="3"/>
    <s v="Tennis Ball"/>
    <x v="0"/>
    <n v="3"/>
    <n v="9051.59"/>
    <n v="0.74"/>
    <n v="26953.82"/>
    <n v="2759.1"/>
    <x v="4"/>
  </r>
  <r>
    <s v="ORD100567"/>
    <x v="206"/>
    <x v="2"/>
    <x v="11"/>
    <x v="1"/>
    <x v="0"/>
    <s v="Rice"/>
    <x v="1"/>
    <n v="4"/>
    <n v="1561.03"/>
    <n v="20.41"/>
    <n v="4969.7"/>
    <n v="1406.05"/>
    <x v="2"/>
  </r>
  <r>
    <s v="ORD100568"/>
    <x v="207"/>
    <x v="11"/>
    <x v="12"/>
    <x v="2"/>
    <x v="3"/>
    <s v="Football"/>
    <x v="1"/>
    <n v="3"/>
    <n v="8885.6200000000008"/>
    <n v="4.54"/>
    <n v="25446.639999999999"/>
    <n v="2238.58"/>
    <x v="3"/>
  </r>
  <r>
    <s v="ORD100569"/>
    <x v="207"/>
    <x v="4"/>
    <x v="13"/>
    <x v="0"/>
    <x v="4"/>
    <s v="Textbook"/>
    <x v="2"/>
    <n v="9"/>
    <n v="1850.34"/>
    <n v="17.25"/>
    <n v="13780.41"/>
    <n v="1401.53"/>
    <x v="1"/>
  </r>
  <r>
    <s v="ORD100570"/>
    <x v="207"/>
    <x v="1"/>
    <x v="14"/>
    <x v="0"/>
    <x v="2"/>
    <s v="Bookshelf"/>
    <x v="2"/>
    <n v="6"/>
    <n v="13217.39"/>
    <n v="19.079999999999998"/>
    <n v="64173.07"/>
    <n v="9598.3700000000008"/>
    <x v="3"/>
  </r>
  <r>
    <s v="ORD100571"/>
    <x v="208"/>
    <x v="11"/>
    <x v="0"/>
    <x v="0"/>
    <x v="0"/>
    <s v="Rice"/>
    <x v="0"/>
    <n v="7"/>
    <n v="2307.3200000000002"/>
    <n v="4.29"/>
    <n v="15458.35"/>
    <n v="3314.72"/>
    <x v="3"/>
  </r>
  <r>
    <s v="ORD100572"/>
    <x v="208"/>
    <x v="9"/>
    <x v="1"/>
    <x v="1"/>
    <x v="3"/>
    <s v="Badminton Racket"/>
    <x v="0"/>
    <n v="8"/>
    <n v="1007.58"/>
    <n v="18"/>
    <n v="6609.72"/>
    <n v="1132.98"/>
    <x v="1"/>
  </r>
  <r>
    <s v="ORD100573"/>
    <x v="208"/>
    <x v="5"/>
    <x v="2"/>
    <x v="4"/>
    <x v="2"/>
    <s v="Desk"/>
    <x v="1"/>
    <n v="4"/>
    <n v="6721.11"/>
    <n v="20.71"/>
    <n v="21316.67"/>
    <n v="6102.03"/>
    <x v="3"/>
  </r>
  <r>
    <s v="ORD100574"/>
    <x v="209"/>
    <x v="0"/>
    <x v="3"/>
    <x v="1"/>
    <x v="3"/>
    <s v="Badminton Racket"/>
    <x v="2"/>
    <n v="10"/>
    <n v="2587"/>
    <n v="9.18"/>
    <n v="23495.13"/>
    <n v="1548.83"/>
    <x v="1"/>
  </r>
  <r>
    <s v="ORD100575"/>
    <x v="209"/>
    <x v="11"/>
    <x v="4"/>
    <x v="0"/>
    <x v="2"/>
    <s v="Table"/>
    <x v="1"/>
    <n v="6"/>
    <n v="26830.240000000002"/>
    <n v="22.55"/>
    <n v="124680.13"/>
    <n v="31542.400000000001"/>
    <x v="3"/>
  </r>
  <r>
    <s v="ORD100576"/>
    <x v="209"/>
    <x v="4"/>
    <x v="5"/>
    <x v="1"/>
    <x v="4"/>
    <s v="Novel"/>
    <x v="1"/>
    <n v="8"/>
    <n v="1726.54"/>
    <n v="7.57"/>
    <n v="12766.73"/>
    <n v="3424.81"/>
    <x v="1"/>
  </r>
  <r>
    <s v="ORD100577"/>
    <x v="210"/>
    <x v="13"/>
    <x v="6"/>
    <x v="1"/>
    <x v="5"/>
    <s v="Headphones"/>
    <x v="0"/>
    <n v="6"/>
    <n v="7508.1"/>
    <n v="5.84"/>
    <n v="42417.760000000002"/>
    <n v="10822.38"/>
    <x v="4"/>
  </r>
  <r>
    <s v="ORD100578"/>
    <x v="210"/>
    <x v="6"/>
    <x v="7"/>
    <x v="2"/>
    <x v="0"/>
    <s v="Snacks"/>
    <x v="1"/>
    <n v="9"/>
    <n v="958.23"/>
    <n v="14.32"/>
    <n v="7389.1"/>
    <n v="1834.46"/>
    <x v="1"/>
  </r>
  <r>
    <s v="ORD100579"/>
    <x v="211"/>
    <x v="4"/>
    <x v="8"/>
    <x v="3"/>
    <x v="0"/>
    <s v="Snacks"/>
    <x v="1"/>
    <n v="1"/>
    <n v="947.51"/>
    <n v="4.18"/>
    <n v="907.9"/>
    <n v="184.31"/>
    <x v="1"/>
  </r>
  <r>
    <s v="ORD100580"/>
    <x v="211"/>
    <x v="14"/>
    <x v="9"/>
    <x v="3"/>
    <x v="2"/>
    <s v="Sofa"/>
    <x v="0"/>
    <n v="7"/>
    <n v="11551.81"/>
    <n v="7.46"/>
    <n v="74830.31"/>
    <n v="21365.14"/>
    <x v="0"/>
  </r>
  <r>
    <s v="ORD100581"/>
    <x v="211"/>
    <x v="5"/>
    <x v="10"/>
    <x v="3"/>
    <x v="5"/>
    <s v="Keyboard"/>
    <x v="2"/>
    <n v="1"/>
    <n v="4964.88"/>
    <n v="7.67"/>
    <n v="4584.07"/>
    <n v="833.8"/>
    <x v="2"/>
  </r>
  <r>
    <s v="ORD100582"/>
    <x v="212"/>
    <x v="7"/>
    <x v="11"/>
    <x v="4"/>
    <x v="4"/>
    <s v="Novel"/>
    <x v="2"/>
    <n v="6"/>
    <n v="251.51"/>
    <n v="11.9"/>
    <n v="1329.48"/>
    <n v="224.02"/>
    <x v="2"/>
  </r>
  <r>
    <s v="ORD100583"/>
    <x v="212"/>
    <x v="9"/>
    <x v="12"/>
    <x v="0"/>
    <x v="0"/>
    <s v="Snacks"/>
    <x v="0"/>
    <n v="5"/>
    <n v="2461.9899999999998"/>
    <n v="26.85"/>
    <n v="9004.73"/>
    <n v="2371.04"/>
    <x v="4"/>
  </r>
  <r>
    <s v="ORD100584"/>
    <x v="212"/>
    <x v="14"/>
    <x v="13"/>
    <x v="1"/>
    <x v="2"/>
    <s v="Sofa"/>
    <x v="0"/>
    <n v="5"/>
    <n v="26771.14"/>
    <n v="22.39"/>
    <n v="103885.41"/>
    <n v="13286.21"/>
    <x v="0"/>
  </r>
  <r>
    <s v="ORD100585"/>
    <x v="213"/>
    <x v="14"/>
    <x v="14"/>
    <x v="0"/>
    <x v="1"/>
    <s v="T-Shirt"/>
    <x v="2"/>
    <n v="5"/>
    <n v="1872.66"/>
    <n v="12.56"/>
    <n v="8187.27"/>
    <n v="858.92"/>
    <x v="4"/>
  </r>
  <r>
    <s v="ORD100586"/>
    <x v="213"/>
    <x v="8"/>
    <x v="0"/>
    <x v="2"/>
    <x v="4"/>
    <s v="Notebook"/>
    <x v="0"/>
    <n v="1"/>
    <n v="1837.67"/>
    <n v="27.86"/>
    <n v="1325.7"/>
    <n v="208.98"/>
    <x v="4"/>
  </r>
  <r>
    <s v="ORD100587"/>
    <x v="213"/>
    <x v="4"/>
    <x v="1"/>
    <x v="3"/>
    <x v="1"/>
    <s v="Jacket"/>
    <x v="1"/>
    <n v="1"/>
    <n v="5834.13"/>
    <n v="3.32"/>
    <n v="5640.44"/>
    <n v="332.21"/>
    <x v="4"/>
  </r>
  <r>
    <s v="ORD100588"/>
    <x v="214"/>
    <x v="2"/>
    <x v="2"/>
    <x v="1"/>
    <x v="2"/>
    <s v="Office Chair"/>
    <x v="2"/>
    <n v="8"/>
    <n v="32293.67"/>
    <n v="10.24"/>
    <n v="231894.39"/>
    <n v="37345.629999999997"/>
    <x v="3"/>
  </r>
  <r>
    <s v="ORD100589"/>
    <x v="214"/>
    <x v="12"/>
    <x v="3"/>
    <x v="3"/>
    <x v="2"/>
    <s v="Bookshelf"/>
    <x v="1"/>
    <n v="10"/>
    <n v="21863.7"/>
    <n v="1.1299999999999999"/>
    <n v="216166.39999999999"/>
    <n v="54477.599999999999"/>
    <x v="4"/>
  </r>
  <r>
    <s v="ORD100590"/>
    <x v="215"/>
    <x v="10"/>
    <x v="4"/>
    <x v="4"/>
    <x v="5"/>
    <s v="Monitor"/>
    <x v="1"/>
    <n v="1"/>
    <n v="68673.679999999993"/>
    <n v="2.92"/>
    <n v="66668.41"/>
    <n v="15106.59"/>
    <x v="0"/>
  </r>
  <r>
    <s v="ORD100591"/>
    <x v="215"/>
    <x v="4"/>
    <x v="5"/>
    <x v="4"/>
    <x v="2"/>
    <s v="Bookshelf"/>
    <x v="2"/>
    <n v="8"/>
    <n v="32935.9"/>
    <n v="10.119999999999999"/>
    <n v="236822.3"/>
    <n v="60835.13"/>
    <x v="3"/>
  </r>
  <r>
    <s v="ORD100592"/>
    <x v="215"/>
    <x v="10"/>
    <x v="6"/>
    <x v="1"/>
    <x v="5"/>
    <s v="Headphones"/>
    <x v="2"/>
    <n v="6"/>
    <n v="44666.19"/>
    <n v="8.74"/>
    <n v="244574.19"/>
    <n v="37749.71"/>
    <x v="1"/>
  </r>
  <r>
    <s v="ORD100593"/>
    <x v="216"/>
    <x v="12"/>
    <x v="7"/>
    <x v="3"/>
    <x v="0"/>
    <s v="Snacks"/>
    <x v="0"/>
    <n v="3"/>
    <n v="1023.96"/>
    <n v="3.2"/>
    <n v="2973.58"/>
    <n v="857.43"/>
    <x v="3"/>
  </r>
  <r>
    <s v="ORD100594"/>
    <x v="216"/>
    <x v="12"/>
    <x v="8"/>
    <x v="1"/>
    <x v="3"/>
    <s v="Badminton Racket"/>
    <x v="0"/>
    <n v="8"/>
    <n v="2979.36"/>
    <n v="9.7899999999999991"/>
    <n v="21501.45"/>
    <n v="1186.6500000000001"/>
    <x v="0"/>
  </r>
  <r>
    <s v="ORD100595"/>
    <x v="216"/>
    <x v="7"/>
    <x v="9"/>
    <x v="2"/>
    <x v="4"/>
    <s v="Dictionary"/>
    <x v="1"/>
    <n v="6"/>
    <n v="286.86"/>
    <n v="28.66"/>
    <n v="1227.8800000000001"/>
    <n v="137.19999999999999"/>
    <x v="2"/>
  </r>
  <r>
    <s v="ORD100596"/>
    <x v="217"/>
    <x v="0"/>
    <x v="10"/>
    <x v="2"/>
    <x v="3"/>
    <s v="Football"/>
    <x v="0"/>
    <n v="1"/>
    <n v="8396.93"/>
    <n v="15.07"/>
    <n v="7131.51"/>
    <n v="382.22"/>
    <x v="0"/>
  </r>
  <r>
    <s v="ORD100597"/>
    <x v="217"/>
    <x v="12"/>
    <x v="11"/>
    <x v="3"/>
    <x v="2"/>
    <s v="Table"/>
    <x v="2"/>
    <n v="4"/>
    <n v="30426.94"/>
    <n v="13.36"/>
    <n v="105447.6"/>
    <n v="20884.46"/>
    <x v="2"/>
  </r>
  <r>
    <s v="ORD100598"/>
    <x v="218"/>
    <x v="3"/>
    <x v="12"/>
    <x v="1"/>
    <x v="5"/>
    <s v="Keyboard"/>
    <x v="2"/>
    <n v="6"/>
    <n v="52550.67"/>
    <n v="12.34"/>
    <n v="276395.5"/>
    <n v="59657.38"/>
    <x v="1"/>
  </r>
  <r>
    <s v="ORD100599"/>
    <x v="218"/>
    <x v="1"/>
    <x v="13"/>
    <x v="0"/>
    <x v="2"/>
    <s v="Table"/>
    <x v="2"/>
    <n v="1"/>
    <n v="2552.65"/>
    <n v="8.2200000000000006"/>
    <n v="2342.8200000000002"/>
    <n v="676.87"/>
    <x v="3"/>
  </r>
  <r>
    <s v="ORD100600"/>
    <x v="218"/>
    <x v="2"/>
    <x v="14"/>
    <x v="3"/>
    <x v="0"/>
    <s v="Snacks"/>
    <x v="0"/>
    <n v="7"/>
    <n v="1207.04"/>
    <n v="28.43"/>
    <n v="6047.15"/>
    <n v="515.82000000000005"/>
    <x v="2"/>
  </r>
  <r>
    <s v="ORD100601"/>
    <x v="219"/>
    <x v="2"/>
    <x v="0"/>
    <x v="0"/>
    <x v="2"/>
    <s v="Bookshelf"/>
    <x v="2"/>
    <n v="3"/>
    <n v="8488.6299999999992"/>
    <n v="4.38"/>
    <n v="24350.48"/>
    <n v="6928.1"/>
    <x v="4"/>
  </r>
  <r>
    <s v="ORD100602"/>
    <x v="219"/>
    <x v="13"/>
    <x v="1"/>
    <x v="3"/>
    <x v="1"/>
    <s v="T-Shirt"/>
    <x v="2"/>
    <n v="1"/>
    <n v="4626.3500000000004"/>
    <n v="20.14"/>
    <n v="3694.6"/>
    <n v="1040.31"/>
    <x v="0"/>
  </r>
  <r>
    <s v="ORD100603"/>
    <x v="219"/>
    <x v="6"/>
    <x v="2"/>
    <x v="2"/>
    <x v="4"/>
    <s v="Comics"/>
    <x v="0"/>
    <n v="1"/>
    <n v="1122.3900000000001"/>
    <n v="29.03"/>
    <n v="796.56"/>
    <n v="170.82"/>
    <x v="1"/>
  </r>
  <r>
    <s v="ORD100604"/>
    <x v="220"/>
    <x v="5"/>
    <x v="3"/>
    <x v="4"/>
    <x v="0"/>
    <s v="Rice"/>
    <x v="1"/>
    <n v="2"/>
    <n v="1443.92"/>
    <n v="11.35"/>
    <n v="2560.0700000000002"/>
    <n v="459.08"/>
    <x v="0"/>
  </r>
  <r>
    <s v="ORD100605"/>
    <x v="220"/>
    <x v="7"/>
    <x v="4"/>
    <x v="4"/>
    <x v="3"/>
    <s v="Football"/>
    <x v="0"/>
    <n v="1"/>
    <n v="8565.81"/>
    <n v="21.76"/>
    <n v="6701.89"/>
    <n v="938.92"/>
    <x v="3"/>
  </r>
  <r>
    <s v="ORD100606"/>
    <x v="220"/>
    <x v="14"/>
    <x v="5"/>
    <x v="2"/>
    <x v="5"/>
    <s v="Keyboard"/>
    <x v="0"/>
    <n v="9"/>
    <n v="980.74"/>
    <n v="14.52"/>
    <n v="7545.03"/>
    <n v="609.73"/>
    <x v="3"/>
  </r>
  <r>
    <s v="ORD100607"/>
    <x v="221"/>
    <x v="5"/>
    <x v="6"/>
    <x v="3"/>
    <x v="4"/>
    <s v="Textbook"/>
    <x v="0"/>
    <n v="8"/>
    <n v="1815.27"/>
    <n v="7.21"/>
    <n v="13475.11"/>
    <n v="2168.7199999999998"/>
    <x v="3"/>
  </r>
  <r>
    <s v="ORD100608"/>
    <x v="221"/>
    <x v="9"/>
    <x v="7"/>
    <x v="1"/>
    <x v="2"/>
    <s v="Desk"/>
    <x v="1"/>
    <n v="4"/>
    <n v="36743.08"/>
    <n v="9.84"/>
    <n v="132510.24"/>
    <n v="18951.689999999999"/>
    <x v="0"/>
  </r>
  <r>
    <s v="ORD100609"/>
    <x v="222"/>
    <x v="5"/>
    <x v="8"/>
    <x v="0"/>
    <x v="2"/>
    <s v="Bookshelf"/>
    <x v="1"/>
    <n v="4"/>
    <n v="23741.99"/>
    <n v="17.37"/>
    <n v="78472.03"/>
    <n v="4993.0200000000004"/>
    <x v="0"/>
  </r>
  <r>
    <s v="ORD100610"/>
    <x v="222"/>
    <x v="1"/>
    <x v="9"/>
    <x v="4"/>
    <x v="4"/>
    <s v="Notebook"/>
    <x v="2"/>
    <n v="10"/>
    <n v="2306.1"/>
    <n v="12.71"/>
    <n v="20129.95"/>
    <n v="2728.28"/>
    <x v="2"/>
  </r>
  <r>
    <s v="ORD100611"/>
    <x v="222"/>
    <x v="9"/>
    <x v="10"/>
    <x v="0"/>
    <x v="1"/>
    <s v="Jeans"/>
    <x v="1"/>
    <n v="1"/>
    <n v="7303.52"/>
    <n v="17.07"/>
    <n v="6056.81"/>
    <n v="1456.93"/>
    <x v="3"/>
  </r>
  <r>
    <s v="ORD100612"/>
    <x v="223"/>
    <x v="10"/>
    <x v="11"/>
    <x v="2"/>
    <x v="2"/>
    <s v="Bookshelf"/>
    <x v="0"/>
    <n v="8"/>
    <n v="31963.47"/>
    <n v="28.23"/>
    <n v="183521.46"/>
    <n v="37769.19"/>
    <x v="3"/>
  </r>
  <r>
    <s v="ORD100613"/>
    <x v="223"/>
    <x v="2"/>
    <x v="12"/>
    <x v="2"/>
    <x v="5"/>
    <s v="Laptop"/>
    <x v="2"/>
    <n v="10"/>
    <n v="5469.3"/>
    <n v="11.62"/>
    <n v="48337.67"/>
    <n v="9467.19"/>
    <x v="0"/>
  </r>
  <r>
    <s v="ORD100614"/>
    <x v="223"/>
    <x v="5"/>
    <x v="13"/>
    <x v="2"/>
    <x v="5"/>
    <s v="Headphones"/>
    <x v="1"/>
    <n v="10"/>
    <n v="16723.12"/>
    <n v="8.76"/>
    <n v="152581.75"/>
    <n v="36185.089999999997"/>
    <x v="1"/>
  </r>
  <r>
    <s v="ORD100615"/>
    <x v="224"/>
    <x v="1"/>
    <x v="14"/>
    <x v="3"/>
    <x v="0"/>
    <s v="Coffee"/>
    <x v="0"/>
    <n v="10"/>
    <n v="2873.55"/>
    <n v="12.81"/>
    <n v="25054.48"/>
    <n v="4228.57"/>
    <x v="2"/>
  </r>
  <r>
    <s v="ORD100616"/>
    <x v="224"/>
    <x v="13"/>
    <x v="0"/>
    <x v="4"/>
    <x v="3"/>
    <s v="Football"/>
    <x v="1"/>
    <n v="10"/>
    <n v="5207.51"/>
    <n v="12.86"/>
    <n v="45378.239999999998"/>
    <n v="2879.04"/>
    <x v="2"/>
  </r>
  <r>
    <s v="ORD100617"/>
    <x v="224"/>
    <x v="1"/>
    <x v="1"/>
    <x v="3"/>
    <x v="5"/>
    <s v="Monitor"/>
    <x v="2"/>
    <n v="2"/>
    <n v="12674.99"/>
    <n v="21.84"/>
    <n v="19813.54"/>
    <n v="3963.95"/>
    <x v="1"/>
  </r>
  <r>
    <s v="ORD100618"/>
    <x v="225"/>
    <x v="11"/>
    <x v="2"/>
    <x v="0"/>
    <x v="2"/>
    <s v="Sofa"/>
    <x v="2"/>
    <n v="6"/>
    <n v="20392.900000000001"/>
    <n v="5.35"/>
    <n v="115811.28"/>
    <n v="8921.9599999999991"/>
    <x v="2"/>
  </r>
  <r>
    <s v="ORD100619"/>
    <x v="225"/>
    <x v="2"/>
    <x v="3"/>
    <x v="0"/>
    <x v="1"/>
    <s v="Jacket"/>
    <x v="0"/>
    <n v="6"/>
    <n v="1893.85"/>
    <n v="25.54"/>
    <n v="8460.9599999999991"/>
    <n v="601.29"/>
    <x v="1"/>
  </r>
  <r>
    <s v="ORD100620"/>
    <x v="226"/>
    <x v="5"/>
    <x v="4"/>
    <x v="4"/>
    <x v="1"/>
    <s v="Jeans"/>
    <x v="2"/>
    <n v="5"/>
    <n v="5740.85"/>
    <n v="16.059999999999999"/>
    <n v="24094.35"/>
    <n v="5031.6400000000003"/>
    <x v="2"/>
  </r>
  <r>
    <s v="ORD100621"/>
    <x v="226"/>
    <x v="10"/>
    <x v="5"/>
    <x v="3"/>
    <x v="4"/>
    <s v="Novel"/>
    <x v="2"/>
    <n v="6"/>
    <n v="2159.04"/>
    <n v="20.010000000000002"/>
    <n v="10362.1"/>
    <n v="1646.01"/>
    <x v="0"/>
  </r>
  <r>
    <s v="ORD100622"/>
    <x v="226"/>
    <x v="3"/>
    <x v="6"/>
    <x v="0"/>
    <x v="3"/>
    <s v="Football"/>
    <x v="0"/>
    <n v="9"/>
    <n v="8252.09"/>
    <n v="3.04"/>
    <n v="72011.039999999994"/>
    <n v="17856.78"/>
    <x v="0"/>
  </r>
  <r>
    <s v="ORD100623"/>
    <x v="227"/>
    <x v="7"/>
    <x v="7"/>
    <x v="0"/>
    <x v="0"/>
    <s v="Cooking Oil"/>
    <x v="2"/>
    <n v="2"/>
    <n v="1170.23"/>
    <n v="18.52"/>
    <n v="1907.01"/>
    <n v="557.71"/>
    <x v="0"/>
  </r>
  <r>
    <s v="ORD100624"/>
    <x v="227"/>
    <x v="14"/>
    <x v="8"/>
    <x v="2"/>
    <x v="5"/>
    <s v="Smartphone"/>
    <x v="0"/>
    <n v="2"/>
    <n v="15110.88"/>
    <n v="9.85"/>
    <n v="27244.92"/>
    <n v="4680.76"/>
    <x v="4"/>
  </r>
  <r>
    <s v="ORD100625"/>
    <x v="227"/>
    <x v="11"/>
    <x v="9"/>
    <x v="1"/>
    <x v="2"/>
    <s v="Bookshelf"/>
    <x v="2"/>
    <n v="5"/>
    <n v="29392.48"/>
    <n v="24.39"/>
    <n v="111118.27"/>
    <n v="12708.57"/>
    <x v="0"/>
  </r>
  <r>
    <s v="ORD100626"/>
    <x v="228"/>
    <x v="11"/>
    <x v="10"/>
    <x v="4"/>
    <x v="4"/>
    <s v="Textbook"/>
    <x v="0"/>
    <n v="5"/>
    <n v="2032.28"/>
    <n v="4.1100000000000003"/>
    <n v="9743.77"/>
    <n v="657.02"/>
    <x v="4"/>
  </r>
  <r>
    <s v="ORD100627"/>
    <x v="228"/>
    <x v="9"/>
    <x v="11"/>
    <x v="0"/>
    <x v="3"/>
    <s v="Tennis Ball"/>
    <x v="2"/>
    <n v="6"/>
    <n v="3495.97"/>
    <n v="27.62"/>
    <n v="15182.3"/>
    <n v="804.67"/>
    <x v="1"/>
  </r>
  <r>
    <s v="ORD100628"/>
    <x v="228"/>
    <x v="9"/>
    <x v="12"/>
    <x v="0"/>
    <x v="2"/>
    <s v="Table"/>
    <x v="2"/>
    <n v="8"/>
    <n v="8004.39"/>
    <n v="8.44"/>
    <n v="58630.559999999998"/>
    <n v="9638.5"/>
    <x v="0"/>
  </r>
  <r>
    <s v="ORD100629"/>
    <x v="229"/>
    <x v="13"/>
    <x v="13"/>
    <x v="3"/>
    <x v="5"/>
    <s v="Monitor"/>
    <x v="0"/>
    <n v="10"/>
    <n v="15999.18"/>
    <n v="15.15"/>
    <n v="135753.04"/>
    <n v="32877.589999999997"/>
    <x v="1"/>
  </r>
  <r>
    <s v="ORD100630"/>
    <x v="229"/>
    <x v="2"/>
    <x v="14"/>
    <x v="4"/>
    <x v="2"/>
    <s v="Office Chair"/>
    <x v="0"/>
    <n v="4"/>
    <n v="17573.189999999999"/>
    <n v="11.49"/>
    <n v="62216.12"/>
    <n v="14295.33"/>
    <x v="4"/>
  </r>
  <r>
    <s v="ORD100631"/>
    <x v="230"/>
    <x v="4"/>
    <x v="0"/>
    <x v="3"/>
    <x v="2"/>
    <s v="Office Chair"/>
    <x v="2"/>
    <n v="5"/>
    <n v="2556.98"/>
    <n v="13.47"/>
    <n v="11062.77"/>
    <n v="2150.64"/>
    <x v="2"/>
  </r>
  <r>
    <s v="ORD100632"/>
    <x v="230"/>
    <x v="13"/>
    <x v="1"/>
    <x v="3"/>
    <x v="3"/>
    <s v="Yoga Mat"/>
    <x v="0"/>
    <n v="5"/>
    <n v="1175.05"/>
    <n v="23"/>
    <n v="4523.9399999999996"/>
    <n v="1319.04"/>
    <x v="2"/>
  </r>
  <r>
    <s v="ORD100633"/>
    <x v="230"/>
    <x v="2"/>
    <x v="2"/>
    <x v="0"/>
    <x v="5"/>
    <s v="Monitor"/>
    <x v="2"/>
    <n v="10"/>
    <n v="50646.25"/>
    <n v="13.67"/>
    <n v="437229.08"/>
    <n v="74549.45"/>
    <x v="3"/>
  </r>
  <r>
    <s v="ORD100634"/>
    <x v="231"/>
    <x v="13"/>
    <x v="3"/>
    <x v="1"/>
    <x v="0"/>
    <s v="Cooking Oil"/>
    <x v="1"/>
    <n v="5"/>
    <n v="384.23"/>
    <n v="5.16"/>
    <n v="1822.02"/>
    <n v="340.41"/>
    <x v="2"/>
  </r>
  <r>
    <s v="ORD100635"/>
    <x v="231"/>
    <x v="0"/>
    <x v="4"/>
    <x v="2"/>
    <x v="1"/>
    <s v="Jeans"/>
    <x v="2"/>
    <n v="8"/>
    <n v="4605.9799999999996"/>
    <n v="15.44"/>
    <n v="31158.53"/>
    <n v="2333.62"/>
    <x v="2"/>
  </r>
  <r>
    <s v="ORD100636"/>
    <x v="231"/>
    <x v="1"/>
    <x v="5"/>
    <x v="2"/>
    <x v="4"/>
    <s v="Comics"/>
    <x v="0"/>
    <n v="2"/>
    <n v="125.32"/>
    <n v="11.82"/>
    <n v="221.01"/>
    <n v="58.07"/>
    <x v="2"/>
  </r>
  <r>
    <s v="ORD100637"/>
    <x v="232"/>
    <x v="3"/>
    <x v="6"/>
    <x v="3"/>
    <x v="4"/>
    <s v="Dictionary"/>
    <x v="1"/>
    <n v="10"/>
    <n v="1826.16"/>
    <n v="8.15"/>
    <n v="16773.28"/>
    <n v="2164.66"/>
    <x v="0"/>
  </r>
  <r>
    <s v="ORD100638"/>
    <x v="232"/>
    <x v="5"/>
    <x v="7"/>
    <x v="1"/>
    <x v="1"/>
    <s v="Dress"/>
    <x v="1"/>
    <n v="5"/>
    <n v="3172.1"/>
    <n v="6.27"/>
    <n v="14866.05"/>
    <n v="3329.23"/>
    <x v="2"/>
  </r>
  <r>
    <s v="ORD100639"/>
    <x v="232"/>
    <x v="10"/>
    <x v="8"/>
    <x v="1"/>
    <x v="4"/>
    <s v="Dictionary"/>
    <x v="1"/>
    <n v="1"/>
    <n v="2463.17"/>
    <n v="6.27"/>
    <n v="2308.73"/>
    <n v="190.67"/>
    <x v="0"/>
  </r>
  <r>
    <s v="ORD100640"/>
    <x v="233"/>
    <x v="9"/>
    <x v="9"/>
    <x v="2"/>
    <x v="4"/>
    <s v="Textbook"/>
    <x v="0"/>
    <n v="9"/>
    <n v="121.07"/>
    <n v="11.46"/>
    <n v="964.76"/>
    <n v="121.03"/>
    <x v="0"/>
  </r>
  <r>
    <s v="ORD100641"/>
    <x v="233"/>
    <x v="12"/>
    <x v="10"/>
    <x v="1"/>
    <x v="4"/>
    <s v="Comics"/>
    <x v="1"/>
    <n v="6"/>
    <n v="1590.85"/>
    <n v="3.62"/>
    <n v="9199.57"/>
    <n v="2706.89"/>
    <x v="4"/>
  </r>
  <r>
    <s v="ORD100642"/>
    <x v="234"/>
    <x v="14"/>
    <x v="11"/>
    <x v="1"/>
    <x v="4"/>
    <s v="Textbook"/>
    <x v="1"/>
    <n v="10"/>
    <n v="1128.75"/>
    <n v="18.86"/>
    <n v="9158.68"/>
    <n v="950.57"/>
    <x v="4"/>
  </r>
  <r>
    <s v="ORD100643"/>
    <x v="234"/>
    <x v="13"/>
    <x v="12"/>
    <x v="2"/>
    <x v="1"/>
    <s v="T-Shirt"/>
    <x v="2"/>
    <n v="6"/>
    <n v="2689.36"/>
    <n v="11.97"/>
    <n v="14204.66"/>
    <n v="1570.53"/>
    <x v="0"/>
  </r>
  <r>
    <s v="ORD100644"/>
    <x v="234"/>
    <x v="14"/>
    <x v="13"/>
    <x v="1"/>
    <x v="2"/>
    <s v="Sofa"/>
    <x v="0"/>
    <n v="9"/>
    <n v="16800.79"/>
    <n v="7.17"/>
    <n v="140365.56"/>
    <n v="29086.3"/>
    <x v="4"/>
  </r>
  <r>
    <s v="ORD100645"/>
    <x v="235"/>
    <x v="14"/>
    <x v="14"/>
    <x v="1"/>
    <x v="1"/>
    <s v="Jacket"/>
    <x v="2"/>
    <n v="9"/>
    <n v="2811.9"/>
    <n v="22.69"/>
    <n v="19564.919999999998"/>
    <n v="2904.19"/>
    <x v="0"/>
  </r>
  <r>
    <s v="ORD100646"/>
    <x v="235"/>
    <x v="13"/>
    <x v="0"/>
    <x v="4"/>
    <x v="2"/>
    <s v="Sofa"/>
    <x v="1"/>
    <n v="4"/>
    <n v="12697.25"/>
    <n v="14.23"/>
    <n v="43561.73"/>
    <n v="4007.9"/>
    <x v="1"/>
  </r>
  <r>
    <s v="ORD100647"/>
    <x v="235"/>
    <x v="4"/>
    <x v="1"/>
    <x v="2"/>
    <x v="1"/>
    <s v="Jeans"/>
    <x v="0"/>
    <n v="6"/>
    <n v="1468.42"/>
    <n v="17.93"/>
    <n v="7230.79"/>
    <n v="1563.19"/>
    <x v="1"/>
  </r>
  <r>
    <s v="ORD100648"/>
    <x v="236"/>
    <x v="10"/>
    <x v="2"/>
    <x v="0"/>
    <x v="5"/>
    <s v="Monitor"/>
    <x v="1"/>
    <n v="7"/>
    <n v="20884.84"/>
    <n v="28.02"/>
    <n v="105230.35"/>
    <n v="8709.35"/>
    <x v="4"/>
  </r>
  <r>
    <s v="ORD100649"/>
    <x v="236"/>
    <x v="11"/>
    <x v="3"/>
    <x v="2"/>
    <x v="5"/>
    <s v="Monitor"/>
    <x v="2"/>
    <n v="10"/>
    <n v="46774.58"/>
    <n v="23.93"/>
    <n v="355814.23"/>
    <n v="94679.17"/>
    <x v="0"/>
  </r>
  <r>
    <s v="ORD100650"/>
    <x v="237"/>
    <x v="1"/>
    <x v="4"/>
    <x v="1"/>
    <x v="1"/>
    <s v="T-Shirt"/>
    <x v="1"/>
    <n v="6"/>
    <n v="6950.04"/>
    <n v="29.9"/>
    <n v="29231.87"/>
    <n v="4581.0600000000004"/>
    <x v="0"/>
  </r>
  <r>
    <s v="ORD100651"/>
    <x v="237"/>
    <x v="3"/>
    <x v="5"/>
    <x v="4"/>
    <x v="2"/>
    <s v="Table"/>
    <x v="2"/>
    <n v="4"/>
    <n v="3129.8"/>
    <n v="29.16"/>
    <n v="8868.6"/>
    <n v="1579.97"/>
    <x v="2"/>
  </r>
  <r>
    <s v="ORD100652"/>
    <x v="237"/>
    <x v="6"/>
    <x v="6"/>
    <x v="1"/>
    <x v="4"/>
    <s v="Notebook"/>
    <x v="1"/>
    <n v="2"/>
    <n v="521.61"/>
    <n v="15.4"/>
    <n v="882.56"/>
    <n v="201.97"/>
    <x v="3"/>
  </r>
  <r>
    <s v="ORD100653"/>
    <x v="238"/>
    <x v="13"/>
    <x v="7"/>
    <x v="4"/>
    <x v="0"/>
    <s v="Snacks"/>
    <x v="0"/>
    <n v="4"/>
    <n v="1158.76"/>
    <n v="24.62"/>
    <n v="3493.89"/>
    <n v="180.93"/>
    <x v="2"/>
  </r>
  <r>
    <s v="ORD100654"/>
    <x v="238"/>
    <x v="8"/>
    <x v="8"/>
    <x v="4"/>
    <x v="2"/>
    <s v="Desk"/>
    <x v="0"/>
    <n v="10"/>
    <n v="28677.18"/>
    <n v="29.51"/>
    <n v="202145.44"/>
    <n v="12642.95"/>
    <x v="2"/>
  </r>
  <r>
    <s v="ORD100655"/>
    <x v="238"/>
    <x v="3"/>
    <x v="9"/>
    <x v="2"/>
    <x v="3"/>
    <s v="Tennis Ball"/>
    <x v="0"/>
    <n v="1"/>
    <n v="414.1"/>
    <n v="23.23"/>
    <n v="317.89999999999998"/>
    <n v="26.58"/>
    <x v="1"/>
  </r>
  <r>
    <s v="ORD100656"/>
    <x v="239"/>
    <x v="5"/>
    <x v="10"/>
    <x v="0"/>
    <x v="1"/>
    <s v="Dress"/>
    <x v="0"/>
    <n v="2"/>
    <n v="380.95"/>
    <n v="22.86"/>
    <n v="587.73"/>
    <n v="160.63999999999999"/>
    <x v="0"/>
  </r>
  <r>
    <s v="ORD100657"/>
    <x v="239"/>
    <x v="0"/>
    <x v="11"/>
    <x v="1"/>
    <x v="2"/>
    <s v="Sofa"/>
    <x v="1"/>
    <n v="10"/>
    <n v="20876.599999999999"/>
    <n v="27.27"/>
    <n v="151835.51"/>
    <n v="37396.699999999997"/>
    <x v="0"/>
  </r>
  <r>
    <s v="ORD100658"/>
    <x v="239"/>
    <x v="5"/>
    <x v="12"/>
    <x v="0"/>
    <x v="0"/>
    <s v="Rice"/>
    <x v="0"/>
    <n v="5"/>
    <n v="471.3"/>
    <n v="17.39"/>
    <n v="1946.7"/>
    <n v="234.85"/>
    <x v="3"/>
  </r>
  <r>
    <s v="ORD100659"/>
    <x v="240"/>
    <x v="3"/>
    <x v="13"/>
    <x v="1"/>
    <x v="4"/>
    <s v="Notebook"/>
    <x v="2"/>
    <n v="10"/>
    <n v="1488.5"/>
    <n v="2.48"/>
    <n v="14515.85"/>
    <n v="1286.54"/>
    <x v="2"/>
  </r>
  <r>
    <s v="ORD100660"/>
    <x v="240"/>
    <x v="6"/>
    <x v="14"/>
    <x v="1"/>
    <x v="0"/>
    <s v="Coffee"/>
    <x v="0"/>
    <n v="2"/>
    <n v="944.5"/>
    <n v="29"/>
    <n v="1341.19"/>
    <n v="383.82"/>
    <x v="3"/>
  </r>
  <r>
    <s v="ORD100661"/>
    <x v="241"/>
    <x v="13"/>
    <x v="0"/>
    <x v="3"/>
    <x v="5"/>
    <s v="Laptop"/>
    <x v="1"/>
    <n v="2"/>
    <n v="75042.36"/>
    <n v="20.39"/>
    <n v="119482.45"/>
    <n v="23005.8"/>
    <x v="0"/>
  </r>
  <r>
    <s v="ORD100662"/>
    <x v="241"/>
    <x v="2"/>
    <x v="1"/>
    <x v="3"/>
    <x v="5"/>
    <s v="Laptop"/>
    <x v="0"/>
    <n v="2"/>
    <n v="36270.519999999997"/>
    <n v="20.79"/>
    <n v="57459.76"/>
    <n v="13404.79"/>
    <x v="1"/>
  </r>
  <r>
    <s v="ORD100663"/>
    <x v="241"/>
    <x v="1"/>
    <x v="2"/>
    <x v="2"/>
    <x v="5"/>
    <s v="Monitor"/>
    <x v="0"/>
    <n v="8"/>
    <n v="13948.37"/>
    <n v="29.32"/>
    <n v="78869.66"/>
    <n v="20768.689999999999"/>
    <x v="3"/>
  </r>
  <r>
    <s v="ORD100664"/>
    <x v="242"/>
    <x v="1"/>
    <x v="3"/>
    <x v="3"/>
    <x v="0"/>
    <s v="Tea"/>
    <x v="0"/>
    <n v="8"/>
    <n v="2100.16"/>
    <n v="15.46"/>
    <n v="14203.8"/>
    <n v="4226.6400000000003"/>
    <x v="1"/>
  </r>
  <r>
    <s v="ORD100665"/>
    <x v="242"/>
    <x v="8"/>
    <x v="4"/>
    <x v="2"/>
    <x v="1"/>
    <s v="T-Shirt"/>
    <x v="0"/>
    <n v="1"/>
    <n v="2971.58"/>
    <n v="12.95"/>
    <n v="2586.7600000000002"/>
    <n v="634.91"/>
    <x v="1"/>
  </r>
  <r>
    <s v="ORD100666"/>
    <x v="242"/>
    <x v="5"/>
    <x v="5"/>
    <x v="4"/>
    <x v="3"/>
    <s v="Badminton Racket"/>
    <x v="2"/>
    <n v="3"/>
    <n v="3512.22"/>
    <n v="21.16"/>
    <n v="8307.1"/>
    <n v="804.76"/>
    <x v="1"/>
  </r>
  <r>
    <s v="ORD100667"/>
    <x v="243"/>
    <x v="12"/>
    <x v="6"/>
    <x v="0"/>
    <x v="1"/>
    <s v="Dress"/>
    <x v="1"/>
    <n v="6"/>
    <n v="3730.49"/>
    <n v="29.01"/>
    <n v="15889.65"/>
    <n v="3063.52"/>
    <x v="3"/>
  </r>
  <r>
    <s v="ORD100668"/>
    <x v="243"/>
    <x v="12"/>
    <x v="7"/>
    <x v="2"/>
    <x v="4"/>
    <s v="Textbook"/>
    <x v="2"/>
    <n v="8"/>
    <n v="1499.45"/>
    <n v="21.54"/>
    <n v="9411.75"/>
    <n v="1345.98"/>
    <x v="1"/>
  </r>
  <r>
    <s v="ORD100669"/>
    <x v="243"/>
    <x v="7"/>
    <x v="8"/>
    <x v="2"/>
    <x v="5"/>
    <s v="Headphones"/>
    <x v="2"/>
    <n v="9"/>
    <n v="19897.63"/>
    <n v="29"/>
    <n v="127145.86"/>
    <n v="36813.120000000003"/>
    <x v="0"/>
  </r>
  <r>
    <s v="ORD100670"/>
    <x v="244"/>
    <x v="11"/>
    <x v="9"/>
    <x v="1"/>
    <x v="0"/>
    <s v="Rice"/>
    <x v="2"/>
    <n v="2"/>
    <n v="1601.98"/>
    <n v="20.63"/>
    <n v="2542.98"/>
    <n v="301.01"/>
    <x v="0"/>
  </r>
  <r>
    <s v="ORD100671"/>
    <x v="244"/>
    <x v="12"/>
    <x v="10"/>
    <x v="3"/>
    <x v="5"/>
    <s v="Laptop"/>
    <x v="2"/>
    <n v="7"/>
    <n v="25592.84"/>
    <n v="14.73"/>
    <n v="152761.1"/>
    <n v="19886.96"/>
    <x v="0"/>
  </r>
  <r>
    <s v="ORD100672"/>
    <x v="245"/>
    <x v="11"/>
    <x v="11"/>
    <x v="4"/>
    <x v="0"/>
    <s v="Cooking Oil"/>
    <x v="1"/>
    <n v="2"/>
    <n v="1361.9"/>
    <n v="17.3"/>
    <n v="2252.58"/>
    <n v="666.39"/>
    <x v="1"/>
  </r>
  <r>
    <s v="ORD100673"/>
    <x v="245"/>
    <x v="5"/>
    <x v="12"/>
    <x v="3"/>
    <x v="0"/>
    <s v="Tea"/>
    <x v="1"/>
    <n v="7"/>
    <n v="1513.33"/>
    <n v="0.23"/>
    <n v="10568.95"/>
    <n v="1828.67"/>
    <x v="4"/>
  </r>
  <r>
    <s v="ORD100674"/>
    <x v="245"/>
    <x v="13"/>
    <x v="13"/>
    <x v="0"/>
    <x v="0"/>
    <s v="Cooking Oil"/>
    <x v="1"/>
    <n v="5"/>
    <n v="1407.97"/>
    <n v="6.53"/>
    <n v="6580.15"/>
    <n v="549.08000000000004"/>
    <x v="2"/>
  </r>
  <r>
    <s v="ORD100675"/>
    <x v="246"/>
    <x v="2"/>
    <x v="14"/>
    <x v="4"/>
    <x v="0"/>
    <s v="Snacks"/>
    <x v="2"/>
    <n v="1"/>
    <n v="1879.69"/>
    <n v="16.34"/>
    <n v="1572.55"/>
    <n v="128.02000000000001"/>
    <x v="1"/>
  </r>
  <r>
    <s v="ORD100676"/>
    <x v="246"/>
    <x v="11"/>
    <x v="0"/>
    <x v="0"/>
    <x v="4"/>
    <s v="Textbook"/>
    <x v="1"/>
    <n v="9"/>
    <n v="621.89"/>
    <n v="11"/>
    <n v="4981.34"/>
    <n v="735.89"/>
    <x v="1"/>
  </r>
  <r>
    <s v="ORD100677"/>
    <x v="246"/>
    <x v="1"/>
    <x v="1"/>
    <x v="4"/>
    <x v="0"/>
    <s v="Rice"/>
    <x v="0"/>
    <n v="5"/>
    <n v="250.71"/>
    <n v="9.51"/>
    <n v="1134.3399999999999"/>
    <n v="132.38"/>
    <x v="0"/>
  </r>
  <r>
    <s v="ORD100678"/>
    <x v="247"/>
    <x v="14"/>
    <x v="2"/>
    <x v="3"/>
    <x v="3"/>
    <s v="Tennis Ball"/>
    <x v="0"/>
    <n v="6"/>
    <n v="6934.9"/>
    <n v="9.39"/>
    <n v="37702.28"/>
    <n v="2459.1799999999998"/>
    <x v="2"/>
  </r>
  <r>
    <s v="ORD100679"/>
    <x v="247"/>
    <x v="0"/>
    <x v="3"/>
    <x v="0"/>
    <x v="0"/>
    <s v="Cooking Oil"/>
    <x v="1"/>
    <n v="4"/>
    <n v="569.27"/>
    <n v="25.99"/>
    <n v="1685.27"/>
    <n v="271.41000000000003"/>
    <x v="0"/>
  </r>
  <r>
    <s v="ORD100680"/>
    <x v="247"/>
    <x v="14"/>
    <x v="4"/>
    <x v="1"/>
    <x v="2"/>
    <s v="Sofa"/>
    <x v="0"/>
    <n v="8"/>
    <n v="36480"/>
    <n v="25.55"/>
    <n v="217274.88"/>
    <n v="13719.52"/>
    <x v="0"/>
  </r>
  <r>
    <s v="ORD100681"/>
    <x v="248"/>
    <x v="6"/>
    <x v="5"/>
    <x v="0"/>
    <x v="4"/>
    <s v="Textbook"/>
    <x v="0"/>
    <n v="1"/>
    <n v="1052.29"/>
    <n v="12.94"/>
    <n v="916.12"/>
    <n v="176.19"/>
    <x v="4"/>
  </r>
  <r>
    <s v="ORD100682"/>
    <x v="248"/>
    <x v="3"/>
    <x v="6"/>
    <x v="0"/>
    <x v="1"/>
    <s v="Shoes"/>
    <x v="0"/>
    <n v="8"/>
    <n v="4510.99"/>
    <n v="21.43"/>
    <n v="28354.28"/>
    <n v="4569.49"/>
    <x v="2"/>
  </r>
  <r>
    <s v="ORD100683"/>
    <x v="249"/>
    <x v="2"/>
    <x v="7"/>
    <x v="4"/>
    <x v="2"/>
    <s v="Office Chair"/>
    <x v="0"/>
    <n v="4"/>
    <n v="13589.58"/>
    <n v="7.74"/>
    <n v="50150.99"/>
    <n v="8324.8799999999992"/>
    <x v="1"/>
  </r>
  <r>
    <s v="ORD100684"/>
    <x v="249"/>
    <x v="4"/>
    <x v="8"/>
    <x v="2"/>
    <x v="3"/>
    <s v="Tennis Ball"/>
    <x v="0"/>
    <n v="7"/>
    <n v="1240.9000000000001"/>
    <n v="23.28"/>
    <n v="6664.13"/>
    <n v="1679.29"/>
    <x v="0"/>
  </r>
  <r>
    <s v="ORD100685"/>
    <x v="249"/>
    <x v="3"/>
    <x v="9"/>
    <x v="1"/>
    <x v="5"/>
    <s v="Keyboard"/>
    <x v="1"/>
    <n v="8"/>
    <n v="46399.6"/>
    <n v="19.39"/>
    <n v="299221.74"/>
    <n v="49249.17"/>
    <x v="4"/>
  </r>
  <r>
    <s v="ORD100686"/>
    <x v="250"/>
    <x v="13"/>
    <x v="10"/>
    <x v="0"/>
    <x v="3"/>
    <s v="Tennis Ball"/>
    <x v="2"/>
    <n v="5"/>
    <n v="4463.1400000000003"/>
    <n v="8.7799999999999994"/>
    <n v="20356.38"/>
    <n v="3793.55"/>
    <x v="3"/>
  </r>
  <r>
    <s v="ORD100687"/>
    <x v="250"/>
    <x v="0"/>
    <x v="11"/>
    <x v="1"/>
    <x v="3"/>
    <s v="Badminton Racket"/>
    <x v="1"/>
    <n v="2"/>
    <n v="8795.85"/>
    <n v="15.85"/>
    <n v="14803.42"/>
    <n v="2469.44"/>
    <x v="0"/>
  </r>
  <r>
    <s v="ORD100688"/>
    <x v="250"/>
    <x v="0"/>
    <x v="12"/>
    <x v="3"/>
    <x v="4"/>
    <s v="Dictionary"/>
    <x v="1"/>
    <n v="4"/>
    <n v="1602.53"/>
    <n v="2.2599999999999998"/>
    <n v="6265.25"/>
    <n v="489.31"/>
    <x v="4"/>
  </r>
  <r>
    <s v="ORD100689"/>
    <x v="251"/>
    <x v="13"/>
    <x v="13"/>
    <x v="0"/>
    <x v="4"/>
    <s v="Notebook"/>
    <x v="0"/>
    <n v="6"/>
    <n v="1028.07"/>
    <n v="24.63"/>
    <n v="4649.1400000000003"/>
    <n v="1359.28"/>
    <x v="2"/>
  </r>
  <r>
    <s v="ORD100690"/>
    <x v="251"/>
    <x v="5"/>
    <x v="14"/>
    <x v="2"/>
    <x v="3"/>
    <s v="Tennis Ball"/>
    <x v="1"/>
    <n v="10"/>
    <n v="3541.43"/>
    <n v="29.93"/>
    <n v="24814.799999999999"/>
    <n v="2875.73"/>
    <x v="3"/>
  </r>
  <r>
    <s v="ORD100691"/>
    <x v="251"/>
    <x v="0"/>
    <x v="0"/>
    <x v="2"/>
    <x v="3"/>
    <s v="Football"/>
    <x v="1"/>
    <n v="1"/>
    <n v="8396.51"/>
    <n v="29.23"/>
    <n v="5942.21"/>
    <n v="1746.42"/>
    <x v="4"/>
  </r>
  <r>
    <s v="ORD100692"/>
    <x v="252"/>
    <x v="0"/>
    <x v="1"/>
    <x v="2"/>
    <x v="1"/>
    <s v="T-Shirt"/>
    <x v="1"/>
    <n v="3"/>
    <n v="4451.7700000000004"/>
    <n v="7.65"/>
    <n v="12333.63"/>
    <n v="2984.36"/>
    <x v="1"/>
  </r>
  <r>
    <s v="ORD100693"/>
    <x v="252"/>
    <x v="5"/>
    <x v="2"/>
    <x v="3"/>
    <x v="2"/>
    <s v="Desk"/>
    <x v="2"/>
    <n v="10"/>
    <n v="3148.96"/>
    <n v="12.81"/>
    <n v="27455.78"/>
    <n v="4592.1499999999996"/>
    <x v="0"/>
  </r>
  <r>
    <s v="ORD100694"/>
    <x v="253"/>
    <x v="7"/>
    <x v="3"/>
    <x v="3"/>
    <x v="0"/>
    <s v="Snacks"/>
    <x v="0"/>
    <n v="1"/>
    <n v="1047.78"/>
    <n v="27.42"/>
    <n v="760.48"/>
    <n v="224.54"/>
    <x v="2"/>
  </r>
  <r>
    <s v="ORD100695"/>
    <x v="253"/>
    <x v="3"/>
    <x v="4"/>
    <x v="0"/>
    <x v="4"/>
    <s v="Textbook"/>
    <x v="0"/>
    <n v="6"/>
    <n v="836.63"/>
    <n v="1.71"/>
    <n v="4933.9399999999996"/>
    <n v="669.85"/>
    <x v="2"/>
  </r>
  <r>
    <s v="ORD100696"/>
    <x v="253"/>
    <x v="0"/>
    <x v="5"/>
    <x v="3"/>
    <x v="1"/>
    <s v="Dress"/>
    <x v="2"/>
    <n v="8"/>
    <n v="7869.6"/>
    <n v="14.82"/>
    <n v="53626.6"/>
    <n v="14336.43"/>
    <x v="1"/>
  </r>
  <r>
    <s v="ORD100697"/>
    <x v="254"/>
    <x v="7"/>
    <x v="6"/>
    <x v="0"/>
    <x v="3"/>
    <s v="Cricket Bat"/>
    <x v="2"/>
    <n v="8"/>
    <n v="2583.16"/>
    <n v="16.52"/>
    <n v="17251.38"/>
    <n v="1692.76"/>
    <x v="2"/>
  </r>
  <r>
    <s v="ORD100698"/>
    <x v="254"/>
    <x v="13"/>
    <x v="7"/>
    <x v="3"/>
    <x v="0"/>
    <s v="Cooking Oil"/>
    <x v="0"/>
    <n v="2"/>
    <n v="1060.07"/>
    <n v="16.39"/>
    <n v="1772.65"/>
    <n v="129.12"/>
    <x v="0"/>
  </r>
  <r>
    <s v="ORD100699"/>
    <x v="254"/>
    <x v="5"/>
    <x v="8"/>
    <x v="2"/>
    <x v="0"/>
    <s v="Snacks"/>
    <x v="2"/>
    <n v="6"/>
    <n v="1233.3900000000001"/>
    <n v="28.43"/>
    <n v="5296.42"/>
    <n v="789.95"/>
    <x v="2"/>
  </r>
  <r>
    <s v="ORD100700"/>
    <x v="255"/>
    <x v="5"/>
    <x v="9"/>
    <x v="0"/>
    <x v="5"/>
    <s v="Laptop"/>
    <x v="0"/>
    <n v="9"/>
    <n v="23082.639999999999"/>
    <n v="29.84"/>
    <n v="145753.01999999999"/>
    <n v="42507.37"/>
    <x v="1"/>
  </r>
  <r>
    <s v="ORD100701"/>
    <x v="255"/>
    <x v="11"/>
    <x v="10"/>
    <x v="4"/>
    <x v="0"/>
    <s v="Coffee"/>
    <x v="1"/>
    <n v="8"/>
    <n v="2237.9699999999998"/>
    <n v="20.260000000000002"/>
    <n v="14276.46"/>
    <n v="1448.64"/>
    <x v="4"/>
  </r>
  <r>
    <s v="ORD100702"/>
    <x v="255"/>
    <x v="13"/>
    <x v="11"/>
    <x v="2"/>
    <x v="3"/>
    <s v="Football"/>
    <x v="0"/>
    <n v="9"/>
    <n v="7640.54"/>
    <n v="18.59"/>
    <n v="55981.47"/>
    <n v="3882.48"/>
    <x v="2"/>
  </r>
  <r>
    <s v="ORD100703"/>
    <x v="256"/>
    <x v="2"/>
    <x v="12"/>
    <x v="3"/>
    <x v="1"/>
    <s v="Shoes"/>
    <x v="2"/>
    <n v="10"/>
    <n v="5060.79"/>
    <n v="23.44"/>
    <n v="38745.410000000003"/>
    <n v="8749.4599999999991"/>
    <x v="2"/>
  </r>
  <r>
    <s v="ORD100704"/>
    <x v="256"/>
    <x v="5"/>
    <x v="13"/>
    <x v="4"/>
    <x v="0"/>
    <s v="Coffee"/>
    <x v="1"/>
    <n v="1"/>
    <n v="106.55"/>
    <n v="12.96"/>
    <n v="92.74"/>
    <n v="5.4"/>
    <x v="1"/>
  </r>
  <r>
    <s v="ORD100705"/>
    <x v="257"/>
    <x v="9"/>
    <x v="14"/>
    <x v="3"/>
    <x v="3"/>
    <s v="Badminton Racket"/>
    <x v="1"/>
    <n v="8"/>
    <n v="2506.7600000000002"/>
    <n v="14.83"/>
    <n v="17080.060000000001"/>
    <n v="4760.3599999999997"/>
    <x v="0"/>
  </r>
  <r>
    <s v="ORD100706"/>
    <x v="257"/>
    <x v="12"/>
    <x v="0"/>
    <x v="0"/>
    <x v="0"/>
    <s v="Tea"/>
    <x v="0"/>
    <n v="1"/>
    <n v="797.47"/>
    <n v="26.85"/>
    <n v="583.35"/>
    <n v="112.87"/>
    <x v="4"/>
  </r>
  <r>
    <s v="ORD100707"/>
    <x v="257"/>
    <x v="2"/>
    <x v="1"/>
    <x v="4"/>
    <x v="1"/>
    <s v="Dress"/>
    <x v="2"/>
    <n v="5"/>
    <n v="3422.13"/>
    <n v="29.52"/>
    <n v="12059.59"/>
    <n v="1484.08"/>
    <x v="4"/>
  </r>
  <r>
    <s v="ORD100708"/>
    <x v="258"/>
    <x v="12"/>
    <x v="2"/>
    <x v="4"/>
    <x v="1"/>
    <s v="Jacket"/>
    <x v="1"/>
    <n v="7"/>
    <n v="7066.35"/>
    <n v="5.9"/>
    <n v="46546.05"/>
    <n v="13350.57"/>
    <x v="0"/>
  </r>
  <r>
    <s v="ORD100709"/>
    <x v="258"/>
    <x v="8"/>
    <x v="3"/>
    <x v="0"/>
    <x v="0"/>
    <s v="Cooking Oil"/>
    <x v="2"/>
    <n v="5"/>
    <n v="2839.86"/>
    <n v="20.3"/>
    <n v="11316.84"/>
    <n v="1419.09"/>
    <x v="0"/>
  </r>
  <r>
    <s v="ORD100710"/>
    <x v="258"/>
    <x v="8"/>
    <x v="4"/>
    <x v="0"/>
    <x v="5"/>
    <s v="Laptop"/>
    <x v="0"/>
    <n v="10"/>
    <n v="41304.21"/>
    <n v="3.22"/>
    <n v="399742.14"/>
    <n v="62308.01"/>
    <x v="0"/>
  </r>
  <r>
    <s v="ORD100711"/>
    <x v="259"/>
    <x v="12"/>
    <x v="5"/>
    <x v="4"/>
    <x v="4"/>
    <s v="Dictionary"/>
    <x v="2"/>
    <n v="4"/>
    <n v="500.44"/>
    <n v="27.71"/>
    <n v="1447.07"/>
    <n v="369.54"/>
    <x v="4"/>
  </r>
  <r>
    <s v="ORD100712"/>
    <x v="259"/>
    <x v="9"/>
    <x v="6"/>
    <x v="2"/>
    <x v="4"/>
    <s v="Comics"/>
    <x v="1"/>
    <n v="7"/>
    <n v="142.41"/>
    <n v="3.08"/>
    <n v="966.17"/>
    <n v="89.9"/>
    <x v="1"/>
  </r>
  <r>
    <s v="ORD100713"/>
    <x v="260"/>
    <x v="9"/>
    <x v="7"/>
    <x v="0"/>
    <x v="5"/>
    <s v="Laptop"/>
    <x v="2"/>
    <n v="5"/>
    <n v="15082.18"/>
    <n v="0.21"/>
    <n v="75252.539999999994"/>
    <n v="12548.7"/>
    <x v="4"/>
  </r>
  <r>
    <s v="ORD100714"/>
    <x v="260"/>
    <x v="11"/>
    <x v="8"/>
    <x v="2"/>
    <x v="1"/>
    <s v="Dress"/>
    <x v="0"/>
    <n v="2"/>
    <n v="1124.1199999999999"/>
    <n v="23.42"/>
    <n v="1721.7"/>
    <n v="477.86"/>
    <x v="0"/>
  </r>
  <r>
    <s v="ORD100715"/>
    <x v="260"/>
    <x v="7"/>
    <x v="9"/>
    <x v="1"/>
    <x v="1"/>
    <s v="Shoes"/>
    <x v="2"/>
    <n v="1"/>
    <n v="1057.26"/>
    <n v="13.48"/>
    <n v="914.74"/>
    <n v="260.81"/>
    <x v="3"/>
  </r>
  <r>
    <s v="ORD100716"/>
    <x v="261"/>
    <x v="5"/>
    <x v="10"/>
    <x v="3"/>
    <x v="5"/>
    <s v="Laptop"/>
    <x v="2"/>
    <n v="4"/>
    <n v="5849.13"/>
    <n v="8.0399999999999991"/>
    <n v="21515.439999999999"/>
    <n v="5982.41"/>
    <x v="3"/>
  </r>
  <r>
    <s v="ORD100717"/>
    <x v="261"/>
    <x v="0"/>
    <x v="11"/>
    <x v="0"/>
    <x v="3"/>
    <s v="Football"/>
    <x v="1"/>
    <n v="4"/>
    <n v="6342.18"/>
    <n v="4.38"/>
    <n v="24257.57"/>
    <n v="6203.9"/>
    <x v="4"/>
  </r>
  <r>
    <s v="ORD100718"/>
    <x v="261"/>
    <x v="13"/>
    <x v="12"/>
    <x v="4"/>
    <x v="3"/>
    <s v="Football"/>
    <x v="0"/>
    <n v="6"/>
    <n v="365.75"/>
    <n v="27.29"/>
    <n v="1595.62"/>
    <n v="187.34"/>
    <x v="2"/>
  </r>
  <r>
    <s v="ORD100719"/>
    <x v="262"/>
    <x v="4"/>
    <x v="13"/>
    <x v="1"/>
    <x v="0"/>
    <s v="Rice"/>
    <x v="1"/>
    <n v="4"/>
    <n v="2751.65"/>
    <n v="15.09"/>
    <n v="9345.7000000000007"/>
    <n v="2325"/>
    <x v="2"/>
  </r>
  <r>
    <s v="ORD100720"/>
    <x v="262"/>
    <x v="6"/>
    <x v="14"/>
    <x v="3"/>
    <x v="5"/>
    <s v="Smartphone"/>
    <x v="0"/>
    <n v="1"/>
    <n v="24304.14"/>
    <n v="3"/>
    <n v="23575.02"/>
    <n v="2780.19"/>
    <x v="2"/>
  </r>
  <r>
    <s v="ORD100721"/>
    <x v="262"/>
    <x v="6"/>
    <x v="0"/>
    <x v="1"/>
    <x v="3"/>
    <s v="Cricket Bat"/>
    <x v="1"/>
    <n v="10"/>
    <n v="4114.4399999999996"/>
    <n v="12.57"/>
    <n v="35972.550000000003"/>
    <n v="6426.15"/>
    <x v="0"/>
  </r>
  <r>
    <s v="ORD100722"/>
    <x v="263"/>
    <x v="1"/>
    <x v="1"/>
    <x v="3"/>
    <x v="1"/>
    <s v="T-Shirt"/>
    <x v="2"/>
    <n v="2"/>
    <n v="839.53"/>
    <n v="1.7"/>
    <n v="1650.52"/>
    <n v="132.19999999999999"/>
    <x v="2"/>
  </r>
  <r>
    <s v="ORD100723"/>
    <x v="263"/>
    <x v="3"/>
    <x v="2"/>
    <x v="4"/>
    <x v="3"/>
    <s v="Tennis Ball"/>
    <x v="2"/>
    <n v="10"/>
    <n v="819.19"/>
    <n v="18.329999999999998"/>
    <n v="6690.32"/>
    <n v="1979.89"/>
    <x v="2"/>
  </r>
  <r>
    <s v="ORD100724"/>
    <x v="264"/>
    <x v="0"/>
    <x v="3"/>
    <x v="2"/>
    <x v="3"/>
    <s v="Badminton Racket"/>
    <x v="2"/>
    <n v="3"/>
    <n v="4850.43"/>
    <n v="24.48"/>
    <n v="10989.13"/>
    <n v="1736.47"/>
    <x v="3"/>
  </r>
  <r>
    <s v="ORD100725"/>
    <x v="264"/>
    <x v="12"/>
    <x v="4"/>
    <x v="1"/>
    <x v="2"/>
    <s v="Sofa"/>
    <x v="2"/>
    <n v="1"/>
    <n v="28883.16"/>
    <n v="7.46"/>
    <n v="26728.48"/>
    <n v="7418.6"/>
    <x v="0"/>
  </r>
  <r>
    <s v="ORD100726"/>
    <x v="264"/>
    <x v="12"/>
    <x v="5"/>
    <x v="4"/>
    <x v="3"/>
    <s v="Tennis Ball"/>
    <x v="1"/>
    <n v="2"/>
    <n v="3583.59"/>
    <n v="5.18"/>
    <n v="6795.92"/>
    <n v="1396.53"/>
    <x v="3"/>
  </r>
  <r>
    <s v="ORD100727"/>
    <x v="265"/>
    <x v="8"/>
    <x v="6"/>
    <x v="0"/>
    <x v="1"/>
    <s v="Dress"/>
    <x v="1"/>
    <n v="8"/>
    <n v="6951.18"/>
    <n v="12.2"/>
    <n v="48825.09"/>
    <n v="11746.84"/>
    <x v="1"/>
  </r>
  <r>
    <s v="ORD100728"/>
    <x v="265"/>
    <x v="14"/>
    <x v="7"/>
    <x v="4"/>
    <x v="2"/>
    <s v="Bookshelf"/>
    <x v="1"/>
    <n v="3"/>
    <n v="21202.6"/>
    <n v="0.22"/>
    <n v="63467.86"/>
    <n v="9880.15"/>
    <x v="2"/>
  </r>
  <r>
    <s v="ORD100729"/>
    <x v="265"/>
    <x v="13"/>
    <x v="8"/>
    <x v="2"/>
    <x v="1"/>
    <s v="T-Shirt"/>
    <x v="0"/>
    <n v="7"/>
    <n v="3248.35"/>
    <n v="5.34"/>
    <n v="21524.22"/>
    <n v="2968.84"/>
    <x v="2"/>
  </r>
  <r>
    <s v="ORD100730"/>
    <x v="266"/>
    <x v="2"/>
    <x v="9"/>
    <x v="4"/>
    <x v="5"/>
    <s v="Smartphone"/>
    <x v="1"/>
    <n v="5"/>
    <n v="21034.880000000001"/>
    <n v="26.01"/>
    <n v="77818.539999999994"/>
    <n v="16911.3"/>
    <x v="4"/>
  </r>
  <r>
    <s v="ORD100731"/>
    <x v="266"/>
    <x v="9"/>
    <x v="10"/>
    <x v="4"/>
    <x v="2"/>
    <s v="Table"/>
    <x v="2"/>
    <n v="10"/>
    <n v="14990.96"/>
    <n v="29.87"/>
    <n v="105131.6"/>
    <n v="17877.2"/>
    <x v="4"/>
  </r>
  <r>
    <s v="ORD100732"/>
    <x v="266"/>
    <x v="1"/>
    <x v="11"/>
    <x v="3"/>
    <x v="5"/>
    <s v="Smartphone"/>
    <x v="0"/>
    <n v="6"/>
    <n v="559.44000000000005"/>
    <n v="17.82"/>
    <n v="2758.49"/>
    <n v="633.97"/>
    <x v="2"/>
  </r>
  <r>
    <s v="ORD100733"/>
    <x v="267"/>
    <x v="2"/>
    <x v="12"/>
    <x v="3"/>
    <x v="2"/>
    <s v="Desk"/>
    <x v="0"/>
    <n v="7"/>
    <n v="37460.83"/>
    <n v="19.11"/>
    <n v="212114.46"/>
    <n v="58260.83"/>
    <x v="2"/>
  </r>
  <r>
    <s v="ORD100734"/>
    <x v="267"/>
    <x v="12"/>
    <x v="13"/>
    <x v="4"/>
    <x v="4"/>
    <s v="Novel"/>
    <x v="0"/>
    <n v="10"/>
    <n v="1967.16"/>
    <n v="6.61"/>
    <n v="18371.310000000001"/>
    <n v="1674.39"/>
    <x v="4"/>
  </r>
  <r>
    <s v="ORD100735"/>
    <x v="268"/>
    <x v="0"/>
    <x v="14"/>
    <x v="4"/>
    <x v="1"/>
    <s v="Jeans"/>
    <x v="1"/>
    <n v="2"/>
    <n v="1264.27"/>
    <n v="11.46"/>
    <n v="2238.77"/>
    <n v="127.74"/>
    <x v="1"/>
  </r>
  <r>
    <s v="ORD100736"/>
    <x v="268"/>
    <x v="11"/>
    <x v="0"/>
    <x v="1"/>
    <x v="2"/>
    <s v="Office Chair"/>
    <x v="0"/>
    <n v="4"/>
    <n v="38526.300000000003"/>
    <n v="28.93"/>
    <n v="109522.57"/>
    <n v="13401.08"/>
    <x v="1"/>
  </r>
  <r>
    <s v="ORD100737"/>
    <x v="268"/>
    <x v="8"/>
    <x v="1"/>
    <x v="0"/>
    <x v="0"/>
    <s v="Snacks"/>
    <x v="2"/>
    <n v="2"/>
    <n v="346.35"/>
    <n v="15.27"/>
    <n v="586.91999999999996"/>
    <n v="32.97"/>
    <x v="0"/>
  </r>
  <r>
    <s v="ORD100738"/>
    <x v="269"/>
    <x v="14"/>
    <x v="2"/>
    <x v="0"/>
    <x v="1"/>
    <s v="Jeans"/>
    <x v="2"/>
    <n v="3"/>
    <n v="5191.54"/>
    <n v="1.25"/>
    <n v="15379.94"/>
    <n v="1564.13"/>
    <x v="3"/>
  </r>
  <r>
    <s v="ORD100739"/>
    <x v="269"/>
    <x v="13"/>
    <x v="3"/>
    <x v="1"/>
    <x v="1"/>
    <s v="Jeans"/>
    <x v="1"/>
    <n v="8"/>
    <n v="354.61"/>
    <n v="20.41"/>
    <n v="2257.87"/>
    <n v="578.83000000000004"/>
    <x v="4"/>
  </r>
  <r>
    <s v="ORD100740"/>
    <x v="269"/>
    <x v="4"/>
    <x v="4"/>
    <x v="1"/>
    <x v="3"/>
    <s v="Cricket Bat"/>
    <x v="0"/>
    <n v="1"/>
    <n v="1391.73"/>
    <n v="18.989999999999998"/>
    <n v="1127.44"/>
    <n v="309.77"/>
    <x v="3"/>
  </r>
  <r>
    <s v="ORD100741"/>
    <x v="270"/>
    <x v="1"/>
    <x v="5"/>
    <x v="1"/>
    <x v="4"/>
    <s v="Notebook"/>
    <x v="0"/>
    <n v="10"/>
    <n v="434.33"/>
    <n v="15.61"/>
    <n v="3665.31"/>
    <n v="217.27"/>
    <x v="1"/>
  </r>
  <r>
    <s v="ORD100742"/>
    <x v="270"/>
    <x v="4"/>
    <x v="6"/>
    <x v="1"/>
    <x v="2"/>
    <s v="Sofa"/>
    <x v="0"/>
    <n v="3"/>
    <n v="33195.86"/>
    <n v="23.74"/>
    <n v="75945.490000000005"/>
    <n v="7611.85"/>
    <x v="2"/>
  </r>
  <r>
    <s v="ORD100743"/>
    <x v="270"/>
    <x v="2"/>
    <x v="7"/>
    <x v="1"/>
    <x v="1"/>
    <s v="Shoes"/>
    <x v="1"/>
    <n v="3"/>
    <n v="4669.3100000000004"/>
    <n v="11.31"/>
    <n v="12423.63"/>
    <n v="3618.16"/>
    <x v="0"/>
  </r>
  <r>
    <s v="ORD100744"/>
    <x v="271"/>
    <x v="12"/>
    <x v="8"/>
    <x v="1"/>
    <x v="0"/>
    <s v="Tea"/>
    <x v="0"/>
    <n v="7"/>
    <n v="810.45"/>
    <n v="21.04"/>
    <n v="4479.5200000000004"/>
    <n v="240.07"/>
    <x v="4"/>
  </r>
  <r>
    <s v="ORD100745"/>
    <x v="271"/>
    <x v="12"/>
    <x v="9"/>
    <x v="4"/>
    <x v="4"/>
    <s v="Comics"/>
    <x v="2"/>
    <n v="5"/>
    <n v="1202.95"/>
    <n v="14.97"/>
    <n v="5114.34"/>
    <n v="348.05"/>
    <x v="3"/>
  </r>
  <r>
    <s v="ORD100746"/>
    <x v="272"/>
    <x v="6"/>
    <x v="10"/>
    <x v="2"/>
    <x v="2"/>
    <s v="Office Chair"/>
    <x v="0"/>
    <n v="9"/>
    <n v="32950.129999999997"/>
    <n v="16.100000000000001"/>
    <n v="248806.43"/>
    <n v="65930.02"/>
    <x v="3"/>
  </r>
  <r>
    <s v="ORD100747"/>
    <x v="272"/>
    <x v="4"/>
    <x v="11"/>
    <x v="0"/>
    <x v="1"/>
    <s v="Jacket"/>
    <x v="0"/>
    <n v="5"/>
    <n v="4803.97"/>
    <n v="7.99"/>
    <n v="22100.66"/>
    <n v="1278.21"/>
    <x v="0"/>
  </r>
  <r>
    <s v="ORD100748"/>
    <x v="272"/>
    <x v="11"/>
    <x v="12"/>
    <x v="2"/>
    <x v="4"/>
    <s v="Novel"/>
    <x v="0"/>
    <n v="8"/>
    <n v="1350.12"/>
    <n v="20.079999999999998"/>
    <n v="8632.1299999999992"/>
    <n v="2190.44"/>
    <x v="2"/>
  </r>
  <r>
    <s v="ORD100749"/>
    <x v="273"/>
    <x v="2"/>
    <x v="13"/>
    <x v="3"/>
    <x v="2"/>
    <s v="Office Chair"/>
    <x v="0"/>
    <n v="8"/>
    <n v="4083.96"/>
    <n v="13.43"/>
    <n v="28283.87"/>
    <n v="2134.67"/>
    <x v="0"/>
  </r>
  <r>
    <s v="ORD100750"/>
    <x v="273"/>
    <x v="13"/>
    <x v="14"/>
    <x v="3"/>
    <x v="1"/>
    <s v="Jeans"/>
    <x v="0"/>
    <n v="4"/>
    <n v="1044.1300000000001"/>
    <n v="8.2200000000000006"/>
    <n v="3833.21"/>
    <n v="498.37"/>
    <x v="4"/>
  </r>
  <r>
    <s v="ORD100751"/>
    <x v="273"/>
    <x v="12"/>
    <x v="0"/>
    <x v="1"/>
    <x v="0"/>
    <s v="Cooking Oil"/>
    <x v="1"/>
    <n v="5"/>
    <n v="424.98"/>
    <n v="12.83"/>
    <n v="1852.28"/>
    <n v="167.1"/>
    <x v="2"/>
  </r>
  <r>
    <s v="ORD100752"/>
    <x v="274"/>
    <x v="9"/>
    <x v="1"/>
    <x v="3"/>
    <x v="3"/>
    <s v="Cricket Bat"/>
    <x v="2"/>
    <n v="1"/>
    <n v="8183.33"/>
    <n v="28.08"/>
    <n v="5885.45"/>
    <n v="1049.8399999999999"/>
    <x v="2"/>
  </r>
  <r>
    <s v="ORD100753"/>
    <x v="274"/>
    <x v="10"/>
    <x v="2"/>
    <x v="4"/>
    <x v="0"/>
    <s v="Tea"/>
    <x v="1"/>
    <n v="5"/>
    <n v="1504.3"/>
    <n v="14.16"/>
    <n v="6456.46"/>
    <n v="1114.24"/>
    <x v="4"/>
  </r>
  <r>
    <s v="ORD100754"/>
    <x v="274"/>
    <x v="7"/>
    <x v="3"/>
    <x v="3"/>
    <x v="5"/>
    <s v="Laptop"/>
    <x v="0"/>
    <n v="6"/>
    <n v="46035.41"/>
    <n v="7.15"/>
    <n v="256463.27"/>
    <n v="63728.24"/>
    <x v="0"/>
  </r>
  <r>
    <s v="ORD100755"/>
    <x v="275"/>
    <x v="5"/>
    <x v="4"/>
    <x v="4"/>
    <x v="2"/>
    <s v="Desk"/>
    <x v="1"/>
    <n v="8"/>
    <n v="38021.97"/>
    <n v="9.15"/>
    <n v="276343.67999999999"/>
    <n v="25482.98"/>
    <x v="1"/>
  </r>
  <r>
    <s v="ORD100756"/>
    <x v="275"/>
    <x v="9"/>
    <x v="5"/>
    <x v="4"/>
    <x v="2"/>
    <s v="Sofa"/>
    <x v="2"/>
    <n v="3"/>
    <n v="18444.810000000001"/>
    <n v="28.97"/>
    <n v="39304.050000000003"/>
    <n v="5673.03"/>
    <x v="1"/>
  </r>
  <r>
    <s v="ORD100757"/>
    <x v="276"/>
    <x v="11"/>
    <x v="6"/>
    <x v="4"/>
    <x v="0"/>
    <s v="Rice"/>
    <x v="1"/>
    <n v="2"/>
    <n v="276.04000000000002"/>
    <n v="19.920000000000002"/>
    <n v="442.11"/>
    <n v="48.36"/>
    <x v="3"/>
  </r>
  <r>
    <s v="ORD100758"/>
    <x v="276"/>
    <x v="13"/>
    <x v="7"/>
    <x v="3"/>
    <x v="4"/>
    <s v="Dictionary"/>
    <x v="1"/>
    <n v="2"/>
    <n v="1500.22"/>
    <n v="13.88"/>
    <n v="2583.98"/>
    <n v="657.82"/>
    <x v="1"/>
  </r>
  <r>
    <s v="ORD100759"/>
    <x v="276"/>
    <x v="8"/>
    <x v="8"/>
    <x v="1"/>
    <x v="4"/>
    <s v="Textbook"/>
    <x v="1"/>
    <n v="1"/>
    <n v="1346.1"/>
    <n v="7.03"/>
    <n v="1251.47"/>
    <n v="101.23"/>
    <x v="1"/>
  </r>
  <r>
    <s v="ORD100760"/>
    <x v="277"/>
    <x v="1"/>
    <x v="9"/>
    <x v="0"/>
    <x v="5"/>
    <s v="Headphones"/>
    <x v="2"/>
    <n v="4"/>
    <n v="43813.56"/>
    <n v="8.09"/>
    <n v="161076.17000000001"/>
    <n v="36338.730000000003"/>
    <x v="4"/>
  </r>
  <r>
    <s v="ORD100761"/>
    <x v="277"/>
    <x v="9"/>
    <x v="10"/>
    <x v="2"/>
    <x v="3"/>
    <s v="Badminton Racket"/>
    <x v="2"/>
    <n v="5"/>
    <n v="1278.72"/>
    <n v="11.5"/>
    <n v="5658.34"/>
    <n v="1467.15"/>
    <x v="1"/>
  </r>
  <r>
    <s v="ORD100762"/>
    <x v="277"/>
    <x v="1"/>
    <x v="11"/>
    <x v="3"/>
    <x v="0"/>
    <s v="Tea"/>
    <x v="1"/>
    <n v="5"/>
    <n v="642.1"/>
    <n v="26.4"/>
    <n v="2362.9299999999998"/>
    <n v="233.34"/>
    <x v="0"/>
  </r>
  <r>
    <s v="ORD100763"/>
    <x v="278"/>
    <x v="8"/>
    <x v="12"/>
    <x v="3"/>
    <x v="0"/>
    <s v="Cooking Oil"/>
    <x v="1"/>
    <n v="6"/>
    <n v="1930.34"/>
    <n v="24.05"/>
    <n v="8796.56"/>
    <n v="1465.45"/>
    <x v="2"/>
  </r>
  <r>
    <s v="ORD100764"/>
    <x v="278"/>
    <x v="6"/>
    <x v="13"/>
    <x v="4"/>
    <x v="1"/>
    <s v="Shoes"/>
    <x v="1"/>
    <n v="2"/>
    <n v="1594.51"/>
    <n v="15.37"/>
    <n v="2698.87"/>
    <n v="463.78"/>
    <x v="1"/>
  </r>
  <r>
    <s v="ORD100765"/>
    <x v="278"/>
    <x v="2"/>
    <x v="14"/>
    <x v="4"/>
    <x v="0"/>
    <s v="Coffee"/>
    <x v="0"/>
    <n v="3"/>
    <n v="198.45"/>
    <n v="1.89"/>
    <n v="584.1"/>
    <n v="56.56"/>
    <x v="4"/>
  </r>
  <r>
    <s v="ORD100766"/>
    <x v="279"/>
    <x v="2"/>
    <x v="0"/>
    <x v="1"/>
    <x v="1"/>
    <s v="Jacket"/>
    <x v="0"/>
    <n v="6"/>
    <n v="4099.8"/>
    <n v="27.7"/>
    <n v="17784.93"/>
    <n v="959.73"/>
    <x v="0"/>
  </r>
  <r>
    <s v="ORD100767"/>
    <x v="279"/>
    <x v="9"/>
    <x v="1"/>
    <x v="0"/>
    <x v="0"/>
    <s v="Rice"/>
    <x v="0"/>
    <n v="9"/>
    <n v="2960.38"/>
    <n v="1.68"/>
    <n v="26195.81"/>
    <n v="2240.9299999999998"/>
    <x v="3"/>
  </r>
  <r>
    <s v="ORD100768"/>
    <x v="280"/>
    <x v="5"/>
    <x v="2"/>
    <x v="3"/>
    <x v="1"/>
    <s v="Jeans"/>
    <x v="2"/>
    <n v="6"/>
    <n v="4357.96"/>
    <n v="16.850000000000001"/>
    <n v="21741.86"/>
    <n v="2015.54"/>
    <x v="2"/>
  </r>
  <r>
    <s v="ORD100769"/>
    <x v="280"/>
    <x v="0"/>
    <x v="3"/>
    <x v="3"/>
    <x v="5"/>
    <s v="Monitor"/>
    <x v="0"/>
    <n v="1"/>
    <n v="1747.82"/>
    <n v="10.8"/>
    <n v="1559.06"/>
    <n v="112.96"/>
    <x v="4"/>
  </r>
  <r>
    <s v="ORD100770"/>
    <x v="280"/>
    <x v="1"/>
    <x v="4"/>
    <x v="1"/>
    <x v="1"/>
    <s v="T-Shirt"/>
    <x v="2"/>
    <n v="2"/>
    <n v="6784.89"/>
    <n v="6.28"/>
    <n v="12717.6"/>
    <n v="866.46"/>
    <x v="1"/>
  </r>
  <r>
    <s v="ORD100771"/>
    <x v="281"/>
    <x v="10"/>
    <x v="5"/>
    <x v="3"/>
    <x v="3"/>
    <s v="Football"/>
    <x v="2"/>
    <n v="3"/>
    <n v="7719.34"/>
    <n v="27.8"/>
    <n v="16720.09"/>
    <n v="2857.84"/>
    <x v="2"/>
  </r>
  <r>
    <s v="ORD100772"/>
    <x v="281"/>
    <x v="2"/>
    <x v="6"/>
    <x v="3"/>
    <x v="4"/>
    <s v="Comics"/>
    <x v="0"/>
    <n v="4"/>
    <n v="1954.82"/>
    <n v="24.1"/>
    <n v="5934.83"/>
    <n v="524.36"/>
    <x v="2"/>
  </r>
  <r>
    <s v="ORD100773"/>
    <x v="281"/>
    <x v="12"/>
    <x v="7"/>
    <x v="2"/>
    <x v="2"/>
    <s v="Sofa"/>
    <x v="2"/>
    <n v="7"/>
    <n v="15302.15"/>
    <n v="3.17"/>
    <n v="103719.5"/>
    <n v="21475.29"/>
    <x v="4"/>
  </r>
  <r>
    <s v="ORD100774"/>
    <x v="282"/>
    <x v="3"/>
    <x v="8"/>
    <x v="3"/>
    <x v="0"/>
    <s v="Rice"/>
    <x v="2"/>
    <n v="7"/>
    <n v="1505.18"/>
    <n v="0.12"/>
    <n v="10523.62"/>
    <n v="1844.69"/>
    <x v="0"/>
  </r>
  <r>
    <s v="ORD100775"/>
    <x v="282"/>
    <x v="10"/>
    <x v="9"/>
    <x v="3"/>
    <x v="1"/>
    <s v="Dress"/>
    <x v="2"/>
    <n v="8"/>
    <n v="6974.53"/>
    <n v="26.82"/>
    <n v="40831.69"/>
    <n v="11430.76"/>
    <x v="1"/>
  </r>
  <r>
    <s v="ORD100776"/>
    <x v="283"/>
    <x v="11"/>
    <x v="10"/>
    <x v="2"/>
    <x v="2"/>
    <s v="Office Chair"/>
    <x v="0"/>
    <n v="3"/>
    <n v="24661.93"/>
    <n v="5"/>
    <n v="70286.5"/>
    <n v="17526.3"/>
    <x v="1"/>
  </r>
  <r>
    <s v="ORD100777"/>
    <x v="283"/>
    <x v="3"/>
    <x v="11"/>
    <x v="4"/>
    <x v="1"/>
    <s v="Jeans"/>
    <x v="2"/>
    <n v="4"/>
    <n v="4534.05"/>
    <n v="18.59"/>
    <n v="14764.68"/>
    <n v="3187.29"/>
    <x v="1"/>
  </r>
  <r>
    <s v="ORD100778"/>
    <x v="283"/>
    <x v="4"/>
    <x v="12"/>
    <x v="0"/>
    <x v="3"/>
    <s v="Badminton Racket"/>
    <x v="1"/>
    <n v="5"/>
    <n v="9752.65"/>
    <n v="25.28"/>
    <n v="36435.9"/>
    <n v="6384.27"/>
    <x v="0"/>
  </r>
  <r>
    <s v="ORD100779"/>
    <x v="284"/>
    <x v="12"/>
    <x v="13"/>
    <x v="2"/>
    <x v="4"/>
    <s v="Notebook"/>
    <x v="1"/>
    <n v="2"/>
    <n v="2328.09"/>
    <n v="1.97"/>
    <n v="4564.45"/>
    <n v="855.16"/>
    <x v="2"/>
  </r>
  <r>
    <s v="ORD100780"/>
    <x v="284"/>
    <x v="6"/>
    <x v="14"/>
    <x v="0"/>
    <x v="3"/>
    <s v="Yoga Mat"/>
    <x v="0"/>
    <n v="1"/>
    <n v="8468.07"/>
    <n v="5.85"/>
    <n v="7972.69"/>
    <n v="2046.72"/>
    <x v="1"/>
  </r>
  <r>
    <s v="ORD100781"/>
    <x v="284"/>
    <x v="13"/>
    <x v="0"/>
    <x v="3"/>
    <x v="0"/>
    <s v="Rice"/>
    <x v="0"/>
    <n v="8"/>
    <n v="467.77"/>
    <n v="3.07"/>
    <n v="3627.28"/>
    <n v="666.93"/>
    <x v="1"/>
  </r>
  <r>
    <s v="ORD100782"/>
    <x v="285"/>
    <x v="2"/>
    <x v="1"/>
    <x v="3"/>
    <x v="2"/>
    <s v="Table"/>
    <x v="2"/>
    <n v="6"/>
    <n v="34855.83"/>
    <n v="26.44"/>
    <n v="153839.69"/>
    <n v="21160.13"/>
    <x v="1"/>
  </r>
  <r>
    <s v="ORD100783"/>
    <x v="285"/>
    <x v="1"/>
    <x v="2"/>
    <x v="3"/>
    <x v="1"/>
    <s v="Jacket"/>
    <x v="1"/>
    <n v="1"/>
    <n v="1559.85"/>
    <n v="16.97"/>
    <n v="1295.1400000000001"/>
    <n v="227.92"/>
    <x v="0"/>
  </r>
  <r>
    <s v="ORD100784"/>
    <x v="285"/>
    <x v="9"/>
    <x v="3"/>
    <x v="1"/>
    <x v="5"/>
    <s v="Laptop"/>
    <x v="0"/>
    <n v="4"/>
    <n v="58409.59"/>
    <n v="9.49"/>
    <n v="211466.08"/>
    <n v="28663.51"/>
    <x v="2"/>
  </r>
  <r>
    <s v="ORD100785"/>
    <x v="286"/>
    <x v="9"/>
    <x v="4"/>
    <x v="2"/>
    <x v="2"/>
    <s v="Table"/>
    <x v="0"/>
    <n v="5"/>
    <n v="2142.6799999999998"/>
    <n v="18.54"/>
    <n v="8727.14"/>
    <n v="1548"/>
    <x v="4"/>
  </r>
  <r>
    <s v="ORD100786"/>
    <x v="286"/>
    <x v="9"/>
    <x v="5"/>
    <x v="4"/>
    <x v="5"/>
    <s v="Laptop"/>
    <x v="1"/>
    <n v="9"/>
    <n v="32991.620000000003"/>
    <n v="14"/>
    <n v="255355.14"/>
    <n v="16132.69"/>
    <x v="0"/>
  </r>
  <r>
    <s v="ORD100787"/>
    <x v="287"/>
    <x v="5"/>
    <x v="6"/>
    <x v="2"/>
    <x v="4"/>
    <s v="Textbook"/>
    <x v="1"/>
    <n v="7"/>
    <n v="401.69"/>
    <n v="12.43"/>
    <n v="2462.3200000000002"/>
    <n v="592.46"/>
    <x v="2"/>
  </r>
  <r>
    <s v="ORD100788"/>
    <x v="287"/>
    <x v="0"/>
    <x v="7"/>
    <x v="4"/>
    <x v="0"/>
    <s v="Tea"/>
    <x v="2"/>
    <n v="7"/>
    <n v="1282.24"/>
    <n v="2.19"/>
    <n v="8779.11"/>
    <n v="1039.5899999999999"/>
    <x v="2"/>
  </r>
  <r>
    <s v="ORD100789"/>
    <x v="287"/>
    <x v="13"/>
    <x v="8"/>
    <x v="4"/>
    <x v="1"/>
    <s v="Dress"/>
    <x v="0"/>
    <n v="7"/>
    <n v="588.97"/>
    <n v="17.079999999999998"/>
    <n v="3418.62"/>
    <n v="957.87"/>
    <x v="4"/>
  </r>
  <r>
    <s v="ORD100790"/>
    <x v="288"/>
    <x v="12"/>
    <x v="9"/>
    <x v="1"/>
    <x v="4"/>
    <s v="Dictionary"/>
    <x v="1"/>
    <n v="7"/>
    <n v="601.74"/>
    <n v="25.45"/>
    <n v="3140.18"/>
    <n v="868.27"/>
    <x v="2"/>
  </r>
  <r>
    <s v="ORD100791"/>
    <x v="288"/>
    <x v="14"/>
    <x v="10"/>
    <x v="0"/>
    <x v="2"/>
    <s v="Sofa"/>
    <x v="0"/>
    <n v="8"/>
    <n v="20645.060000000001"/>
    <n v="24.91"/>
    <n v="124019"/>
    <n v="26788.48"/>
    <x v="2"/>
  </r>
  <r>
    <s v="ORD100792"/>
    <x v="288"/>
    <x v="1"/>
    <x v="11"/>
    <x v="0"/>
    <x v="4"/>
    <s v="Dictionary"/>
    <x v="0"/>
    <n v="5"/>
    <n v="2422.87"/>
    <n v="26.7"/>
    <n v="8879.82"/>
    <n v="1777.15"/>
    <x v="1"/>
  </r>
  <r>
    <s v="ORD100793"/>
    <x v="289"/>
    <x v="9"/>
    <x v="12"/>
    <x v="2"/>
    <x v="1"/>
    <s v="Jacket"/>
    <x v="1"/>
    <n v="7"/>
    <n v="2454.21"/>
    <n v="16.95"/>
    <n v="14267.55"/>
    <n v="1027.77"/>
    <x v="3"/>
  </r>
  <r>
    <s v="ORD100794"/>
    <x v="289"/>
    <x v="8"/>
    <x v="13"/>
    <x v="2"/>
    <x v="3"/>
    <s v="Cricket Bat"/>
    <x v="2"/>
    <n v="10"/>
    <n v="4540.92"/>
    <n v="16.84"/>
    <n v="37762.29"/>
    <n v="9903.57"/>
    <x v="2"/>
  </r>
  <r>
    <s v="ORD100795"/>
    <x v="289"/>
    <x v="8"/>
    <x v="14"/>
    <x v="1"/>
    <x v="5"/>
    <s v="Headphones"/>
    <x v="0"/>
    <n v="2"/>
    <n v="69932.210000000006"/>
    <n v="1.79"/>
    <n v="137360.85"/>
    <n v="37382.730000000003"/>
    <x v="3"/>
  </r>
  <r>
    <s v="ORD100796"/>
    <x v="290"/>
    <x v="1"/>
    <x v="0"/>
    <x v="4"/>
    <x v="0"/>
    <s v="Cooking Oil"/>
    <x v="1"/>
    <n v="7"/>
    <n v="1218.3599999999999"/>
    <n v="5.97"/>
    <n v="8019.37"/>
    <n v="1252.6099999999999"/>
    <x v="4"/>
  </r>
  <r>
    <s v="ORD100797"/>
    <x v="290"/>
    <x v="10"/>
    <x v="1"/>
    <x v="1"/>
    <x v="3"/>
    <s v="Football"/>
    <x v="2"/>
    <n v="4"/>
    <n v="770.73"/>
    <n v="7.87"/>
    <n v="2840.29"/>
    <n v="451.66"/>
    <x v="3"/>
  </r>
  <r>
    <s v="ORD100798"/>
    <x v="291"/>
    <x v="1"/>
    <x v="2"/>
    <x v="1"/>
    <x v="3"/>
    <s v="Football"/>
    <x v="2"/>
    <n v="4"/>
    <n v="7270.2"/>
    <n v="28.24"/>
    <n v="20868.38"/>
    <n v="5642.99"/>
    <x v="1"/>
  </r>
  <r>
    <s v="ORD100799"/>
    <x v="291"/>
    <x v="10"/>
    <x v="3"/>
    <x v="0"/>
    <x v="0"/>
    <s v="Snacks"/>
    <x v="1"/>
    <n v="7"/>
    <n v="388.49"/>
    <n v="3.78"/>
    <n v="2616.64"/>
    <n v="477.23"/>
    <x v="2"/>
  </r>
  <r>
    <s v="ORD100800"/>
    <x v="291"/>
    <x v="12"/>
    <x v="4"/>
    <x v="3"/>
    <x v="2"/>
    <s v="Desk"/>
    <x v="1"/>
    <n v="6"/>
    <n v="19884.310000000001"/>
    <n v="1.91"/>
    <n v="117027.12"/>
    <n v="21991.97"/>
    <x v="4"/>
  </r>
  <r>
    <s v="ORD100801"/>
    <x v="292"/>
    <x v="1"/>
    <x v="5"/>
    <x v="4"/>
    <x v="5"/>
    <s v="Laptop"/>
    <x v="1"/>
    <n v="3"/>
    <n v="18816.41"/>
    <n v="20.56"/>
    <n v="44843.27"/>
    <n v="13250.03"/>
    <x v="4"/>
  </r>
  <r>
    <s v="ORD100802"/>
    <x v="292"/>
    <x v="9"/>
    <x v="6"/>
    <x v="2"/>
    <x v="1"/>
    <s v="Dress"/>
    <x v="1"/>
    <n v="2"/>
    <n v="6860.16"/>
    <n v="10.7"/>
    <n v="12252.25"/>
    <n v="1413.29"/>
    <x v="4"/>
  </r>
  <r>
    <s v="ORD100803"/>
    <x v="292"/>
    <x v="8"/>
    <x v="7"/>
    <x v="2"/>
    <x v="1"/>
    <s v="Jacket"/>
    <x v="0"/>
    <n v="9"/>
    <n v="5797.48"/>
    <n v="27.74"/>
    <n v="37703.33"/>
    <n v="6759.57"/>
    <x v="1"/>
  </r>
  <r>
    <s v="ORD100804"/>
    <x v="293"/>
    <x v="8"/>
    <x v="8"/>
    <x v="3"/>
    <x v="1"/>
    <s v="Jeans"/>
    <x v="1"/>
    <n v="5"/>
    <n v="5093.83"/>
    <n v="0.3"/>
    <n v="25392.74"/>
    <n v="2506.52"/>
    <x v="3"/>
  </r>
  <r>
    <s v="ORD100805"/>
    <x v="293"/>
    <x v="7"/>
    <x v="9"/>
    <x v="1"/>
    <x v="5"/>
    <s v="Monitor"/>
    <x v="1"/>
    <n v="10"/>
    <n v="56625.83"/>
    <n v="7.15"/>
    <n v="525770.82999999996"/>
    <n v="77377"/>
    <x v="3"/>
  </r>
  <r>
    <s v="ORD100806"/>
    <x v="293"/>
    <x v="1"/>
    <x v="10"/>
    <x v="0"/>
    <x v="2"/>
    <s v="Office Chair"/>
    <x v="1"/>
    <n v="7"/>
    <n v="4122.47"/>
    <n v="14.23"/>
    <n v="24750.9"/>
    <n v="1299.23"/>
    <x v="0"/>
  </r>
  <r>
    <s v="ORD100807"/>
    <x v="294"/>
    <x v="8"/>
    <x v="11"/>
    <x v="4"/>
    <x v="0"/>
    <s v="Coffee"/>
    <x v="2"/>
    <n v="9"/>
    <n v="874.07"/>
    <n v="10.47"/>
    <n v="7042.99"/>
    <n v="1977.62"/>
    <x v="1"/>
  </r>
  <r>
    <s v="ORD100808"/>
    <x v="294"/>
    <x v="11"/>
    <x v="12"/>
    <x v="0"/>
    <x v="4"/>
    <s v="Dictionary"/>
    <x v="0"/>
    <n v="2"/>
    <n v="602.6"/>
    <n v="16.11"/>
    <n v="1011.04"/>
    <n v="236.89"/>
    <x v="4"/>
  </r>
  <r>
    <s v="ORD100809"/>
    <x v="295"/>
    <x v="4"/>
    <x v="13"/>
    <x v="1"/>
    <x v="4"/>
    <s v="Dictionary"/>
    <x v="0"/>
    <n v="5"/>
    <n v="2496.5500000000002"/>
    <n v="0.74"/>
    <n v="12390.38"/>
    <n v="3206.77"/>
    <x v="4"/>
  </r>
  <r>
    <s v="ORD100810"/>
    <x v="295"/>
    <x v="6"/>
    <x v="14"/>
    <x v="0"/>
    <x v="5"/>
    <s v="Headphones"/>
    <x v="0"/>
    <n v="8"/>
    <n v="26425.43"/>
    <n v="6.61"/>
    <n v="197429.67"/>
    <n v="55541.32"/>
    <x v="1"/>
  </r>
  <r>
    <s v="ORD100811"/>
    <x v="295"/>
    <x v="1"/>
    <x v="0"/>
    <x v="4"/>
    <x v="2"/>
    <s v="Bookshelf"/>
    <x v="0"/>
    <n v="4"/>
    <n v="8351.49"/>
    <n v="24.15"/>
    <n v="25338.42"/>
    <n v="7394.56"/>
    <x v="3"/>
  </r>
  <r>
    <s v="ORD100812"/>
    <x v="296"/>
    <x v="5"/>
    <x v="1"/>
    <x v="1"/>
    <x v="5"/>
    <s v="Headphones"/>
    <x v="0"/>
    <n v="6"/>
    <n v="11982.7"/>
    <n v="13.26"/>
    <n v="62362.76"/>
    <n v="8327.06"/>
    <x v="0"/>
  </r>
  <r>
    <s v="ORD100813"/>
    <x v="296"/>
    <x v="5"/>
    <x v="2"/>
    <x v="2"/>
    <x v="1"/>
    <s v="Jeans"/>
    <x v="0"/>
    <n v="9"/>
    <n v="5790.21"/>
    <n v="10.99"/>
    <n v="46384.79"/>
    <n v="2933.1"/>
    <x v="4"/>
  </r>
  <r>
    <s v="ORD100814"/>
    <x v="296"/>
    <x v="11"/>
    <x v="3"/>
    <x v="2"/>
    <x v="4"/>
    <s v="Novel"/>
    <x v="2"/>
    <n v="6"/>
    <n v="1558.87"/>
    <n v="12.1"/>
    <n v="8221.48"/>
    <n v="1801.47"/>
    <x v="0"/>
  </r>
  <r>
    <s v="ORD100815"/>
    <x v="297"/>
    <x v="11"/>
    <x v="4"/>
    <x v="4"/>
    <x v="4"/>
    <s v="Dictionary"/>
    <x v="2"/>
    <n v="6"/>
    <n v="1027.51"/>
    <n v="12.61"/>
    <n v="5387.65"/>
    <n v="1026.5"/>
    <x v="0"/>
  </r>
  <r>
    <s v="ORD100816"/>
    <x v="297"/>
    <x v="14"/>
    <x v="5"/>
    <x v="0"/>
    <x v="5"/>
    <s v="Keyboard"/>
    <x v="0"/>
    <n v="8"/>
    <n v="22019.35"/>
    <n v="11.11"/>
    <n v="156584"/>
    <n v="30100.2"/>
    <x v="4"/>
  </r>
  <r>
    <s v="ORD100817"/>
    <x v="297"/>
    <x v="9"/>
    <x v="6"/>
    <x v="1"/>
    <x v="3"/>
    <s v="Yoga Mat"/>
    <x v="2"/>
    <n v="10"/>
    <n v="6757.71"/>
    <n v="12.31"/>
    <n v="59258.36"/>
    <n v="9936.16"/>
    <x v="2"/>
  </r>
  <r>
    <s v="ORD100818"/>
    <x v="298"/>
    <x v="6"/>
    <x v="7"/>
    <x v="2"/>
    <x v="1"/>
    <s v="T-Shirt"/>
    <x v="0"/>
    <n v="8"/>
    <n v="5652.42"/>
    <n v="18.489999999999998"/>
    <n v="36858.300000000003"/>
    <n v="6292.44"/>
    <x v="1"/>
  </r>
  <r>
    <s v="ORD100819"/>
    <x v="298"/>
    <x v="14"/>
    <x v="8"/>
    <x v="3"/>
    <x v="5"/>
    <s v="Laptop"/>
    <x v="2"/>
    <n v="5"/>
    <n v="47913.29"/>
    <n v="10.98"/>
    <n v="213262.05"/>
    <n v="53694.43"/>
    <x v="4"/>
  </r>
  <r>
    <s v="ORD100820"/>
    <x v="299"/>
    <x v="0"/>
    <x v="9"/>
    <x v="3"/>
    <x v="1"/>
    <s v="Dress"/>
    <x v="0"/>
    <n v="6"/>
    <n v="7226.92"/>
    <n v="23.46"/>
    <n v="33188.910000000003"/>
    <n v="3280.38"/>
    <x v="2"/>
  </r>
  <r>
    <s v="ORD100821"/>
    <x v="299"/>
    <x v="3"/>
    <x v="10"/>
    <x v="3"/>
    <x v="4"/>
    <s v="Novel"/>
    <x v="1"/>
    <n v="6"/>
    <n v="1373.02"/>
    <n v="19.88"/>
    <n v="6600.38"/>
    <n v="1303.8599999999999"/>
    <x v="2"/>
  </r>
  <r>
    <s v="ORD100822"/>
    <x v="299"/>
    <x v="4"/>
    <x v="11"/>
    <x v="0"/>
    <x v="3"/>
    <s v="Badminton Racket"/>
    <x v="2"/>
    <n v="10"/>
    <n v="7718.27"/>
    <n v="29.18"/>
    <n v="54660.79"/>
    <n v="6639.12"/>
    <x v="4"/>
  </r>
  <r>
    <s v="ORD100823"/>
    <x v="300"/>
    <x v="8"/>
    <x v="12"/>
    <x v="4"/>
    <x v="1"/>
    <s v="Dress"/>
    <x v="1"/>
    <n v="4"/>
    <n v="4529.8100000000004"/>
    <n v="27.89"/>
    <n v="13065.78"/>
    <n v="3749.43"/>
    <x v="2"/>
  </r>
  <r>
    <s v="ORD100824"/>
    <x v="300"/>
    <x v="6"/>
    <x v="13"/>
    <x v="0"/>
    <x v="5"/>
    <s v="Smartphone"/>
    <x v="1"/>
    <n v="2"/>
    <n v="60630.31"/>
    <n v="23.82"/>
    <n v="92376.34"/>
    <n v="16041.08"/>
    <x v="2"/>
  </r>
  <r>
    <s v="ORD100825"/>
    <x v="300"/>
    <x v="3"/>
    <x v="14"/>
    <x v="3"/>
    <x v="0"/>
    <s v="Coffee"/>
    <x v="2"/>
    <n v="10"/>
    <n v="609.19000000000005"/>
    <n v="26.77"/>
    <n v="4461.1000000000004"/>
    <n v="703.67"/>
    <x v="0"/>
  </r>
  <r>
    <s v="ORD100826"/>
    <x v="301"/>
    <x v="10"/>
    <x v="0"/>
    <x v="3"/>
    <x v="5"/>
    <s v="Smartphone"/>
    <x v="0"/>
    <n v="8"/>
    <n v="47052.12"/>
    <n v="15.64"/>
    <n v="317545.34999999998"/>
    <n v="27767.53"/>
    <x v="1"/>
  </r>
  <r>
    <s v="ORD100827"/>
    <x v="301"/>
    <x v="2"/>
    <x v="1"/>
    <x v="1"/>
    <x v="5"/>
    <s v="Smartphone"/>
    <x v="1"/>
    <n v="8"/>
    <n v="35627.370000000003"/>
    <n v="10.4"/>
    <n v="255376.99"/>
    <n v="60425.52"/>
    <x v="0"/>
  </r>
  <r>
    <s v="ORD100828"/>
    <x v="302"/>
    <x v="11"/>
    <x v="2"/>
    <x v="1"/>
    <x v="3"/>
    <s v="Yoga Mat"/>
    <x v="1"/>
    <n v="2"/>
    <n v="7968.39"/>
    <n v="8.3699999999999992"/>
    <n v="14602.87"/>
    <n v="3089.84"/>
    <x v="0"/>
  </r>
  <r>
    <s v="ORD100829"/>
    <x v="302"/>
    <x v="9"/>
    <x v="3"/>
    <x v="4"/>
    <x v="4"/>
    <s v="Dictionary"/>
    <x v="1"/>
    <n v="8"/>
    <n v="2198.7399999999998"/>
    <n v="1.3"/>
    <n v="17361.25"/>
    <n v="2001.01"/>
    <x v="1"/>
  </r>
  <r>
    <s v="ORD100830"/>
    <x v="302"/>
    <x v="5"/>
    <x v="4"/>
    <x v="0"/>
    <x v="1"/>
    <s v="Jacket"/>
    <x v="1"/>
    <n v="5"/>
    <n v="4377.71"/>
    <n v="12.03"/>
    <n v="19255.36"/>
    <n v="2394.37"/>
    <x v="0"/>
  </r>
  <r>
    <s v="ORD100831"/>
    <x v="303"/>
    <x v="13"/>
    <x v="5"/>
    <x v="3"/>
    <x v="2"/>
    <s v="Bookshelf"/>
    <x v="1"/>
    <n v="10"/>
    <n v="9493.4500000000007"/>
    <n v="20.309999999999999"/>
    <n v="75653.3"/>
    <n v="18974.080000000002"/>
    <x v="3"/>
  </r>
  <r>
    <s v="ORD100832"/>
    <x v="303"/>
    <x v="11"/>
    <x v="6"/>
    <x v="0"/>
    <x v="4"/>
    <s v="Textbook"/>
    <x v="0"/>
    <n v="10"/>
    <n v="807.28"/>
    <n v="17.14"/>
    <n v="6689.12"/>
    <n v="1580.97"/>
    <x v="4"/>
  </r>
  <r>
    <s v="ORD100833"/>
    <x v="303"/>
    <x v="8"/>
    <x v="7"/>
    <x v="1"/>
    <x v="3"/>
    <s v="Cricket Bat"/>
    <x v="0"/>
    <n v="1"/>
    <n v="9313.23"/>
    <n v="16.350000000000001"/>
    <n v="7790.52"/>
    <n v="1677.82"/>
    <x v="3"/>
  </r>
  <r>
    <s v="ORD100834"/>
    <x v="304"/>
    <x v="10"/>
    <x v="8"/>
    <x v="1"/>
    <x v="3"/>
    <s v="Football"/>
    <x v="0"/>
    <n v="10"/>
    <n v="8598.8799999999992"/>
    <n v="12.45"/>
    <n v="75283.19"/>
    <n v="5445.61"/>
    <x v="1"/>
  </r>
  <r>
    <s v="ORD100835"/>
    <x v="304"/>
    <x v="10"/>
    <x v="9"/>
    <x v="1"/>
    <x v="4"/>
    <s v="Notebook"/>
    <x v="0"/>
    <n v="6"/>
    <n v="1126.4100000000001"/>
    <n v="17.88"/>
    <n v="5550.05"/>
    <n v="401.9"/>
    <x v="3"/>
  </r>
  <r>
    <s v="ORD100836"/>
    <x v="304"/>
    <x v="7"/>
    <x v="10"/>
    <x v="2"/>
    <x v="2"/>
    <s v="Sofa"/>
    <x v="0"/>
    <n v="2"/>
    <n v="1429.52"/>
    <n v="12.5"/>
    <n v="2501.66"/>
    <n v="222.03"/>
    <x v="3"/>
  </r>
  <r>
    <s v="ORD100837"/>
    <x v="305"/>
    <x v="1"/>
    <x v="11"/>
    <x v="0"/>
    <x v="4"/>
    <s v="Textbook"/>
    <x v="0"/>
    <n v="8"/>
    <n v="2352.27"/>
    <n v="5.13"/>
    <n v="17852.79"/>
    <n v="1398.07"/>
    <x v="2"/>
  </r>
  <r>
    <s v="ORD100838"/>
    <x v="305"/>
    <x v="14"/>
    <x v="12"/>
    <x v="1"/>
    <x v="2"/>
    <s v="Office Chair"/>
    <x v="0"/>
    <n v="10"/>
    <n v="27487.7"/>
    <n v="2.2200000000000002"/>
    <n v="268774.73"/>
    <n v="80150.78"/>
    <x v="4"/>
  </r>
  <r>
    <s v="ORD100839"/>
    <x v="306"/>
    <x v="14"/>
    <x v="13"/>
    <x v="3"/>
    <x v="3"/>
    <s v="Cricket Bat"/>
    <x v="1"/>
    <n v="7"/>
    <n v="1047.28"/>
    <n v="0.04"/>
    <n v="7328.03"/>
    <n v="1190.04"/>
    <x v="3"/>
  </r>
  <r>
    <s v="ORD100840"/>
    <x v="306"/>
    <x v="12"/>
    <x v="14"/>
    <x v="4"/>
    <x v="0"/>
    <s v="Snacks"/>
    <x v="2"/>
    <n v="1"/>
    <n v="1814.65"/>
    <n v="18.05"/>
    <n v="1487.11"/>
    <n v="98.34"/>
    <x v="2"/>
  </r>
  <r>
    <s v="ORD100841"/>
    <x v="306"/>
    <x v="7"/>
    <x v="0"/>
    <x v="2"/>
    <x v="2"/>
    <s v="Sofa"/>
    <x v="2"/>
    <n v="4"/>
    <n v="24818.54"/>
    <n v="7.93"/>
    <n v="91401.72"/>
    <n v="11133.67"/>
    <x v="0"/>
  </r>
  <r>
    <s v="ORD100842"/>
    <x v="307"/>
    <x v="12"/>
    <x v="1"/>
    <x v="4"/>
    <x v="1"/>
    <s v="Jeans"/>
    <x v="1"/>
    <n v="5"/>
    <n v="3791.3"/>
    <n v="29.68"/>
    <n v="13330.21"/>
    <n v="848.95"/>
    <x v="2"/>
  </r>
  <r>
    <s v="ORD100843"/>
    <x v="307"/>
    <x v="9"/>
    <x v="2"/>
    <x v="3"/>
    <x v="5"/>
    <s v="Monitor"/>
    <x v="1"/>
    <n v="4"/>
    <n v="70042.39"/>
    <n v="28.16"/>
    <n v="201273.81"/>
    <n v="50574.74"/>
    <x v="2"/>
  </r>
  <r>
    <s v="ORD100844"/>
    <x v="307"/>
    <x v="1"/>
    <x v="3"/>
    <x v="1"/>
    <x v="2"/>
    <s v="Sofa"/>
    <x v="1"/>
    <n v="1"/>
    <n v="5155.5"/>
    <n v="20.65"/>
    <n v="4090.89"/>
    <n v="470.24"/>
    <x v="3"/>
  </r>
  <r>
    <s v="ORD100845"/>
    <x v="308"/>
    <x v="9"/>
    <x v="4"/>
    <x v="4"/>
    <x v="5"/>
    <s v="Smartphone"/>
    <x v="2"/>
    <n v="10"/>
    <n v="29535.62"/>
    <n v="16.059999999999999"/>
    <n v="247921.99"/>
    <n v="61261.49"/>
    <x v="2"/>
  </r>
  <r>
    <s v="ORD100846"/>
    <x v="308"/>
    <x v="11"/>
    <x v="5"/>
    <x v="4"/>
    <x v="4"/>
    <s v="Notebook"/>
    <x v="2"/>
    <n v="2"/>
    <n v="1957.59"/>
    <n v="1.56"/>
    <n v="3854.1"/>
    <n v="205.06"/>
    <x v="2"/>
  </r>
  <r>
    <s v="ORD100847"/>
    <x v="308"/>
    <x v="2"/>
    <x v="6"/>
    <x v="2"/>
    <x v="5"/>
    <s v="Monitor"/>
    <x v="2"/>
    <n v="4"/>
    <n v="74634.06"/>
    <n v="25.79"/>
    <n v="221543.74"/>
    <n v="50389.3"/>
    <x v="4"/>
  </r>
  <r>
    <s v="ORD100848"/>
    <x v="309"/>
    <x v="13"/>
    <x v="7"/>
    <x v="2"/>
    <x v="1"/>
    <s v="Jeans"/>
    <x v="0"/>
    <n v="6"/>
    <n v="1957.57"/>
    <n v="24.33"/>
    <n v="8887.76"/>
    <n v="882.65"/>
    <x v="2"/>
  </r>
  <r>
    <s v="ORD100849"/>
    <x v="309"/>
    <x v="6"/>
    <x v="8"/>
    <x v="0"/>
    <x v="2"/>
    <s v="Table"/>
    <x v="1"/>
    <n v="5"/>
    <n v="13604.58"/>
    <n v="28.05"/>
    <n v="48942.48"/>
    <n v="6892.6"/>
    <x v="2"/>
  </r>
  <r>
    <s v="ORD100850"/>
    <x v="310"/>
    <x v="13"/>
    <x v="9"/>
    <x v="4"/>
    <x v="1"/>
    <s v="Dress"/>
    <x v="2"/>
    <n v="4"/>
    <n v="7343.57"/>
    <n v="5.01"/>
    <n v="27902.63"/>
    <n v="2240.27"/>
    <x v="1"/>
  </r>
  <r>
    <s v="ORD100851"/>
    <x v="310"/>
    <x v="9"/>
    <x v="10"/>
    <x v="0"/>
    <x v="2"/>
    <s v="Sofa"/>
    <x v="0"/>
    <n v="6"/>
    <n v="3797.68"/>
    <n v="6.8"/>
    <n v="21236.63"/>
    <n v="6007.26"/>
    <x v="1"/>
  </r>
  <r>
    <s v="ORD100852"/>
    <x v="310"/>
    <x v="4"/>
    <x v="11"/>
    <x v="4"/>
    <x v="5"/>
    <s v="Keyboard"/>
    <x v="1"/>
    <n v="9"/>
    <n v="72812.14"/>
    <n v="19.02"/>
    <n v="530669.43999999994"/>
    <n v="36073.15"/>
    <x v="4"/>
  </r>
  <r>
    <s v="ORD100853"/>
    <x v="311"/>
    <x v="14"/>
    <x v="12"/>
    <x v="2"/>
    <x v="2"/>
    <s v="Office Chair"/>
    <x v="0"/>
    <n v="4"/>
    <n v="12831.21"/>
    <n v="11.79"/>
    <n v="45273.64"/>
    <n v="4297.05"/>
    <x v="1"/>
  </r>
  <r>
    <s v="ORD100854"/>
    <x v="311"/>
    <x v="12"/>
    <x v="13"/>
    <x v="3"/>
    <x v="5"/>
    <s v="Keyboard"/>
    <x v="0"/>
    <n v="5"/>
    <n v="27236.49"/>
    <n v="9.86"/>
    <n v="122754.86"/>
    <n v="14881.36"/>
    <x v="3"/>
  </r>
  <r>
    <s v="ORD100855"/>
    <x v="311"/>
    <x v="0"/>
    <x v="14"/>
    <x v="2"/>
    <x v="5"/>
    <s v="Laptop"/>
    <x v="0"/>
    <n v="10"/>
    <n v="26074.07"/>
    <n v="13.96"/>
    <n v="224341.3"/>
    <n v="64116.51"/>
    <x v="3"/>
  </r>
  <r>
    <s v="ORD100856"/>
    <x v="312"/>
    <x v="12"/>
    <x v="0"/>
    <x v="4"/>
    <x v="1"/>
    <s v="Jeans"/>
    <x v="2"/>
    <n v="9"/>
    <n v="7235.85"/>
    <n v="27.9"/>
    <n v="46953.43"/>
    <n v="6850.12"/>
    <x v="4"/>
  </r>
  <r>
    <s v="ORD100857"/>
    <x v="312"/>
    <x v="1"/>
    <x v="1"/>
    <x v="0"/>
    <x v="2"/>
    <s v="Desk"/>
    <x v="1"/>
    <n v="2"/>
    <n v="17449.2"/>
    <n v="6.89"/>
    <n v="32493.9"/>
    <n v="3245.91"/>
    <x v="0"/>
  </r>
  <r>
    <s v="ORD100858"/>
    <x v="312"/>
    <x v="7"/>
    <x v="2"/>
    <x v="2"/>
    <x v="3"/>
    <s v="Cricket Bat"/>
    <x v="0"/>
    <n v="4"/>
    <n v="8058.76"/>
    <n v="25.54"/>
    <n v="24002.21"/>
    <n v="4098.7700000000004"/>
    <x v="1"/>
  </r>
  <r>
    <s v="ORD100859"/>
    <x v="313"/>
    <x v="0"/>
    <x v="3"/>
    <x v="2"/>
    <x v="0"/>
    <s v="Tea"/>
    <x v="2"/>
    <n v="5"/>
    <n v="911.01"/>
    <n v="5.18"/>
    <n v="4319.1000000000004"/>
    <n v="625.58000000000004"/>
    <x v="0"/>
  </r>
  <r>
    <s v="ORD100860"/>
    <x v="313"/>
    <x v="14"/>
    <x v="4"/>
    <x v="2"/>
    <x v="1"/>
    <s v="Shoes"/>
    <x v="0"/>
    <n v="4"/>
    <n v="4657.34"/>
    <n v="18.47"/>
    <n v="15188.52"/>
    <n v="909.63"/>
    <x v="2"/>
  </r>
  <r>
    <s v="ORD100861"/>
    <x v="314"/>
    <x v="5"/>
    <x v="5"/>
    <x v="1"/>
    <x v="2"/>
    <s v="Desk"/>
    <x v="2"/>
    <n v="7"/>
    <n v="17657.39"/>
    <n v="3.86"/>
    <n v="118830.7"/>
    <n v="34093.230000000003"/>
    <x v="0"/>
  </r>
  <r>
    <s v="ORD100862"/>
    <x v="314"/>
    <x v="10"/>
    <x v="6"/>
    <x v="1"/>
    <x v="4"/>
    <s v="Textbook"/>
    <x v="1"/>
    <n v="10"/>
    <n v="1917.25"/>
    <n v="9.17"/>
    <n v="17414.38"/>
    <n v="3452.33"/>
    <x v="3"/>
  </r>
  <r>
    <s v="ORD100863"/>
    <x v="314"/>
    <x v="5"/>
    <x v="7"/>
    <x v="2"/>
    <x v="5"/>
    <s v="Keyboard"/>
    <x v="2"/>
    <n v="2"/>
    <n v="19814.16"/>
    <n v="27.25"/>
    <n v="28829.599999999999"/>
    <n v="2112.54"/>
    <x v="1"/>
  </r>
  <r>
    <s v="ORD100864"/>
    <x v="315"/>
    <x v="3"/>
    <x v="8"/>
    <x v="3"/>
    <x v="4"/>
    <s v="Novel"/>
    <x v="1"/>
    <n v="1"/>
    <n v="1375.22"/>
    <n v="11.99"/>
    <n v="1210.33"/>
    <n v="349.09"/>
    <x v="0"/>
  </r>
  <r>
    <s v="ORD100865"/>
    <x v="315"/>
    <x v="10"/>
    <x v="9"/>
    <x v="4"/>
    <x v="3"/>
    <s v="Cricket Bat"/>
    <x v="2"/>
    <n v="7"/>
    <n v="1301.3800000000001"/>
    <n v="2.27"/>
    <n v="8902.8700000000008"/>
    <n v="1729.53"/>
    <x v="0"/>
  </r>
  <r>
    <s v="ORD100866"/>
    <x v="315"/>
    <x v="4"/>
    <x v="10"/>
    <x v="2"/>
    <x v="1"/>
    <s v="Shoes"/>
    <x v="0"/>
    <n v="9"/>
    <n v="3022.53"/>
    <n v="3.97"/>
    <n v="26122.82"/>
    <n v="5696.62"/>
    <x v="3"/>
  </r>
  <r>
    <s v="ORD100867"/>
    <x v="316"/>
    <x v="8"/>
    <x v="11"/>
    <x v="1"/>
    <x v="3"/>
    <s v="Cricket Bat"/>
    <x v="0"/>
    <n v="2"/>
    <n v="4831.24"/>
    <n v="26.32"/>
    <n v="7119.32"/>
    <n v="427.66"/>
    <x v="3"/>
  </r>
  <r>
    <s v="ORD100868"/>
    <x v="316"/>
    <x v="12"/>
    <x v="12"/>
    <x v="0"/>
    <x v="3"/>
    <s v="Badminton Racket"/>
    <x v="2"/>
    <n v="6"/>
    <n v="1764.4"/>
    <n v="26.89"/>
    <n v="7739.72"/>
    <n v="1169.6500000000001"/>
    <x v="3"/>
  </r>
  <r>
    <s v="ORD100869"/>
    <x v="316"/>
    <x v="14"/>
    <x v="13"/>
    <x v="1"/>
    <x v="5"/>
    <s v="Headphones"/>
    <x v="1"/>
    <n v="9"/>
    <n v="15348.42"/>
    <n v="24.94"/>
    <n v="103684.72"/>
    <n v="25059.78"/>
    <x v="1"/>
  </r>
  <r>
    <s v="ORD100870"/>
    <x v="317"/>
    <x v="13"/>
    <x v="14"/>
    <x v="3"/>
    <x v="4"/>
    <s v="Comics"/>
    <x v="1"/>
    <n v="4"/>
    <n v="696.94"/>
    <n v="0.46"/>
    <n v="2774.94"/>
    <n v="254.44"/>
    <x v="1"/>
  </r>
  <r>
    <s v="ORD100871"/>
    <x v="317"/>
    <x v="12"/>
    <x v="0"/>
    <x v="0"/>
    <x v="4"/>
    <s v="Novel"/>
    <x v="0"/>
    <n v="3"/>
    <n v="2246.04"/>
    <n v="6.84"/>
    <n v="6277.23"/>
    <n v="1475.18"/>
    <x v="2"/>
  </r>
  <r>
    <s v="ORD100872"/>
    <x v="318"/>
    <x v="13"/>
    <x v="1"/>
    <x v="2"/>
    <x v="4"/>
    <s v="Notebook"/>
    <x v="2"/>
    <n v="4"/>
    <n v="1020.35"/>
    <n v="4.57"/>
    <n v="3894.88"/>
    <n v="843.93"/>
    <x v="3"/>
  </r>
  <r>
    <s v="ORD100873"/>
    <x v="318"/>
    <x v="14"/>
    <x v="2"/>
    <x v="2"/>
    <x v="4"/>
    <s v="Comics"/>
    <x v="0"/>
    <n v="2"/>
    <n v="2492.34"/>
    <n v="4.6100000000000003"/>
    <n v="4754.8900000000003"/>
    <n v="1263.57"/>
    <x v="3"/>
  </r>
  <r>
    <s v="ORD100874"/>
    <x v="318"/>
    <x v="9"/>
    <x v="3"/>
    <x v="4"/>
    <x v="1"/>
    <s v="T-Shirt"/>
    <x v="0"/>
    <n v="2"/>
    <n v="7481.39"/>
    <n v="11.49"/>
    <n v="13243.56"/>
    <n v="3077.54"/>
    <x v="3"/>
  </r>
  <r>
    <s v="ORD100875"/>
    <x v="319"/>
    <x v="10"/>
    <x v="4"/>
    <x v="3"/>
    <x v="1"/>
    <s v="Shoes"/>
    <x v="0"/>
    <n v="5"/>
    <n v="2630.63"/>
    <n v="14.03"/>
    <n v="11307.76"/>
    <n v="1336.56"/>
    <x v="4"/>
  </r>
  <r>
    <s v="ORD100876"/>
    <x v="319"/>
    <x v="1"/>
    <x v="5"/>
    <x v="1"/>
    <x v="3"/>
    <s v="Cricket Bat"/>
    <x v="1"/>
    <n v="10"/>
    <n v="9126.08"/>
    <n v="28.3"/>
    <n v="65433.99"/>
    <n v="11781.89"/>
    <x v="1"/>
  </r>
  <r>
    <s v="ORD100877"/>
    <x v="319"/>
    <x v="11"/>
    <x v="6"/>
    <x v="1"/>
    <x v="2"/>
    <s v="Desk"/>
    <x v="2"/>
    <n v="10"/>
    <n v="8133.99"/>
    <n v="10.95"/>
    <n v="72433.179999999993"/>
    <n v="11452.36"/>
    <x v="2"/>
  </r>
  <r>
    <s v="ORD100878"/>
    <x v="320"/>
    <x v="11"/>
    <x v="7"/>
    <x v="1"/>
    <x v="5"/>
    <s v="Monitor"/>
    <x v="2"/>
    <n v="1"/>
    <n v="44758.39"/>
    <n v="22.15"/>
    <n v="34844.410000000003"/>
    <n v="4665.75"/>
    <x v="0"/>
  </r>
  <r>
    <s v="ORD100879"/>
    <x v="320"/>
    <x v="0"/>
    <x v="8"/>
    <x v="2"/>
    <x v="1"/>
    <s v="Shoes"/>
    <x v="0"/>
    <n v="8"/>
    <n v="4335.99"/>
    <n v="8.49"/>
    <n v="31742.92"/>
    <n v="1888.51"/>
    <x v="0"/>
  </r>
  <r>
    <s v="ORD100880"/>
    <x v="320"/>
    <x v="5"/>
    <x v="9"/>
    <x v="3"/>
    <x v="0"/>
    <s v="Rice"/>
    <x v="1"/>
    <n v="1"/>
    <n v="177.35"/>
    <n v="9.2899999999999991"/>
    <n v="160.87"/>
    <n v="20.92"/>
    <x v="3"/>
  </r>
  <r>
    <s v="ORD100881"/>
    <x v="321"/>
    <x v="3"/>
    <x v="10"/>
    <x v="3"/>
    <x v="3"/>
    <s v="Yoga Mat"/>
    <x v="0"/>
    <n v="5"/>
    <n v="9982.69"/>
    <n v="29.88"/>
    <n v="34999.31"/>
    <n v="3423.02"/>
    <x v="4"/>
  </r>
  <r>
    <s v="ORD100882"/>
    <x v="321"/>
    <x v="0"/>
    <x v="11"/>
    <x v="1"/>
    <x v="2"/>
    <s v="Table"/>
    <x v="0"/>
    <n v="7"/>
    <n v="29235.58"/>
    <n v="6.36"/>
    <n v="191633.38"/>
    <n v="14616.72"/>
    <x v="0"/>
  </r>
  <r>
    <s v="ORD100883"/>
    <x v="322"/>
    <x v="5"/>
    <x v="12"/>
    <x v="2"/>
    <x v="0"/>
    <s v="Rice"/>
    <x v="2"/>
    <n v="7"/>
    <n v="2093.09"/>
    <n v="17.16"/>
    <n v="12137.41"/>
    <n v="3360.43"/>
    <x v="1"/>
  </r>
  <r>
    <s v="ORD100884"/>
    <x v="322"/>
    <x v="0"/>
    <x v="13"/>
    <x v="3"/>
    <x v="2"/>
    <s v="Desk"/>
    <x v="1"/>
    <n v="1"/>
    <n v="3747.97"/>
    <n v="8.34"/>
    <n v="3435.39"/>
    <n v="450.47"/>
    <x v="4"/>
  </r>
  <r>
    <s v="ORD100885"/>
    <x v="322"/>
    <x v="13"/>
    <x v="14"/>
    <x v="0"/>
    <x v="2"/>
    <s v="Desk"/>
    <x v="1"/>
    <n v="9"/>
    <n v="8700.5"/>
    <n v="29.52"/>
    <n v="55189.01"/>
    <n v="12917.73"/>
    <x v="3"/>
  </r>
  <r>
    <s v="ORD100886"/>
    <x v="323"/>
    <x v="4"/>
    <x v="0"/>
    <x v="1"/>
    <x v="4"/>
    <s v="Comics"/>
    <x v="0"/>
    <n v="2"/>
    <n v="2340.62"/>
    <n v="21.6"/>
    <n v="3670.09"/>
    <n v="875.15"/>
    <x v="3"/>
  </r>
  <r>
    <s v="ORD100887"/>
    <x v="323"/>
    <x v="3"/>
    <x v="1"/>
    <x v="0"/>
    <x v="0"/>
    <s v="Tea"/>
    <x v="1"/>
    <n v="1"/>
    <n v="755.81"/>
    <n v="8.42"/>
    <n v="692.17"/>
    <n v="176.58"/>
    <x v="0"/>
  </r>
  <r>
    <s v="ORD100888"/>
    <x v="323"/>
    <x v="2"/>
    <x v="2"/>
    <x v="0"/>
    <x v="5"/>
    <s v="Keyboard"/>
    <x v="0"/>
    <n v="4"/>
    <n v="58526.18"/>
    <n v="12.33"/>
    <n v="205239.61"/>
    <n v="42547.16"/>
    <x v="1"/>
  </r>
  <r>
    <s v="ORD100889"/>
    <x v="324"/>
    <x v="0"/>
    <x v="3"/>
    <x v="2"/>
    <x v="4"/>
    <s v="Notebook"/>
    <x v="1"/>
    <n v="6"/>
    <n v="1914.96"/>
    <n v="8.2799999999999994"/>
    <n v="10538.41"/>
    <n v="2911.14"/>
    <x v="1"/>
  </r>
  <r>
    <s v="ORD100890"/>
    <x v="324"/>
    <x v="8"/>
    <x v="4"/>
    <x v="3"/>
    <x v="4"/>
    <s v="Notebook"/>
    <x v="2"/>
    <n v="10"/>
    <n v="332.36"/>
    <n v="14.28"/>
    <n v="2848.99"/>
    <n v="848.78"/>
    <x v="2"/>
  </r>
  <r>
    <s v="ORD100891"/>
    <x v="325"/>
    <x v="14"/>
    <x v="5"/>
    <x v="4"/>
    <x v="5"/>
    <s v="Monitor"/>
    <x v="0"/>
    <n v="4"/>
    <n v="18633.98"/>
    <n v="27.67"/>
    <n v="53911.83"/>
    <n v="10682.2"/>
    <x v="4"/>
  </r>
  <r>
    <s v="ORD100892"/>
    <x v="325"/>
    <x v="6"/>
    <x v="6"/>
    <x v="2"/>
    <x v="1"/>
    <s v="Jacket"/>
    <x v="0"/>
    <n v="9"/>
    <n v="6132.17"/>
    <n v="22.73"/>
    <n v="42644.95"/>
    <n v="10765.4"/>
    <x v="2"/>
  </r>
  <r>
    <s v="ORD100893"/>
    <x v="325"/>
    <x v="10"/>
    <x v="7"/>
    <x v="4"/>
    <x v="1"/>
    <s v="Jeans"/>
    <x v="0"/>
    <n v="3"/>
    <n v="3141.44"/>
    <n v="4.07"/>
    <n v="9040.75"/>
    <n v="1623.72"/>
    <x v="1"/>
  </r>
  <r>
    <s v="ORD100894"/>
    <x v="326"/>
    <x v="2"/>
    <x v="8"/>
    <x v="3"/>
    <x v="3"/>
    <s v="Tennis Ball"/>
    <x v="0"/>
    <n v="7"/>
    <n v="4498.3900000000003"/>
    <n v="22.81"/>
    <n v="24306.15"/>
    <n v="3769.48"/>
    <x v="2"/>
  </r>
  <r>
    <s v="ORD100895"/>
    <x v="326"/>
    <x v="2"/>
    <x v="9"/>
    <x v="0"/>
    <x v="3"/>
    <s v="Cricket Bat"/>
    <x v="1"/>
    <n v="4"/>
    <n v="1214.43"/>
    <n v="3.22"/>
    <n v="4701.3"/>
    <n v="353.97"/>
    <x v="3"/>
  </r>
  <r>
    <s v="ORD100896"/>
    <x v="326"/>
    <x v="11"/>
    <x v="10"/>
    <x v="4"/>
    <x v="3"/>
    <s v="Tennis Ball"/>
    <x v="2"/>
    <n v="10"/>
    <n v="8971.83"/>
    <n v="29.16"/>
    <n v="63556.44"/>
    <n v="16831.73"/>
    <x v="4"/>
  </r>
  <r>
    <s v="ORD100897"/>
    <x v="327"/>
    <x v="1"/>
    <x v="11"/>
    <x v="4"/>
    <x v="1"/>
    <s v="T-Shirt"/>
    <x v="1"/>
    <n v="7"/>
    <n v="654.73"/>
    <n v="16.32"/>
    <n v="3835.15"/>
    <n v="516.36"/>
    <x v="4"/>
  </r>
  <r>
    <s v="ORD100898"/>
    <x v="327"/>
    <x v="8"/>
    <x v="12"/>
    <x v="0"/>
    <x v="5"/>
    <s v="Smartphone"/>
    <x v="0"/>
    <n v="8"/>
    <n v="62474.45"/>
    <n v="0.67"/>
    <n v="496446.97"/>
    <n v="99275.22"/>
    <x v="1"/>
  </r>
  <r>
    <s v="ORD100899"/>
    <x v="327"/>
    <x v="10"/>
    <x v="13"/>
    <x v="0"/>
    <x v="2"/>
    <s v="Office Chair"/>
    <x v="2"/>
    <n v="8"/>
    <n v="13575.54"/>
    <n v="13.21"/>
    <n v="94257.69"/>
    <n v="24346.99"/>
    <x v="1"/>
  </r>
  <r>
    <s v="ORD100900"/>
    <x v="328"/>
    <x v="14"/>
    <x v="14"/>
    <x v="0"/>
    <x v="3"/>
    <s v="Cricket Bat"/>
    <x v="1"/>
    <n v="4"/>
    <n v="9824.92"/>
    <n v="29.49"/>
    <n v="27710.2"/>
    <n v="7793.33"/>
    <x v="3"/>
  </r>
  <r>
    <s v="ORD100901"/>
    <x v="328"/>
    <x v="12"/>
    <x v="0"/>
    <x v="2"/>
    <x v="3"/>
    <s v="Tennis Ball"/>
    <x v="2"/>
    <n v="6"/>
    <n v="8097.73"/>
    <n v="2.38"/>
    <n v="47430.02"/>
    <n v="4642.09"/>
    <x v="4"/>
  </r>
  <r>
    <s v="ORD100902"/>
    <x v="329"/>
    <x v="13"/>
    <x v="1"/>
    <x v="3"/>
    <x v="4"/>
    <s v="Textbook"/>
    <x v="0"/>
    <n v="4"/>
    <n v="395.88"/>
    <n v="4.42"/>
    <n v="1513.53"/>
    <n v="86.93"/>
    <x v="2"/>
  </r>
  <r>
    <s v="ORD100903"/>
    <x v="329"/>
    <x v="5"/>
    <x v="2"/>
    <x v="0"/>
    <x v="0"/>
    <s v="Snacks"/>
    <x v="0"/>
    <n v="1"/>
    <n v="2978.16"/>
    <n v="19.77"/>
    <n v="2389.38"/>
    <n v="149.61000000000001"/>
    <x v="2"/>
  </r>
  <r>
    <s v="ORD100904"/>
    <x v="329"/>
    <x v="1"/>
    <x v="3"/>
    <x v="1"/>
    <x v="5"/>
    <s v="Laptop"/>
    <x v="2"/>
    <n v="1"/>
    <n v="74250.13"/>
    <n v="28.49"/>
    <n v="53096.27"/>
    <n v="10019.61"/>
    <x v="3"/>
  </r>
  <r>
    <s v="ORD100905"/>
    <x v="330"/>
    <x v="1"/>
    <x v="4"/>
    <x v="0"/>
    <x v="5"/>
    <s v="Laptop"/>
    <x v="0"/>
    <n v="1"/>
    <n v="13276.71"/>
    <n v="29.35"/>
    <n v="9380"/>
    <n v="840.73"/>
    <x v="4"/>
  </r>
  <r>
    <s v="ORD100906"/>
    <x v="330"/>
    <x v="9"/>
    <x v="5"/>
    <x v="2"/>
    <x v="2"/>
    <s v="Office Chair"/>
    <x v="2"/>
    <n v="8"/>
    <n v="25586.29"/>
    <n v="8.7899999999999991"/>
    <n v="186698.04"/>
    <n v="26769.71"/>
    <x v="1"/>
  </r>
  <r>
    <s v="ORD100907"/>
    <x v="330"/>
    <x v="3"/>
    <x v="6"/>
    <x v="4"/>
    <x v="1"/>
    <s v="T-Shirt"/>
    <x v="1"/>
    <n v="2"/>
    <n v="6377.54"/>
    <n v="0.94"/>
    <n v="12635.18"/>
    <n v="3685.89"/>
    <x v="0"/>
  </r>
  <r>
    <s v="ORD100908"/>
    <x v="331"/>
    <x v="14"/>
    <x v="7"/>
    <x v="2"/>
    <x v="3"/>
    <s v="Tennis Ball"/>
    <x v="0"/>
    <n v="6"/>
    <n v="6146.9"/>
    <n v="3.6"/>
    <n v="35553.67"/>
    <n v="4628.49"/>
    <x v="3"/>
  </r>
  <r>
    <s v="ORD100909"/>
    <x v="331"/>
    <x v="0"/>
    <x v="8"/>
    <x v="2"/>
    <x v="0"/>
    <s v="Snacks"/>
    <x v="2"/>
    <n v="3"/>
    <n v="621.67999999999995"/>
    <n v="6.44"/>
    <n v="1744.93"/>
    <n v="409.25"/>
    <x v="3"/>
  </r>
  <r>
    <s v="ORD100910"/>
    <x v="331"/>
    <x v="2"/>
    <x v="9"/>
    <x v="2"/>
    <x v="1"/>
    <s v="Shoes"/>
    <x v="1"/>
    <n v="3"/>
    <n v="4292.3999999999996"/>
    <n v="10.57"/>
    <n v="11516.08"/>
    <n v="1249.6600000000001"/>
    <x v="0"/>
  </r>
  <r>
    <s v="ORD100911"/>
    <x v="332"/>
    <x v="5"/>
    <x v="10"/>
    <x v="0"/>
    <x v="5"/>
    <s v="Headphones"/>
    <x v="2"/>
    <n v="4"/>
    <n v="32004.04"/>
    <n v="20.82"/>
    <n v="101363.2"/>
    <n v="17467.990000000002"/>
    <x v="1"/>
  </r>
  <r>
    <s v="ORD100912"/>
    <x v="332"/>
    <x v="7"/>
    <x v="11"/>
    <x v="3"/>
    <x v="5"/>
    <s v="Keyboard"/>
    <x v="0"/>
    <n v="3"/>
    <n v="44756.22"/>
    <n v="19.37"/>
    <n v="108260.82"/>
    <n v="5778.89"/>
    <x v="0"/>
  </r>
  <r>
    <s v="ORD100913"/>
    <x v="333"/>
    <x v="8"/>
    <x v="12"/>
    <x v="2"/>
    <x v="1"/>
    <s v="Jeans"/>
    <x v="0"/>
    <n v="1"/>
    <n v="7582.47"/>
    <n v="5.91"/>
    <n v="7134.35"/>
    <n v="1918"/>
    <x v="0"/>
  </r>
  <r>
    <s v="ORD100914"/>
    <x v="333"/>
    <x v="14"/>
    <x v="13"/>
    <x v="1"/>
    <x v="0"/>
    <s v="Tea"/>
    <x v="1"/>
    <n v="5"/>
    <n v="623.91999999999996"/>
    <n v="21.95"/>
    <n v="2434.85"/>
    <n v="215.57"/>
    <x v="2"/>
  </r>
  <r>
    <s v="ORD100915"/>
    <x v="333"/>
    <x v="14"/>
    <x v="14"/>
    <x v="4"/>
    <x v="1"/>
    <s v="Jeans"/>
    <x v="1"/>
    <n v="10"/>
    <n v="5176.17"/>
    <n v="2.98"/>
    <n v="50219.199999999997"/>
    <n v="10096.24"/>
    <x v="1"/>
  </r>
  <r>
    <s v="ORD100916"/>
    <x v="334"/>
    <x v="4"/>
    <x v="0"/>
    <x v="3"/>
    <x v="3"/>
    <s v="Yoga Mat"/>
    <x v="0"/>
    <n v="3"/>
    <n v="6897.66"/>
    <n v="20.52"/>
    <n v="16446.78"/>
    <n v="2885.75"/>
    <x v="4"/>
  </r>
  <r>
    <s v="ORD100917"/>
    <x v="334"/>
    <x v="2"/>
    <x v="1"/>
    <x v="1"/>
    <x v="2"/>
    <s v="Desk"/>
    <x v="2"/>
    <n v="1"/>
    <n v="35899.9"/>
    <n v="0.73"/>
    <n v="35637.83"/>
    <n v="4887.75"/>
    <x v="0"/>
  </r>
  <r>
    <s v="ORD100918"/>
    <x v="334"/>
    <x v="14"/>
    <x v="2"/>
    <x v="3"/>
    <x v="4"/>
    <s v="Notebook"/>
    <x v="0"/>
    <n v="3"/>
    <n v="408.59"/>
    <n v="0.55000000000000004"/>
    <n v="1219.03"/>
    <n v="271.12"/>
    <x v="0"/>
  </r>
  <r>
    <s v="ORD100919"/>
    <x v="335"/>
    <x v="14"/>
    <x v="3"/>
    <x v="4"/>
    <x v="3"/>
    <s v="Tennis Ball"/>
    <x v="1"/>
    <n v="4"/>
    <n v="5229.07"/>
    <n v="14.87"/>
    <n v="17806.03"/>
    <n v="2371.4699999999998"/>
    <x v="4"/>
  </r>
  <r>
    <s v="ORD100920"/>
    <x v="335"/>
    <x v="11"/>
    <x v="4"/>
    <x v="0"/>
    <x v="0"/>
    <s v="Snacks"/>
    <x v="0"/>
    <n v="1"/>
    <n v="2484.15"/>
    <n v="14.56"/>
    <n v="2122.46"/>
    <n v="394.46"/>
    <x v="3"/>
  </r>
  <r>
    <s v="ORD100921"/>
    <x v="335"/>
    <x v="11"/>
    <x v="5"/>
    <x v="0"/>
    <x v="0"/>
    <s v="Cooking Oil"/>
    <x v="0"/>
    <n v="8"/>
    <n v="1359.38"/>
    <n v="5.64"/>
    <n v="10261.69"/>
    <n v="2188.66"/>
    <x v="0"/>
  </r>
  <r>
    <s v="ORD100922"/>
    <x v="336"/>
    <x v="9"/>
    <x v="6"/>
    <x v="0"/>
    <x v="5"/>
    <s v="Monitor"/>
    <x v="0"/>
    <n v="3"/>
    <n v="4881.22"/>
    <n v="26.64"/>
    <n v="10742.59"/>
    <n v="2425.12"/>
    <x v="4"/>
  </r>
  <r>
    <s v="ORD100923"/>
    <x v="336"/>
    <x v="9"/>
    <x v="7"/>
    <x v="2"/>
    <x v="1"/>
    <s v="Dress"/>
    <x v="0"/>
    <n v="1"/>
    <n v="7204.95"/>
    <n v="6.32"/>
    <n v="6749.6"/>
    <n v="721.42"/>
    <x v="2"/>
  </r>
  <r>
    <s v="ORD100924"/>
    <x v="337"/>
    <x v="6"/>
    <x v="8"/>
    <x v="1"/>
    <x v="2"/>
    <s v="Desk"/>
    <x v="0"/>
    <n v="4"/>
    <n v="18577.54"/>
    <n v="22.61"/>
    <n v="57508.63"/>
    <n v="16614.810000000001"/>
    <x v="0"/>
  </r>
  <r>
    <s v="ORD100925"/>
    <x v="337"/>
    <x v="0"/>
    <x v="9"/>
    <x v="4"/>
    <x v="4"/>
    <s v="Dictionary"/>
    <x v="0"/>
    <n v="5"/>
    <n v="2242.27"/>
    <n v="13.76"/>
    <n v="9668.67"/>
    <n v="2119.8000000000002"/>
    <x v="0"/>
  </r>
  <r>
    <s v="ORD100926"/>
    <x v="337"/>
    <x v="10"/>
    <x v="10"/>
    <x v="4"/>
    <x v="1"/>
    <s v="T-Shirt"/>
    <x v="0"/>
    <n v="4"/>
    <n v="2034.09"/>
    <n v="7.71"/>
    <n v="7509.05"/>
    <n v="1275.52"/>
    <x v="1"/>
  </r>
  <r>
    <s v="ORD100927"/>
    <x v="338"/>
    <x v="4"/>
    <x v="11"/>
    <x v="4"/>
    <x v="3"/>
    <s v="Yoga Mat"/>
    <x v="0"/>
    <n v="1"/>
    <n v="3958.64"/>
    <n v="25.1"/>
    <n v="2965.02"/>
    <n v="630.65"/>
    <x v="2"/>
  </r>
  <r>
    <s v="ORD100928"/>
    <x v="338"/>
    <x v="3"/>
    <x v="12"/>
    <x v="1"/>
    <x v="4"/>
    <s v="Novel"/>
    <x v="1"/>
    <n v="1"/>
    <n v="1293.2"/>
    <n v="20.02"/>
    <n v="1034.3"/>
    <n v="55.02"/>
    <x v="1"/>
  </r>
  <r>
    <s v="ORD100929"/>
    <x v="338"/>
    <x v="5"/>
    <x v="13"/>
    <x v="4"/>
    <x v="2"/>
    <s v="Sofa"/>
    <x v="2"/>
    <n v="2"/>
    <n v="29293.64"/>
    <n v="2.4300000000000002"/>
    <n v="57163.61"/>
    <n v="13096.94"/>
    <x v="3"/>
  </r>
  <r>
    <s v="ORD100930"/>
    <x v="339"/>
    <x v="10"/>
    <x v="14"/>
    <x v="2"/>
    <x v="4"/>
    <s v="Notebook"/>
    <x v="2"/>
    <n v="7"/>
    <n v="362.45"/>
    <n v="11.92"/>
    <n v="2234.7199999999998"/>
    <n v="299.93"/>
    <x v="2"/>
  </r>
  <r>
    <s v="ORD100931"/>
    <x v="339"/>
    <x v="12"/>
    <x v="0"/>
    <x v="1"/>
    <x v="5"/>
    <s v="Keyboard"/>
    <x v="0"/>
    <n v="1"/>
    <n v="17421.580000000002"/>
    <n v="20.059999999999999"/>
    <n v="13926.81"/>
    <n v="2586.48"/>
    <x v="3"/>
  </r>
  <r>
    <s v="ORD100932"/>
    <x v="339"/>
    <x v="13"/>
    <x v="1"/>
    <x v="4"/>
    <x v="4"/>
    <s v="Textbook"/>
    <x v="0"/>
    <n v="10"/>
    <n v="2371.31"/>
    <n v="12.45"/>
    <n v="20760.82"/>
    <n v="2734.94"/>
    <x v="0"/>
  </r>
  <r>
    <s v="ORD100933"/>
    <x v="340"/>
    <x v="3"/>
    <x v="2"/>
    <x v="2"/>
    <x v="4"/>
    <s v="Dictionary"/>
    <x v="2"/>
    <n v="7"/>
    <n v="2407.84"/>
    <n v="23.09"/>
    <n v="12963.09"/>
    <n v="2230.65"/>
    <x v="0"/>
  </r>
  <r>
    <s v="ORD100934"/>
    <x v="340"/>
    <x v="6"/>
    <x v="3"/>
    <x v="3"/>
    <x v="5"/>
    <s v="Smartphone"/>
    <x v="2"/>
    <n v="9"/>
    <n v="4982.3599999999997"/>
    <n v="11.08"/>
    <n v="39872.83"/>
    <n v="7035.65"/>
    <x v="2"/>
  </r>
  <r>
    <s v="ORD100935"/>
    <x v="341"/>
    <x v="3"/>
    <x v="4"/>
    <x v="1"/>
    <x v="1"/>
    <s v="Jeans"/>
    <x v="1"/>
    <n v="1"/>
    <n v="2410.12"/>
    <n v="25.38"/>
    <n v="1798.43"/>
    <n v="282.13"/>
    <x v="3"/>
  </r>
  <r>
    <s v="ORD100936"/>
    <x v="341"/>
    <x v="11"/>
    <x v="5"/>
    <x v="3"/>
    <x v="3"/>
    <s v="Badminton Racket"/>
    <x v="0"/>
    <n v="1"/>
    <n v="8436.34"/>
    <n v="21.04"/>
    <n v="6661.33"/>
    <n v="1647.08"/>
    <x v="3"/>
  </r>
  <r>
    <s v="ORD100937"/>
    <x v="341"/>
    <x v="13"/>
    <x v="6"/>
    <x v="1"/>
    <x v="5"/>
    <s v="Laptop"/>
    <x v="2"/>
    <n v="1"/>
    <n v="5366.72"/>
    <n v="17.73"/>
    <n v="4415.2"/>
    <n v="1312.66"/>
    <x v="3"/>
  </r>
  <r>
    <s v="ORD100938"/>
    <x v="342"/>
    <x v="12"/>
    <x v="7"/>
    <x v="3"/>
    <x v="0"/>
    <s v="Rice"/>
    <x v="0"/>
    <n v="6"/>
    <n v="2828.36"/>
    <n v="18.11"/>
    <n v="13896.86"/>
    <n v="1060.56"/>
    <x v="2"/>
  </r>
  <r>
    <s v="ORD100939"/>
    <x v="342"/>
    <x v="8"/>
    <x v="8"/>
    <x v="0"/>
    <x v="4"/>
    <s v="Novel"/>
    <x v="0"/>
    <n v="1"/>
    <n v="1402.18"/>
    <n v="6.99"/>
    <n v="1304.17"/>
    <n v="252.24"/>
    <x v="3"/>
  </r>
  <r>
    <s v="ORD100940"/>
    <x v="342"/>
    <x v="12"/>
    <x v="9"/>
    <x v="0"/>
    <x v="4"/>
    <s v="Comics"/>
    <x v="2"/>
    <n v="8"/>
    <n v="2097.37"/>
    <n v="8.24"/>
    <n v="15396.37"/>
    <n v="3591.79"/>
    <x v="3"/>
  </r>
  <r>
    <s v="ORD100941"/>
    <x v="343"/>
    <x v="14"/>
    <x v="10"/>
    <x v="4"/>
    <x v="2"/>
    <s v="Sofa"/>
    <x v="1"/>
    <n v="4"/>
    <n v="29636.61"/>
    <n v="11.13"/>
    <n v="105352.22"/>
    <n v="24233.69"/>
    <x v="3"/>
  </r>
  <r>
    <s v="ORD100942"/>
    <x v="343"/>
    <x v="1"/>
    <x v="11"/>
    <x v="4"/>
    <x v="0"/>
    <s v="Rice"/>
    <x v="1"/>
    <n v="8"/>
    <n v="705.14"/>
    <n v="24.74"/>
    <n v="4245.51"/>
    <n v="857.96"/>
    <x v="2"/>
  </r>
  <r>
    <s v="ORD100943"/>
    <x v="344"/>
    <x v="6"/>
    <x v="12"/>
    <x v="3"/>
    <x v="1"/>
    <s v="Jeans"/>
    <x v="0"/>
    <n v="1"/>
    <n v="1205.19"/>
    <n v="29.71"/>
    <n v="847.13"/>
    <n v="86.71"/>
    <x v="4"/>
  </r>
  <r>
    <s v="ORD100944"/>
    <x v="344"/>
    <x v="5"/>
    <x v="13"/>
    <x v="4"/>
    <x v="4"/>
    <s v="Notebook"/>
    <x v="1"/>
    <n v="2"/>
    <n v="1987.66"/>
    <n v="9.3800000000000008"/>
    <n v="3602.43"/>
    <n v="1003.67"/>
    <x v="3"/>
  </r>
  <r>
    <s v="ORD100945"/>
    <x v="344"/>
    <x v="0"/>
    <x v="14"/>
    <x v="2"/>
    <x v="3"/>
    <s v="Badminton Racket"/>
    <x v="0"/>
    <n v="5"/>
    <n v="1952.64"/>
    <n v="27.06"/>
    <n v="7121.28"/>
    <n v="1063.18"/>
    <x v="0"/>
  </r>
  <r>
    <s v="ORD100946"/>
    <x v="345"/>
    <x v="6"/>
    <x v="0"/>
    <x v="0"/>
    <x v="5"/>
    <s v="Keyboard"/>
    <x v="0"/>
    <n v="9"/>
    <n v="15564.47"/>
    <n v="20.29"/>
    <n v="111657.95"/>
    <n v="8158.54"/>
    <x v="3"/>
  </r>
  <r>
    <s v="ORD100947"/>
    <x v="345"/>
    <x v="2"/>
    <x v="1"/>
    <x v="0"/>
    <x v="3"/>
    <s v="Football"/>
    <x v="0"/>
    <n v="8"/>
    <n v="8918.94"/>
    <n v="13.21"/>
    <n v="61925.98"/>
    <n v="17047.88"/>
    <x v="3"/>
  </r>
  <r>
    <s v="ORD100948"/>
    <x v="345"/>
    <x v="5"/>
    <x v="2"/>
    <x v="1"/>
    <x v="2"/>
    <s v="Bookshelf"/>
    <x v="1"/>
    <n v="5"/>
    <n v="27026.7"/>
    <n v="1.32"/>
    <n v="133349.74"/>
    <n v="17556.22"/>
    <x v="1"/>
  </r>
  <r>
    <s v="ORD100949"/>
    <x v="346"/>
    <x v="7"/>
    <x v="3"/>
    <x v="1"/>
    <x v="3"/>
    <s v="Football"/>
    <x v="2"/>
    <n v="9"/>
    <n v="9748.6200000000008"/>
    <n v="1.39"/>
    <n v="86518.03"/>
    <n v="12021.12"/>
    <x v="3"/>
  </r>
  <r>
    <s v="ORD100950"/>
    <x v="346"/>
    <x v="7"/>
    <x v="4"/>
    <x v="0"/>
    <x v="3"/>
    <s v="Yoga Mat"/>
    <x v="2"/>
    <n v="1"/>
    <n v="3331.98"/>
    <n v="17.75"/>
    <n v="2740.55"/>
    <n v="186.51"/>
    <x v="1"/>
  </r>
  <r>
    <s v="ORD100951"/>
    <x v="346"/>
    <x v="5"/>
    <x v="5"/>
    <x v="4"/>
    <x v="4"/>
    <s v="Notebook"/>
    <x v="1"/>
    <n v="1"/>
    <n v="1907.95"/>
    <n v="21.49"/>
    <n v="1497.93"/>
    <n v="325.57"/>
    <x v="2"/>
  </r>
  <r>
    <s v="ORD100952"/>
    <x v="347"/>
    <x v="13"/>
    <x v="6"/>
    <x v="1"/>
    <x v="4"/>
    <s v="Novel"/>
    <x v="1"/>
    <n v="9"/>
    <n v="1710.93"/>
    <n v="0.94"/>
    <n v="15253.63"/>
    <n v="3533.11"/>
    <x v="2"/>
  </r>
  <r>
    <s v="ORD100953"/>
    <x v="347"/>
    <x v="3"/>
    <x v="7"/>
    <x v="4"/>
    <x v="4"/>
    <s v="Dictionary"/>
    <x v="0"/>
    <n v="8"/>
    <n v="1366.75"/>
    <n v="15.53"/>
    <n v="9235.9500000000007"/>
    <n v="1796.11"/>
    <x v="2"/>
  </r>
  <r>
    <s v="ORD100954"/>
    <x v="348"/>
    <x v="3"/>
    <x v="8"/>
    <x v="0"/>
    <x v="4"/>
    <s v="Novel"/>
    <x v="0"/>
    <n v="7"/>
    <n v="2330.81"/>
    <n v="5.17"/>
    <n v="15472.15"/>
    <n v="3015.65"/>
    <x v="4"/>
  </r>
  <r>
    <s v="ORD100955"/>
    <x v="348"/>
    <x v="1"/>
    <x v="9"/>
    <x v="4"/>
    <x v="1"/>
    <s v="Jacket"/>
    <x v="1"/>
    <n v="1"/>
    <n v="5080.3"/>
    <n v="21.57"/>
    <n v="3984.48"/>
    <n v="766.54"/>
    <x v="1"/>
  </r>
  <r>
    <s v="ORD100956"/>
    <x v="348"/>
    <x v="11"/>
    <x v="10"/>
    <x v="4"/>
    <x v="1"/>
    <s v="Dress"/>
    <x v="0"/>
    <n v="1"/>
    <n v="5521.54"/>
    <n v="12.43"/>
    <n v="4835.21"/>
    <n v="1075.27"/>
    <x v="3"/>
  </r>
  <r>
    <s v="ORD100957"/>
    <x v="349"/>
    <x v="3"/>
    <x v="11"/>
    <x v="2"/>
    <x v="4"/>
    <s v="Dictionary"/>
    <x v="2"/>
    <n v="7"/>
    <n v="952.7"/>
    <n v="1.47"/>
    <n v="6570.87"/>
    <n v="379.56"/>
    <x v="1"/>
  </r>
  <r>
    <s v="ORD100958"/>
    <x v="349"/>
    <x v="7"/>
    <x v="12"/>
    <x v="0"/>
    <x v="5"/>
    <s v="Keyboard"/>
    <x v="2"/>
    <n v="7"/>
    <n v="19347.099999999999"/>
    <n v="13.42"/>
    <n v="117255.03"/>
    <n v="7984.38"/>
    <x v="4"/>
  </r>
  <r>
    <s v="ORD100959"/>
    <x v="349"/>
    <x v="4"/>
    <x v="13"/>
    <x v="1"/>
    <x v="2"/>
    <s v="Table"/>
    <x v="2"/>
    <n v="3"/>
    <n v="22608.28"/>
    <n v="27.92"/>
    <n v="48888.14"/>
    <n v="2509.7800000000002"/>
    <x v="1"/>
  </r>
  <r>
    <s v="ORD100960"/>
    <x v="350"/>
    <x v="12"/>
    <x v="14"/>
    <x v="1"/>
    <x v="5"/>
    <s v="Headphones"/>
    <x v="0"/>
    <n v="8"/>
    <n v="14781.8"/>
    <n v="28.79"/>
    <n v="84208.960000000006"/>
    <n v="12318.98"/>
    <x v="4"/>
  </r>
  <r>
    <s v="ORD100961"/>
    <x v="350"/>
    <x v="13"/>
    <x v="0"/>
    <x v="0"/>
    <x v="1"/>
    <s v="Jacket"/>
    <x v="2"/>
    <n v="8"/>
    <n v="905.98"/>
    <n v="18.11"/>
    <n v="5935.26"/>
    <n v="540.01"/>
    <x v="3"/>
  </r>
  <r>
    <s v="ORD100962"/>
    <x v="350"/>
    <x v="14"/>
    <x v="1"/>
    <x v="2"/>
    <x v="2"/>
    <s v="Office Chair"/>
    <x v="0"/>
    <n v="4"/>
    <n v="29923.87"/>
    <n v="9.08"/>
    <n v="108827.13"/>
    <n v="23462.36"/>
    <x v="0"/>
  </r>
  <r>
    <s v="ORD100963"/>
    <x v="351"/>
    <x v="5"/>
    <x v="2"/>
    <x v="3"/>
    <x v="5"/>
    <s v="Monitor"/>
    <x v="2"/>
    <n v="6"/>
    <n v="20152.88"/>
    <n v="22.45"/>
    <n v="93771.35"/>
    <n v="10831.41"/>
    <x v="4"/>
  </r>
  <r>
    <s v="ORD100964"/>
    <x v="351"/>
    <x v="12"/>
    <x v="3"/>
    <x v="0"/>
    <x v="0"/>
    <s v="Snacks"/>
    <x v="0"/>
    <n v="7"/>
    <n v="2811.91"/>
    <n v="26"/>
    <n v="14565.69"/>
    <n v="4306.2700000000004"/>
    <x v="2"/>
  </r>
  <r>
    <s v="ORD100965"/>
    <x v="352"/>
    <x v="2"/>
    <x v="4"/>
    <x v="3"/>
    <x v="3"/>
    <s v="Tennis Ball"/>
    <x v="1"/>
    <n v="6"/>
    <n v="2639.65"/>
    <n v="9.73"/>
    <n v="14296.87"/>
    <n v="1909.4"/>
    <x v="2"/>
  </r>
  <r>
    <s v="ORD100966"/>
    <x v="352"/>
    <x v="1"/>
    <x v="5"/>
    <x v="0"/>
    <x v="3"/>
    <s v="Badminton Racket"/>
    <x v="2"/>
    <n v="10"/>
    <n v="4663.92"/>
    <n v="0.92"/>
    <n v="46210.12"/>
    <n v="12467.54"/>
    <x v="2"/>
  </r>
  <r>
    <s v="ORD100967"/>
    <x v="352"/>
    <x v="13"/>
    <x v="6"/>
    <x v="0"/>
    <x v="4"/>
    <s v="Dictionary"/>
    <x v="1"/>
    <n v="1"/>
    <n v="1040.72"/>
    <n v="7.91"/>
    <n v="958.4"/>
    <n v="276.64999999999998"/>
    <x v="0"/>
  </r>
  <r>
    <s v="ORD100968"/>
    <x v="353"/>
    <x v="9"/>
    <x v="7"/>
    <x v="1"/>
    <x v="5"/>
    <s v="Headphones"/>
    <x v="0"/>
    <n v="6"/>
    <n v="68537.919999999998"/>
    <n v="20.43"/>
    <n v="327213.74"/>
    <n v="31623.45"/>
    <x v="4"/>
  </r>
  <r>
    <s v="ORD100969"/>
    <x v="353"/>
    <x v="1"/>
    <x v="8"/>
    <x v="0"/>
    <x v="4"/>
    <s v="Comics"/>
    <x v="1"/>
    <n v="5"/>
    <n v="356.78"/>
    <n v="21.58"/>
    <n v="1398.93"/>
    <n v="368.82"/>
    <x v="4"/>
  </r>
  <r>
    <s v="ORD100970"/>
    <x v="353"/>
    <x v="7"/>
    <x v="9"/>
    <x v="0"/>
    <x v="5"/>
    <s v="Laptop"/>
    <x v="2"/>
    <n v="3"/>
    <n v="8719.9"/>
    <n v="12.95"/>
    <n v="22772.02"/>
    <n v="2447.5300000000002"/>
    <x v="3"/>
  </r>
  <r>
    <s v="ORD100971"/>
    <x v="354"/>
    <x v="7"/>
    <x v="10"/>
    <x v="0"/>
    <x v="4"/>
    <s v="Notebook"/>
    <x v="2"/>
    <n v="2"/>
    <n v="1014.75"/>
    <n v="12.36"/>
    <n v="1778.65"/>
    <n v="412.46"/>
    <x v="0"/>
  </r>
  <r>
    <s v="ORD100972"/>
    <x v="354"/>
    <x v="3"/>
    <x v="11"/>
    <x v="2"/>
    <x v="1"/>
    <s v="Jacket"/>
    <x v="2"/>
    <n v="9"/>
    <n v="3321.34"/>
    <n v="12.16"/>
    <n v="26257.19"/>
    <n v="2136.84"/>
    <x v="2"/>
  </r>
  <r>
    <s v="ORD100973"/>
    <x v="354"/>
    <x v="14"/>
    <x v="12"/>
    <x v="0"/>
    <x v="5"/>
    <s v="Headphones"/>
    <x v="2"/>
    <n v="5"/>
    <n v="72515.09"/>
    <n v="25.16"/>
    <n v="271351.46999999997"/>
    <n v="45524.89"/>
    <x v="2"/>
  </r>
  <r>
    <s v="ORD100974"/>
    <x v="355"/>
    <x v="4"/>
    <x v="13"/>
    <x v="3"/>
    <x v="1"/>
    <s v="Jacket"/>
    <x v="1"/>
    <n v="2"/>
    <n v="5537.83"/>
    <n v="25.27"/>
    <n v="8276.84"/>
    <n v="886.6"/>
    <x v="2"/>
  </r>
  <r>
    <s v="ORD100975"/>
    <x v="355"/>
    <x v="0"/>
    <x v="14"/>
    <x v="1"/>
    <x v="0"/>
    <s v="Rice"/>
    <x v="2"/>
    <n v="10"/>
    <n v="2109.0700000000002"/>
    <n v="23.71"/>
    <n v="16090.1"/>
    <n v="1994.18"/>
    <x v="4"/>
  </r>
  <r>
    <s v="ORD100976"/>
    <x v="356"/>
    <x v="1"/>
    <x v="0"/>
    <x v="4"/>
    <x v="4"/>
    <s v="Novel"/>
    <x v="2"/>
    <n v="7"/>
    <n v="232.8"/>
    <n v="5.94"/>
    <n v="1532.8"/>
    <n v="80.17"/>
    <x v="0"/>
  </r>
  <r>
    <s v="ORD100977"/>
    <x v="356"/>
    <x v="8"/>
    <x v="1"/>
    <x v="0"/>
    <x v="0"/>
    <s v="Cooking Oil"/>
    <x v="1"/>
    <n v="2"/>
    <n v="1070.19"/>
    <n v="10.74"/>
    <n v="1910.5"/>
    <n v="99.56"/>
    <x v="3"/>
  </r>
  <r>
    <s v="ORD100978"/>
    <x v="356"/>
    <x v="4"/>
    <x v="2"/>
    <x v="2"/>
    <x v="1"/>
    <s v="T-Shirt"/>
    <x v="0"/>
    <n v="2"/>
    <n v="7008.74"/>
    <n v="0.46"/>
    <n v="13953"/>
    <n v="2217.6"/>
    <x v="0"/>
  </r>
  <r>
    <s v="ORD100979"/>
    <x v="357"/>
    <x v="4"/>
    <x v="3"/>
    <x v="0"/>
    <x v="3"/>
    <s v="Football"/>
    <x v="1"/>
    <n v="10"/>
    <n v="5586.3"/>
    <n v="26.63"/>
    <n v="40986.68"/>
    <n v="3121.76"/>
    <x v="1"/>
  </r>
  <r>
    <s v="ORD100980"/>
    <x v="357"/>
    <x v="4"/>
    <x v="4"/>
    <x v="0"/>
    <x v="2"/>
    <s v="Table"/>
    <x v="1"/>
    <n v="1"/>
    <n v="20639.23"/>
    <n v="24.05"/>
    <n v="15675.5"/>
    <n v="2514.09"/>
    <x v="2"/>
  </r>
  <r>
    <s v="ORD100981"/>
    <x v="357"/>
    <x v="2"/>
    <x v="5"/>
    <x v="1"/>
    <x v="3"/>
    <s v="Cricket Bat"/>
    <x v="1"/>
    <n v="5"/>
    <n v="8872.2800000000007"/>
    <n v="17.309999999999999"/>
    <n v="36682.44"/>
    <n v="3862.18"/>
    <x v="0"/>
  </r>
  <r>
    <s v="ORD100982"/>
    <x v="358"/>
    <x v="0"/>
    <x v="6"/>
    <x v="0"/>
    <x v="5"/>
    <s v="Headphones"/>
    <x v="1"/>
    <n v="8"/>
    <n v="23738.09"/>
    <n v="24.33"/>
    <n v="143700.9"/>
    <n v="10331.219999999999"/>
    <x v="3"/>
  </r>
  <r>
    <s v="ORD100983"/>
    <x v="358"/>
    <x v="11"/>
    <x v="7"/>
    <x v="4"/>
    <x v="5"/>
    <s v="Laptop"/>
    <x v="1"/>
    <n v="9"/>
    <n v="54606.36"/>
    <n v="3.64"/>
    <n v="473568.2"/>
    <n v="37146.92"/>
    <x v="0"/>
  </r>
  <r>
    <s v="ORD100984"/>
    <x v="358"/>
    <x v="0"/>
    <x v="8"/>
    <x v="1"/>
    <x v="3"/>
    <s v="Yoga Mat"/>
    <x v="1"/>
    <n v="7"/>
    <n v="9415.89"/>
    <n v="7.82"/>
    <n v="60756.97"/>
    <n v="15999.54"/>
    <x v="3"/>
  </r>
  <r>
    <s v="ORD100985"/>
    <x v="359"/>
    <x v="9"/>
    <x v="9"/>
    <x v="0"/>
    <x v="0"/>
    <s v="Coffee"/>
    <x v="1"/>
    <n v="5"/>
    <n v="1006.2"/>
    <n v="29.32"/>
    <n v="3555.91"/>
    <n v="211"/>
    <x v="2"/>
  </r>
  <r>
    <s v="ORD100986"/>
    <x v="359"/>
    <x v="4"/>
    <x v="10"/>
    <x v="4"/>
    <x v="4"/>
    <s v="Dictionary"/>
    <x v="0"/>
    <n v="6"/>
    <n v="2233.2199999999998"/>
    <n v="1.45"/>
    <n v="13205.03"/>
    <n v="2519.6999999999998"/>
    <x v="3"/>
  </r>
  <r>
    <s v="ORD100987"/>
    <x v="360"/>
    <x v="2"/>
    <x v="11"/>
    <x v="0"/>
    <x v="5"/>
    <s v="Laptop"/>
    <x v="0"/>
    <n v="8"/>
    <n v="11699.05"/>
    <n v="18.75"/>
    <n v="76043.820000000007"/>
    <n v="17658.72"/>
    <x v="4"/>
  </r>
  <r>
    <s v="ORD100988"/>
    <x v="360"/>
    <x v="4"/>
    <x v="12"/>
    <x v="3"/>
    <x v="0"/>
    <s v="Tea"/>
    <x v="1"/>
    <n v="7"/>
    <n v="282.99"/>
    <n v="20.8"/>
    <n v="1568.9"/>
    <n v="386.23"/>
    <x v="0"/>
  </r>
  <r>
    <s v="ORD100989"/>
    <x v="360"/>
    <x v="2"/>
    <x v="13"/>
    <x v="2"/>
    <x v="3"/>
    <s v="Badminton Racket"/>
    <x v="0"/>
    <n v="10"/>
    <n v="7680.41"/>
    <n v="17.59"/>
    <n v="63294.26"/>
    <n v="7298.54"/>
    <x v="0"/>
  </r>
  <r>
    <s v="ORD100990"/>
    <x v="361"/>
    <x v="7"/>
    <x v="14"/>
    <x v="0"/>
    <x v="4"/>
    <s v="Dictionary"/>
    <x v="1"/>
    <n v="10"/>
    <n v="2345.96"/>
    <n v="7.02"/>
    <n v="21812.74"/>
    <n v="1550.82"/>
    <x v="4"/>
  </r>
  <r>
    <s v="ORD100991"/>
    <x v="361"/>
    <x v="3"/>
    <x v="0"/>
    <x v="1"/>
    <x v="1"/>
    <s v="Shoes"/>
    <x v="0"/>
    <n v="1"/>
    <n v="7397.3"/>
    <n v="22.72"/>
    <n v="5716.63"/>
    <n v="1331.55"/>
    <x v="1"/>
  </r>
  <r>
    <s v="ORD100992"/>
    <x v="361"/>
    <x v="5"/>
    <x v="1"/>
    <x v="0"/>
    <x v="1"/>
    <s v="Jacket"/>
    <x v="0"/>
    <n v="8"/>
    <n v="2684.92"/>
    <n v="14.48"/>
    <n v="18369.150000000001"/>
    <n v="2402.09"/>
    <x v="2"/>
  </r>
  <r>
    <s v="ORD100993"/>
    <x v="362"/>
    <x v="6"/>
    <x v="2"/>
    <x v="2"/>
    <x v="5"/>
    <s v="Keyboard"/>
    <x v="1"/>
    <n v="2"/>
    <n v="45008.5"/>
    <n v="28.83"/>
    <n v="64065.1"/>
    <n v="13251.81"/>
    <x v="3"/>
  </r>
  <r>
    <s v="ORD100994"/>
    <x v="362"/>
    <x v="13"/>
    <x v="3"/>
    <x v="4"/>
    <x v="2"/>
    <s v="Sofa"/>
    <x v="1"/>
    <n v="9"/>
    <n v="29090.45"/>
    <n v="20.62"/>
    <n v="207827.99"/>
    <n v="15366.5"/>
    <x v="0"/>
  </r>
  <r>
    <s v="ORD100995"/>
    <x v="362"/>
    <x v="11"/>
    <x v="4"/>
    <x v="4"/>
    <x v="0"/>
    <s v="Snacks"/>
    <x v="0"/>
    <n v="2"/>
    <n v="2095.85"/>
    <n v="1.19"/>
    <n v="4141.82"/>
    <n v="1076.26"/>
    <x v="0"/>
  </r>
  <r>
    <s v="ORD100996"/>
    <x v="363"/>
    <x v="4"/>
    <x v="5"/>
    <x v="3"/>
    <x v="1"/>
    <s v="Dress"/>
    <x v="0"/>
    <n v="6"/>
    <n v="3391.87"/>
    <n v="9.01"/>
    <n v="18517.580000000002"/>
    <n v="4644.5"/>
    <x v="4"/>
  </r>
  <r>
    <s v="ORD100997"/>
    <x v="363"/>
    <x v="12"/>
    <x v="6"/>
    <x v="1"/>
    <x v="2"/>
    <s v="Bookshelf"/>
    <x v="0"/>
    <n v="4"/>
    <n v="23977.1"/>
    <n v="13.63"/>
    <n v="82836.09"/>
    <n v="19573.03"/>
    <x v="2"/>
  </r>
  <r>
    <s v="ORD100998"/>
    <x v="364"/>
    <x v="7"/>
    <x v="7"/>
    <x v="0"/>
    <x v="3"/>
    <s v="Badminton Racket"/>
    <x v="2"/>
    <n v="2"/>
    <n v="3906.43"/>
    <n v="23.82"/>
    <n v="5951.84"/>
    <n v="1598.69"/>
    <x v="4"/>
  </r>
  <r>
    <s v="ORD100999"/>
    <x v="364"/>
    <x v="3"/>
    <x v="8"/>
    <x v="0"/>
    <x v="1"/>
    <s v="Dress"/>
    <x v="0"/>
    <n v="7"/>
    <n v="7843.95"/>
    <n v="8.0500000000000007"/>
    <n v="50487.58"/>
    <n v="3041.6"/>
    <x v="2"/>
  </r>
  <r>
    <s v="ORD101000"/>
    <x v="364"/>
    <x v="14"/>
    <x v="9"/>
    <x v="2"/>
    <x v="1"/>
    <s v="T-Shirt"/>
    <x v="1"/>
    <n v="8"/>
    <n v="5774.61"/>
    <n v="13.17"/>
    <n v="40112.75"/>
    <n v="3136.79"/>
    <x v="2"/>
  </r>
  <r>
    <s v="ORD101001"/>
    <x v="365"/>
    <x v="1"/>
    <x v="10"/>
    <x v="2"/>
    <x v="0"/>
    <s v="Rice"/>
    <x v="2"/>
    <n v="3"/>
    <n v="1042.1199999999999"/>
    <n v="7.03"/>
    <n v="2906.58"/>
    <n v="494.59"/>
    <x v="1"/>
  </r>
  <r>
    <s v="ORD101002"/>
    <x v="365"/>
    <x v="9"/>
    <x v="11"/>
    <x v="2"/>
    <x v="4"/>
    <s v="Dictionary"/>
    <x v="2"/>
    <n v="8"/>
    <n v="135.65"/>
    <n v="14.43"/>
    <n v="928.61"/>
    <n v="123.82"/>
    <x v="4"/>
  </r>
  <r>
    <s v="ORD101003"/>
    <x v="365"/>
    <x v="4"/>
    <x v="12"/>
    <x v="3"/>
    <x v="1"/>
    <s v="Jeans"/>
    <x v="2"/>
    <n v="1"/>
    <n v="5941.97"/>
    <n v="20.58"/>
    <n v="4719.1099999999997"/>
    <n v="1219.03"/>
    <x v="0"/>
  </r>
  <r>
    <s v="ORD101004"/>
    <x v="366"/>
    <x v="11"/>
    <x v="13"/>
    <x v="4"/>
    <x v="2"/>
    <s v="Desk"/>
    <x v="1"/>
    <n v="9"/>
    <n v="13237.5"/>
    <n v="4.26"/>
    <n v="114062.24"/>
    <n v="11799.77"/>
    <x v="3"/>
  </r>
  <r>
    <s v="ORD101005"/>
    <x v="366"/>
    <x v="5"/>
    <x v="14"/>
    <x v="3"/>
    <x v="3"/>
    <s v="Football"/>
    <x v="1"/>
    <n v="4"/>
    <n v="2549.15"/>
    <n v="11.18"/>
    <n v="9056.6200000000008"/>
    <n v="974.36"/>
    <x v="2"/>
  </r>
  <r>
    <s v="ORD101006"/>
    <x v="367"/>
    <x v="0"/>
    <x v="0"/>
    <x v="3"/>
    <x v="1"/>
    <s v="Dress"/>
    <x v="2"/>
    <n v="10"/>
    <n v="1771.1"/>
    <n v="13.22"/>
    <n v="15369.61"/>
    <n v="3015.35"/>
    <x v="0"/>
  </r>
  <r>
    <s v="ORD101007"/>
    <x v="367"/>
    <x v="14"/>
    <x v="1"/>
    <x v="3"/>
    <x v="3"/>
    <s v="Cricket Bat"/>
    <x v="2"/>
    <n v="8"/>
    <n v="9553.09"/>
    <n v="27.32"/>
    <n v="55545.49"/>
    <n v="16140.14"/>
    <x v="4"/>
  </r>
  <r>
    <s v="ORD101008"/>
    <x v="367"/>
    <x v="4"/>
    <x v="2"/>
    <x v="2"/>
    <x v="4"/>
    <s v="Textbook"/>
    <x v="1"/>
    <n v="10"/>
    <n v="832.51"/>
    <n v="29.21"/>
    <n v="5893.34"/>
    <n v="1272.02"/>
    <x v="4"/>
  </r>
  <r>
    <s v="ORD101009"/>
    <x v="368"/>
    <x v="7"/>
    <x v="3"/>
    <x v="1"/>
    <x v="5"/>
    <s v="Monitor"/>
    <x v="1"/>
    <n v="3"/>
    <n v="14150.94"/>
    <n v="15.9"/>
    <n v="35702.82"/>
    <n v="4373.4799999999996"/>
    <x v="3"/>
  </r>
  <r>
    <s v="ORD101010"/>
    <x v="368"/>
    <x v="1"/>
    <x v="4"/>
    <x v="3"/>
    <x v="0"/>
    <s v="Rice"/>
    <x v="2"/>
    <n v="10"/>
    <n v="2524.7199999999998"/>
    <n v="0.97"/>
    <n v="25002.3"/>
    <n v="4501.5600000000004"/>
    <x v="2"/>
  </r>
  <r>
    <s v="ORD101011"/>
    <x v="368"/>
    <x v="14"/>
    <x v="5"/>
    <x v="1"/>
    <x v="3"/>
    <s v="Tennis Ball"/>
    <x v="2"/>
    <n v="4"/>
    <n v="6878.31"/>
    <n v="1.91"/>
    <n v="26987.74"/>
    <n v="4022.84"/>
    <x v="1"/>
  </r>
  <r>
    <s v="ORD101012"/>
    <x v="369"/>
    <x v="7"/>
    <x v="6"/>
    <x v="3"/>
    <x v="2"/>
    <s v="Desk"/>
    <x v="2"/>
    <n v="10"/>
    <n v="16708.27"/>
    <n v="1.0900000000000001"/>
    <n v="165261.5"/>
    <n v="31033.69"/>
    <x v="1"/>
  </r>
  <r>
    <s v="ORD101013"/>
    <x v="369"/>
    <x v="8"/>
    <x v="7"/>
    <x v="0"/>
    <x v="1"/>
    <s v="T-Shirt"/>
    <x v="1"/>
    <n v="3"/>
    <n v="5475.95"/>
    <n v="5.9"/>
    <n v="15458.61"/>
    <n v="4234.32"/>
    <x v="4"/>
  </r>
  <r>
    <s v="ORD101014"/>
    <x v="369"/>
    <x v="12"/>
    <x v="8"/>
    <x v="4"/>
    <x v="2"/>
    <s v="Sofa"/>
    <x v="1"/>
    <n v="6"/>
    <n v="16689.490000000002"/>
    <n v="23.5"/>
    <n v="76604.759999999995"/>
    <n v="22268.71"/>
    <x v="3"/>
  </r>
  <r>
    <s v="ORD101015"/>
    <x v="370"/>
    <x v="5"/>
    <x v="9"/>
    <x v="0"/>
    <x v="5"/>
    <s v="Laptop"/>
    <x v="0"/>
    <n v="7"/>
    <n v="2050.46"/>
    <n v="24.17"/>
    <n v="10884.05"/>
    <n v="838.53"/>
    <x v="0"/>
  </r>
  <r>
    <s v="ORD101016"/>
    <x v="370"/>
    <x v="4"/>
    <x v="10"/>
    <x v="4"/>
    <x v="0"/>
    <s v="Cooking Oil"/>
    <x v="0"/>
    <n v="10"/>
    <n v="1484.86"/>
    <n v="8.9499999999999993"/>
    <n v="13519.65"/>
    <n v="2832.68"/>
    <x v="1"/>
  </r>
  <r>
    <s v="ORD101017"/>
    <x v="371"/>
    <x v="6"/>
    <x v="11"/>
    <x v="1"/>
    <x v="1"/>
    <s v="Shoes"/>
    <x v="0"/>
    <n v="8"/>
    <n v="1029.72"/>
    <n v="0.2"/>
    <n v="8221.2800000000007"/>
    <n v="725.41"/>
    <x v="4"/>
  </r>
  <r>
    <s v="ORD101018"/>
    <x v="371"/>
    <x v="13"/>
    <x v="12"/>
    <x v="2"/>
    <x v="0"/>
    <s v="Rice"/>
    <x v="2"/>
    <n v="8"/>
    <n v="760.94"/>
    <n v="28.08"/>
    <n v="4378.1400000000003"/>
    <n v="788.24"/>
    <x v="3"/>
  </r>
  <r>
    <s v="ORD101019"/>
    <x v="371"/>
    <x v="8"/>
    <x v="13"/>
    <x v="1"/>
    <x v="2"/>
    <s v="Table"/>
    <x v="0"/>
    <n v="2"/>
    <n v="9084.02"/>
    <n v="11.33"/>
    <n v="16109.6"/>
    <n v="2080.89"/>
    <x v="1"/>
  </r>
  <r>
    <s v="ORD101020"/>
    <x v="372"/>
    <x v="13"/>
    <x v="14"/>
    <x v="4"/>
    <x v="3"/>
    <s v="Badminton Racket"/>
    <x v="0"/>
    <n v="3"/>
    <n v="9322.7999999999993"/>
    <n v="3.33"/>
    <n v="27037.05"/>
    <n v="4097.8"/>
    <x v="3"/>
  </r>
  <r>
    <s v="ORD101021"/>
    <x v="372"/>
    <x v="1"/>
    <x v="0"/>
    <x v="4"/>
    <x v="2"/>
    <s v="Desk"/>
    <x v="2"/>
    <n v="4"/>
    <n v="39258.47"/>
    <n v="27.8"/>
    <n v="113378.46"/>
    <n v="31125.9"/>
    <x v="1"/>
  </r>
  <r>
    <s v="ORD101022"/>
    <x v="372"/>
    <x v="2"/>
    <x v="1"/>
    <x v="1"/>
    <x v="2"/>
    <s v="Sofa"/>
    <x v="1"/>
    <n v="5"/>
    <n v="29602.67"/>
    <n v="26.14"/>
    <n v="109322.66"/>
    <n v="10729.52"/>
    <x v="3"/>
  </r>
  <r>
    <s v="ORD101023"/>
    <x v="373"/>
    <x v="4"/>
    <x v="2"/>
    <x v="2"/>
    <x v="2"/>
    <s v="Bookshelf"/>
    <x v="1"/>
    <n v="9"/>
    <n v="15022.18"/>
    <n v="3.77"/>
    <n v="130102.59"/>
    <n v="25673.52"/>
    <x v="2"/>
  </r>
  <r>
    <s v="ORD101024"/>
    <x v="373"/>
    <x v="12"/>
    <x v="3"/>
    <x v="0"/>
    <x v="5"/>
    <s v="Keyboard"/>
    <x v="0"/>
    <n v="5"/>
    <n v="56367.69"/>
    <n v="23.78"/>
    <n v="214817.27"/>
    <n v="44527.19"/>
    <x v="4"/>
  </r>
  <r>
    <s v="ORD101025"/>
    <x v="373"/>
    <x v="6"/>
    <x v="4"/>
    <x v="0"/>
    <x v="2"/>
    <s v="Desk"/>
    <x v="1"/>
    <n v="6"/>
    <n v="27688.82"/>
    <n v="10.8"/>
    <n v="148190.56"/>
    <n v="32150.17"/>
    <x v="0"/>
  </r>
  <r>
    <s v="ORD101026"/>
    <x v="374"/>
    <x v="8"/>
    <x v="5"/>
    <x v="4"/>
    <x v="0"/>
    <s v="Coffee"/>
    <x v="1"/>
    <n v="2"/>
    <n v="652.5"/>
    <n v="7.42"/>
    <n v="1208.17"/>
    <n v="361.27"/>
    <x v="3"/>
  </r>
  <r>
    <s v="ORD101027"/>
    <x v="374"/>
    <x v="13"/>
    <x v="6"/>
    <x v="2"/>
    <x v="4"/>
    <s v="Notebook"/>
    <x v="0"/>
    <n v="10"/>
    <n v="2263.61"/>
    <n v="1.04"/>
    <n v="22400.68"/>
    <n v="2911.41"/>
    <x v="3"/>
  </r>
  <r>
    <s v="ORD101028"/>
    <x v="375"/>
    <x v="13"/>
    <x v="7"/>
    <x v="0"/>
    <x v="0"/>
    <s v="Cooking Oil"/>
    <x v="1"/>
    <n v="7"/>
    <n v="444.59"/>
    <n v="26.57"/>
    <n v="2285.2399999999998"/>
    <n v="485.17"/>
    <x v="3"/>
  </r>
  <r>
    <s v="ORD101029"/>
    <x v="375"/>
    <x v="6"/>
    <x v="8"/>
    <x v="3"/>
    <x v="5"/>
    <s v="Keyboard"/>
    <x v="1"/>
    <n v="1"/>
    <n v="14754.05"/>
    <n v="6.77"/>
    <n v="13755.2"/>
    <n v="774.21"/>
    <x v="1"/>
  </r>
  <r>
    <s v="ORD101030"/>
    <x v="375"/>
    <x v="11"/>
    <x v="9"/>
    <x v="3"/>
    <x v="4"/>
    <s v="Comics"/>
    <x v="0"/>
    <n v="10"/>
    <n v="1713.47"/>
    <n v="26.93"/>
    <n v="12520.33"/>
    <n v="2025.67"/>
    <x v="2"/>
  </r>
  <r>
    <s v="ORD101031"/>
    <x v="376"/>
    <x v="14"/>
    <x v="10"/>
    <x v="1"/>
    <x v="4"/>
    <s v="Comics"/>
    <x v="1"/>
    <n v="10"/>
    <n v="1582.47"/>
    <n v="19.329999999999998"/>
    <n v="12765.79"/>
    <n v="728.73"/>
    <x v="4"/>
  </r>
  <r>
    <s v="ORD101032"/>
    <x v="376"/>
    <x v="3"/>
    <x v="11"/>
    <x v="0"/>
    <x v="5"/>
    <s v="Keyboard"/>
    <x v="1"/>
    <n v="1"/>
    <n v="16490.36"/>
    <n v="5.36"/>
    <n v="15606.48"/>
    <n v="2098.09"/>
    <x v="4"/>
  </r>
  <r>
    <s v="ORD101033"/>
    <x v="376"/>
    <x v="2"/>
    <x v="12"/>
    <x v="0"/>
    <x v="1"/>
    <s v="Jeans"/>
    <x v="1"/>
    <n v="10"/>
    <n v="524.61"/>
    <n v="18.149999999999999"/>
    <n v="4293.93"/>
    <n v="639.52"/>
    <x v="3"/>
  </r>
  <r>
    <s v="ORD101034"/>
    <x v="377"/>
    <x v="10"/>
    <x v="13"/>
    <x v="1"/>
    <x v="1"/>
    <s v="Jeans"/>
    <x v="2"/>
    <n v="4"/>
    <n v="1308.17"/>
    <n v="20.89"/>
    <n v="4139.57"/>
    <n v="420.24"/>
    <x v="2"/>
  </r>
  <r>
    <s v="ORD101035"/>
    <x v="377"/>
    <x v="10"/>
    <x v="14"/>
    <x v="1"/>
    <x v="1"/>
    <s v="Shoes"/>
    <x v="2"/>
    <n v="8"/>
    <n v="7253.85"/>
    <n v="25.93"/>
    <n v="42983.41"/>
    <n v="7141.51"/>
    <x v="2"/>
  </r>
  <r>
    <s v="ORD101036"/>
    <x v="377"/>
    <x v="9"/>
    <x v="0"/>
    <x v="3"/>
    <x v="4"/>
    <s v="Textbook"/>
    <x v="0"/>
    <n v="2"/>
    <n v="1056.1600000000001"/>
    <n v="8.5399999999999991"/>
    <n v="1931.93"/>
    <n v="178.7"/>
    <x v="3"/>
  </r>
  <r>
    <s v="ORD101037"/>
    <x v="378"/>
    <x v="4"/>
    <x v="1"/>
    <x v="2"/>
    <x v="2"/>
    <s v="Bookshelf"/>
    <x v="1"/>
    <n v="7"/>
    <n v="1484.6"/>
    <n v="26.39"/>
    <n v="7649.7"/>
    <n v="468.71"/>
    <x v="4"/>
  </r>
  <r>
    <s v="ORD101038"/>
    <x v="378"/>
    <x v="4"/>
    <x v="2"/>
    <x v="0"/>
    <x v="0"/>
    <s v="Snacks"/>
    <x v="1"/>
    <n v="4"/>
    <n v="2564.69"/>
    <n v="16.45"/>
    <n v="8571.19"/>
    <n v="851.36"/>
    <x v="3"/>
  </r>
  <r>
    <s v="ORD101039"/>
    <x v="379"/>
    <x v="11"/>
    <x v="3"/>
    <x v="1"/>
    <x v="4"/>
    <s v="Dictionary"/>
    <x v="0"/>
    <n v="6"/>
    <n v="1366.74"/>
    <n v="29.99"/>
    <n v="5741.13"/>
    <n v="1497.43"/>
    <x v="0"/>
  </r>
  <r>
    <s v="ORD101040"/>
    <x v="379"/>
    <x v="6"/>
    <x v="4"/>
    <x v="4"/>
    <x v="2"/>
    <s v="Sofa"/>
    <x v="0"/>
    <n v="6"/>
    <n v="38746.629999999997"/>
    <n v="25.89"/>
    <n v="172290.76"/>
    <n v="27946.93"/>
    <x v="0"/>
  </r>
  <r>
    <s v="ORD101041"/>
    <x v="379"/>
    <x v="0"/>
    <x v="5"/>
    <x v="0"/>
    <x v="3"/>
    <s v="Cricket Bat"/>
    <x v="1"/>
    <n v="2"/>
    <n v="5891.22"/>
    <n v="11.64"/>
    <n v="10410.959999999999"/>
    <n v="964.99"/>
    <x v="1"/>
  </r>
  <r>
    <s v="ORD101042"/>
    <x v="380"/>
    <x v="1"/>
    <x v="6"/>
    <x v="2"/>
    <x v="2"/>
    <s v="Table"/>
    <x v="0"/>
    <n v="8"/>
    <n v="26853.34"/>
    <n v="25.58"/>
    <n v="159874.04999999999"/>
    <n v="18303.16"/>
    <x v="3"/>
  </r>
  <r>
    <s v="ORD101043"/>
    <x v="380"/>
    <x v="6"/>
    <x v="7"/>
    <x v="4"/>
    <x v="0"/>
    <s v="Tea"/>
    <x v="1"/>
    <n v="7"/>
    <n v="2311.7800000000002"/>
    <n v="29.09"/>
    <n v="11474.98"/>
    <n v="2714.56"/>
    <x v="0"/>
  </r>
  <r>
    <s v="ORD101044"/>
    <x v="380"/>
    <x v="2"/>
    <x v="8"/>
    <x v="1"/>
    <x v="3"/>
    <s v="Badminton Racket"/>
    <x v="0"/>
    <n v="8"/>
    <n v="8110.67"/>
    <n v="11.01"/>
    <n v="57741.48"/>
    <n v="7463.1"/>
    <x v="4"/>
  </r>
  <r>
    <s v="ORD101045"/>
    <x v="381"/>
    <x v="1"/>
    <x v="9"/>
    <x v="0"/>
    <x v="3"/>
    <s v="Tennis Ball"/>
    <x v="0"/>
    <n v="4"/>
    <n v="8537.6299999999992"/>
    <n v="12.72"/>
    <n v="29806.57"/>
    <n v="1985.66"/>
    <x v="0"/>
  </r>
  <r>
    <s v="ORD101046"/>
    <x v="381"/>
    <x v="1"/>
    <x v="10"/>
    <x v="0"/>
    <x v="1"/>
    <s v="Dress"/>
    <x v="0"/>
    <n v="3"/>
    <n v="3781.81"/>
    <n v="4.01"/>
    <n v="10890.48"/>
    <n v="675.09"/>
    <x v="1"/>
  </r>
  <r>
    <s v="ORD101047"/>
    <x v="381"/>
    <x v="6"/>
    <x v="11"/>
    <x v="0"/>
    <x v="4"/>
    <s v="Comics"/>
    <x v="0"/>
    <n v="10"/>
    <n v="127.66"/>
    <n v="3.91"/>
    <n v="1226.68"/>
    <n v="156.18"/>
    <x v="2"/>
  </r>
  <r>
    <s v="ORD101048"/>
    <x v="382"/>
    <x v="8"/>
    <x v="12"/>
    <x v="2"/>
    <x v="5"/>
    <s v="Keyboard"/>
    <x v="2"/>
    <n v="6"/>
    <n v="47222.41"/>
    <n v="1.92"/>
    <n v="277894.44"/>
    <n v="73811.13"/>
    <x v="2"/>
  </r>
  <r>
    <s v="ORD101049"/>
    <x v="382"/>
    <x v="14"/>
    <x v="13"/>
    <x v="2"/>
    <x v="1"/>
    <s v="Dress"/>
    <x v="0"/>
    <n v="4"/>
    <n v="3487.23"/>
    <n v="8.1"/>
    <n v="12819.06"/>
    <n v="1303.82"/>
    <x v="4"/>
  </r>
  <r>
    <s v="ORD101050"/>
    <x v="383"/>
    <x v="12"/>
    <x v="14"/>
    <x v="4"/>
    <x v="4"/>
    <s v="Comics"/>
    <x v="1"/>
    <n v="1"/>
    <n v="1456.17"/>
    <n v="25.76"/>
    <n v="1081.06"/>
    <n v="85.8"/>
    <x v="1"/>
  </r>
  <r>
    <s v="ORD101051"/>
    <x v="383"/>
    <x v="9"/>
    <x v="0"/>
    <x v="1"/>
    <x v="4"/>
    <s v="Novel"/>
    <x v="1"/>
    <n v="8"/>
    <n v="439.87"/>
    <n v="19.29"/>
    <n v="2840.15"/>
    <n v="413.23"/>
    <x v="2"/>
  </r>
  <r>
    <s v="ORD101052"/>
    <x v="383"/>
    <x v="6"/>
    <x v="1"/>
    <x v="4"/>
    <x v="5"/>
    <s v="Headphones"/>
    <x v="2"/>
    <n v="5"/>
    <n v="20586.71"/>
    <n v="13.1"/>
    <n v="89449.25"/>
    <n v="16104.91"/>
    <x v="0"/>
  </r>
  <r>
    <s v="ORD101053"/>
    <x v="384"/>
    <x v="13"/>
    <x v="2"/>
    <x v="1"/>
    <x v="0"/>
    <s v="Snacks"/>
    <x v="1"/>
    <n v="8"/>
    <n v="2177.71"/>
    <n v="20.309999999999999"/>
    <n v="13883.34"/>
    <n v="2507.9299999999998"/>
    <x v="2"/>
  </r>
  <r>
    <s v="ORD101054"/>
    <x v="384"/>
    <x v="7"/>
    <x v="3"/>
    <x v="1"/>
    <x v="3"/>
    <s v="Tennis Ball"/>
    <x v="0"/>
    <n v="9"/>
    <n v="4311.2299999999996"/>
    <n v="9.5"/>
    <n v="35114.97"/>
    <n v="2068.11"/>
    <x v="4"/>
  </r>
  <r>
    <s v="ORD101055"/>
    <x v="384"/>
    <x v="10"/>
    <x v="4"/>
    <x v="0"/>
    <x v="0"/>
    <s v="Coffee"/>
    <x v="0"/>
    <n v="4"/>
    <n v="2407.75"/>
    <n v="26.96"/>
    <n v="7034.48"/>
    <n v="2006.82"/>
    <x v="0"/>
  </r>
  <r>
    <s v="ORD101056"/>
    <x v="385"/>
    <x v="1"/>
    <x v="5"/>
    <x v="0"/>
    <x v="2"/>
    <s v="Sofa"/>
    <x v="1"/>
    <n v="8"/>
    <n v="22669.07"/>
    <n v="5.0999999999999996"/>
    <n v="172103.58"/>
    <n v="22205.87"/>
    <x v="4"/>
  </r>
  <r>
    <s v="ORD101057"/>
    <x v="385"/>
    <x v="5"/>
    <x v="6"/>
    <x v="4"/>
    <x v="3"/>
    <s v="Tennis Ball"/>
    <x v="0"/>
    <n v="6"/>
    <n v="204.02"/>
    <n v="17.89"/>
    <n v="1005.12"/>
    <n v="280.41000000000003"/>
    <x v="1"/>
  </r>
  <r>
    <s v="ORD101058"/>
    <x v="385"/>
    <x v="5"/>
    <x v="7"/>
    <x v="4"/>
    <x v="2"/>
    <s v="Bookshelf"/>
    <x v="0"/>
    <n v="8"/>
    <n v="34430.53"/>
    <n v="1.45"/>
    <n v="271450.3"/>
    <n v="23651.29"/>
    <x v="4"/>
  </r>
  <r>
    <s v="ORD101059"/>
    <x v="386"/>
    <x v="7"/>
    <x v="8"/>
    <x v="3"/>
    <x v="1"/>
    <s v="Dress"/>
    <x v="2"/>
    <n v="5"/>
    <n v="1553.38"/>
    <n v="14.67"/>
    <n v="6627.5"/>
    <n v="1646.67"/>
    <x v="3"/>
  </r>
  <r>
    <s v="ORD101060"/>
    <x v="386"/>
    <x v="7"/>
    <x v="9"/>
    <x v="0"/>
    <x v="1"/>
    <s v="Dress"/>
    <x v="0"/>
    <n v="5"/>
    <n v="5536.35"/>
    <n v="19.05"/>
    <n v="22408.38"/>
    <n v="6215.83"/>
    <x v="1"/>
  </r>
  <r>
    <s v="ORD101061"/>
    <x v="387"/>
    <x v="7"/>
    <x v="10"/>
    <x v="2"/>
    <x v="5"/>
    <s v="Keyboard"/>
    <x v="2"/>
    <n v="9"/>
    <n v="12597.88"/>
    <n v="5.3"/>
    <n v="107371.73"/>
    <n v="13028.52"/>
    <x v="0"/>
  </r>
  <r>
    <s v="ORD101062"/>
    <x v="387"/>
    <x v="11"/>
    <x v="11"/>
    <x v="2"/>
    <x v="5"/>
    <s v="Monitor"/>
    <x v="1"/>
    <n v="5"/>
    <n v="10642.33"/>
    <n v="25.78"/>
    <n v="39493.69"/>
    <n v="7847.72"/>
    <x v="0"/>
  </r>
  <r>
    <s v="ORD101063"/>
    <x v="387"/>
    <x v="3"/>
    <x v="12"/>
    <x v="3"/>
    <x v="4"/>
    <s v="Comics"/>
    <x v="1"/>
    <n v="1"/>
    <n v="1091.67"/>
    <n v="12.17"/>
    <n v="958.81"/>
    <n v="210.83"/>
    <x v="0"/>
  </r>
  <r>
    <s v="ORD101064"/>
    <x v="388"/>
    <x v="8"/>
    <x v="13"/>
    <x v="2"/>
    <x v="1"/>
    <s v="Shoes"/>
    <x v="1"/>
    <n v="9"/>
    <n v="1613.08"/>
    <n v="26.92"/>
    <n v="10609.55"/>
    <n v="2270.83"/>
    <x v="1"/>
  </r>
  <r>
    <s v="ORD101065"/>
    <x v="388"/>
    <x v="14"/>
    <x v="14"/>
    <x v="2"/>
    <x v="4"/>
    <s v="Textbook"/>
    <x v="1"/>
    <n v="4"/>
    <n v="2259.7800000000002"/>
    <n v="13.44"/>
    <n v="7824.26"/>
    <n v="927.98"/>
    <x v="4"/>
  </r>
  <r>
    <s v="ORD101066"/>
    <x v="388"/>
    <x v="7"/>
    <x v="0"/>
    <x v="4"/>
    <x v="3"/>
    <s v="Badminton Racket"/>
    <x v="2"/>
    <n v="2"/>
    <n v="884.65"/>
    <n v="20.329999999999998"/>
    <n v="1409.6"/>
    <n v="131.38"/>
    <x v="4"/>
  </r>
  <r>
    <s v="ORD101067"/>
    <x v="389"/>
    <x v="2"/>
    <x v="1"/>
    <x v="3"/>
    <x v="1"/>
    <s v="Jacket"/>
    <x v="0"/>
    <n v="9"/>
    <n v="1115.55"/>
    <n v="0.56000000000000005"/>
    <n v="9983.73"/>
    <n v="2507.52"/>
    <x v="3"/>
  </r>
  <r>
    <s v="ORD101068"/>
    <x v="389"/>
    <x v="5"/>
    <x v="2"/>
    <x v="0"/>
    <x v="4"/>
    <s v="Notebook"/>
    <x v="0"/>
    <n v="3"/>
    <n v="448.08"/>
    <n v="22.1"/>
    <n v="1047.1600000000001"/>
    <n v="209.8"/>
    <x v="1"/>
  </r>
  <r>
    <s v="ORD101069"/>
    <x v="390"/>
    <x v="13"/>
    <x v="3"/>
    <x v="1"/>
    <x v="1"/>
    <s v="Shoes"/>
    <x v="1"/>
    <n v="1"/>
    <n v="2977.83"/>
    <n v="15.62"/>
    <n v="2512.69"/>
    <n v="537.33000000000004"/>
    <x v="4"/>
  </r>
  <r>
    <s v="ORD101070"/>
    <x v="390"/>
    <x v="14"/>
    <x v="4"/>
    <x v="4"/>
    <x v="3"/>
    <s v="Football"/>
    <x v="2"/>
    <n v="8"/>
    <n v="4625.16"/>
    <n v="12.24"/>
    <n v="32472.32"/>
    <n v="7204.51"/>
    <x v="0"/>
  </r>
  <r>
    <s v="ORD101071"/>
    <x v="390"/>
    <x v="8"/>
    <x v="5"/>
    <x v="2"/>
    <x v="5"/>
    <s v="Keyboard"/>
    <x v="2"/>
    <n v="5"/>
    <n v="79456.52"/>
    <n v="3.18"/>
    <n v="384649.01"/>
    <n v="41643.370000000003"/>
    <x v="1"/>
  </r>
  <r>
    <s v="ORD101072"/>
    <x v="391"/>
    <x v="12"/>
    <x v="6"/>
    <x v="2"/>
    <x v="4"/>
    <s v="Dictionary"/>
    <x v="2"/>
    <n v="1"/>
    <n v="2126.85"/>
    <n v="17.47"/>
    <n v="1755.29"/>
    <n v="520.47"/>
    <x v="2"/>
  </r>
  <r>
    <s v="ORD101073"/>
    <x v="391"/>
    <x v="4"/>
    <x v="7"/>
    <x v="1"/>
    <x v="5"/>
    <s v="Monitor"/>
    <x v="0"/>
    <n v="10"/>
    <n v="23035.16"/>
    <n v="20.6"/>
    <n v="182899.17"/>
    <n v="39973.51"/>
    <x v="2"/>
  </r>
  <r>
    <s v="ORD101074"/>
    <x v="391"/>
    <x v="13"/>
    <x v="8"/>
    <x v="0"/>
    <x v="3"/>
    <s v="Badminton Racket"/>
    <x v="0"/>
    <n v="3"/>
    <n v="9480.99"/>
    <n v="15.15"/>
    <n v="24133.86"/>
    <n v="6559.02"/>
    <x v="2"/>
  </r>
  <r>
    <s v="ORD101075"/>
    <x v="392"/>
    <x v="2"/>
    <x v="9"/>
    <x v="4"/>
    <x v="0"/>
    <s v="Snacks"/>
    <x v="2"/>
    <n v="9"/>
    <n v="1631.77"/>
    <n v="13.47"/>
    <n v="12707.74"/>
    <n v="2033.62"/>
    <x v="0"/>
  </r>
  <r>
    <s v="ORD101076"/>
    <x v="392"/>
    <x v="14"/>
    <x v="10"/>
    <x v="1"/>
    <x v="4"/>
    <s v="Notebook"/>
    <x v="1"/>
    <n v="3"/>
    <n v="2405.75"/>
    <n v="14.99"/>
    <n v="6135.38"/>
    <n v="478.71"/>
    <x v="4"/>
  </r>
  <r>
    <s v="ORD101077"/>
    <x v="392"/>
    <x v="11"/>
    <x v="11"/>
    <x v="0"/>
    <x v="2"/>
    <s v="Table"/>
    <x v="2"/>
    <n v="2"/>
    <n v="17915.22"/>
    <n v="12.36"/>
    <n v="31401.8"/>
    <n v="1849.66"/>
    <x v="4"/>
  </r>
  <r>
    <s v="ORD101078"/>
    <x v="393"/>
    <x v="13"/>
    <x v="12"/>
    <x v="2"/>
    <x v="1"/>
    <s v="Shoes"/>
    <x v="1"/>
    <n v="7"/>
    <n v="2242.12"/>
    <n v="24.32"/>
    <n v="11877.85"/>
    <n v="3406.48"/>
    <x v="4"/>
  </r>
  <r>
    <s v="ORD101079"/>
    <x v="393"/>
    <x v="11"/>
    <x v="13"/>
    <x v="1"/>
    <x v="1"/>
    <s v="Jeans"/>
    <x v="0"/>
    <n v="3"/>
    <n v="5766.48"/>
    <n v="16.010000000000002"/>
    <n v="14529.8"/>
    <n v="1248.96"/>
    <x v="1"/>
  </r>
  <r>
    <s v="ORD101080"/>
    <x v="394"/>
    <x v="2"/>
    <x v="14"/>
    <x v="1"/>
    <x v="1"/>
    <s v="T-Shirt"/>
    <x v="1"/>
    <n v="6"/>
    <n v="5586.62"/>
    <n v="12.5"/>
    <n v="29329.759999999998"/>
    <n v="6221.77"/>
    <x v="4"/>
  </r>
  <r>
    <s v="ORD101081"/>
    <x v="394"/>
    <x v="13"/>
    <x v="0"/>
    <x v="4"/>
    <x v="5"/>
    <s v="Monitor"/>
    <x v="2"/>
    <n v="10"/>
    <n v="52833.56"/>
    <n v="7.91"/>
    <n v="486544.25"/>
    <n v="25795.35"/>
    <x v="1"/>
  </r>
  <r>
    <s v="ORD101082"/>
    <x v="394"/>
    <x v="4"/>
    <x v="1"/>
    <x v="4"/>
    <x v="0"/>
    <s v="Coffee"/>
    <x v="0"/>
    <n v="3"/>
    <n v="1405.51"/>
    <n v="10.5"/>
    <n v="3773.79"/>
    <n v="780.71"/>
    <x v="0"/>
  </r>
  <r>
    <s v="ORD101083"/>
    <x v="395"/>
    <x v="1"/>
    <x v="2"/>
    <x v="3"/>
    <x v="4"/>
    <s v="Dictionary"/>
    <x v="2"/>
    <n v="6"/>
    <n v="262.70999999999998"/>
    <n v="21.71"/>
    <n v="1234.05"/>
    <n v="310.35000000000002"/>
    <x v="2"/>
  </r>
  <r>
    <s v="ORD101084"/>
    <x v="395"/>
    <x v="7"/>
    <x v="3"/>
    <x v="4"/>
    <x v="1"/>
    <s v="Jeans"/>
    <x v="0"/>
    <n v="3"/>
    <n v="6808.24"/>
    <n v="15.76"/>
    <n v="17205.78"/>
    <n v="3834.76"/>
    <x v="2"/>
  </r>
  <r>
    <s v="ORD101085"/>
    <x v="395"/>
    <x v="9"/>
    <x v="4"/>
    <x v="2"/>
    <x v="2"/>
    <s v="Sofa"/>
    <x v="2"/>
    <n v="1"/>
    <n v="37761.51"/>
    <n v="24.97"/>
    <n v="28332.46"/>
    <n v="5832.17"/>
    <x v="0"/>
  </r>
  <r>
    <s v="ORD101086"/>
    <x v="396"/>
    <x v="14"/>
    <x v="5"/>
    <x v="2"/>
    <x v="1"/>
    <s v="Shoes"/>
    <x v="2"/>
    <n v="8"/>
    <n v="6509.3"/>
    <n v="15.31"/>
    <n v="44101.81"/>
    <n v="12981.64"/>
    <x v="3"/>
  </r>
  <r>
    <s v="ORD101087"/>
    <x v="396"/>
    <x v="3"/>
    <x v="6"/>
    <x v="3"/>
    <x v="1"/>
    <s v="Shoes"/>
    <x v="0"/>
    <n v="5"/>
    <n v="2514.16"/>
    <n v="4.8099999999999996"/>
    <n v="11966.14"/>
    <n v="1442.39"/>
    <x v="1"/>
  </r>
  <r>
    <s v="ORD101088"/>
    <x v="396"/>
    <x v="6"/>
    <x v="7"/>
    <x v="3"/>
    <x v="0"/>
    <s v="Rice"/>
    <x v="0"/>
    <n v="4"/>
    <n v="2293.9499999999998"/>
    <n v="14.42"/>
    <n v="7852.65"/>
    <n v="2221.4499999999998"/>
    <x v="3"/>
  </r>
  <r>
    <s v="ORD101089"/>
    <x v="397"/>
    <x v="14"/>
    <x v="8"/>
    <x v="1"/>
    <x v="3"/>
    <s v="Yoga Mat"/>
    <x v="2"/>
    <n v="6"/>
    <n v="8575.25"/>
    <n v="6.91"/>
    <n v="47896.2"/>
    <n v="6317.11"/>
    <x v="0"/>
  </r>
  <r>
    <s v="ORD101090"/>
    <x v="397"/>
    <x v="7"/>
    <x v="9"/>
    <x v="4"/>
    <x v="5"/>
    <s v="Monitor"/>
    <x v="0"/>
    <n v="10"/>
    <n v="47435.29"/>
    <n v="2.1"/>
    <n v="464391.49"/>
    <n v="26272.68"/>
    <x v="2"/>
  </r>
  <r>
    <s v="ORD101091"/>
    <x v="398"/>
    <x v="10"/>
    <x v="10"/>
    <x v="2"/>
    <x v="1"/>
    <s v="Dress"/>
    <x v="1"/>
    <n v="7"/>
    <n v="5726.93"/>
    <n v="10.17"/>
    <n v="36011.51"/>
    <n v="2800.46"/>
    <x v="4"/>
  </r>
  <r>
    <s v="ORD101092"/>
    <x v="398"/>
    <x v="8"/>
    <x v="11"/>
    <x v="1"/>
    <x v="3"/>
    <s v="Yoga Mat"/>
    <x v="2"/>
    <n v="4"/>
    <n v="3226.84"/>
    <n v="19.77"/>
    <n v="10355.57"/>
    <n v="1984.24"/>
    <x v="1"/>
  </r>
  <r>
    <s v="ORD101093"/>
    <x v="398"/>
    <x v="11"/>
    <x v="12"/>
    <x v="2"/>
    <x v="4"/>
    <s v="Notebook"/>
    <x v="2"/>
    <n v="10"/>
    <n v="2249.9499999999998"/>
    <n v="1.73"/>
    <n v="22110.26"/>
    <n v="1882.98"/>
    <x v="0"/>
  </r>
  <r>
    <s v="ORD101094"/>
    <x v="399"/>
    <x v="1"/>
    <x v="13"/>
    <x v="3"/>
    <x v="2"/>
    <s v="Office Chair"/>
    <x v="2"/>
    <n v="10"/>
    <n v="19588.2"/>
    <n v="22.91"/>
    <n v="151005.43"/>
    <n v="17300.099999999999"/>
    <x v="0"/>
  </r>
  <r>
    <s v="ORD101095"/>
    <x v="399"/>
    <x v="2"/>
    <x v="14"/>
    <x v="0"/>
    <x v="3"/>
    <s v="Tennis Ball"/>
    <x v="2"/>
    <n v="9"/>
    <n v="596.99"/>
    <n v="3.69"/>
    <n v="5174.6499999999996"/>
    <n v="521.44000000000005"/>
    <x v="0"/>
  </r>
  <r>
    <s v="ORD101096"/>
    <x v="399"/>
    <x v="6"/>
    <x v="0"/>
    <x v="1"/>
    <x v="5"/>
    <s v="Laptop"/>
    <x v="2"/>
    <n v="4"/>
    <n v="47101.5"/>
    <n v="10.72"/>
    <n v="168208.88"/>
    <n v="32676.82"/>
    <x v="4"/>
  </r>
  <r>
    <s v="ORD101097"/>
    <x v="400"/>
    <x v="8"/>
    <x v="1"/>
    <x v="0"/>
    <x v="1"/>
    <s v="Shoes"/>
    <x v="2"/>
    <n v="6"/>
    <n v="6782.87"/>
    <n v="17.5"/>
    <n v="33575.21"/>
    <n v="2195.46"/>
    <x v="4"/>
  </r>
  <r>
    <s v="ORD101098"/>
    <x v="400"/>
    <x v="5"/>
    <x v="2"/>
    <x v="3"/>
    <x v="4"/>
    <s v="Dictionary"/>
    <x v="2"/>
    <n v="5"/>
    <n v="2015.86"/>
    <n v="23.5"/>
    <n v="7710.66"/>
    <n v="1064.6500000000001"/>
    <x v="2"/>
  </r>
  <r>
    <s v="ORD101099"/>
    <x v="400"/>
    <x v="14"/>
    <x v="3"/>
    <x v="1"/>
    <x v="5"/>
    <s v="Smartphone"/>
    <x v="2"/>
    <n v="4"/>
    <n v="58730.14"/>
    <n v="27.99"/>
    <n v="169166.3"/>
    <n v="36252.239999999998"/>
    <x v="2"/>
  </r>
  <r>
    <s v="ORD101100"/>
    <x v="401"/>
    <x v="8"/>
    <x v="4"/>
    <x v="1"/>
    <x v="5"/>
    <s v="Keyboard"/>
    <x v="1"/>
    <n v="7"/>
    <n v="11961.34"/>
    <n v="27.61"/>
    <n v="60611.7"/>
    <n v="9709.4699999999993"/>
    <x v="0"/>
  </r>
  <r>
    <s v="ORD101101"/>
    <x v="401"/>
    <x v="1"/>
    <x v="5"/>
    <x v="0"/>
    <x v="3"/>
    <s v="Cricket Bat"/>
    <x v="2"/>
    <n v="7"/>
    <n v="2539.91"/>
    <n v="25.07"/>
    <n v="13322.08"/>
    <n v="3276.96"/>
    <x v="2"/>
  </r>
  <r>
    <s v="ORD101102"/>
    <x v="402"/>
    <x v="12"/>
    <x v="6"/>
    <x v="1"/>
    <x v="1"/>
    <s v="Dress"/>
    <x v="1"/>
    <n v="7"/>
    <n v="5207.92"/>
    <n v="21.49"/>
    <n v="28621.17"/>
    <n v="3035.69"/>
    <x v="1"/>
  </r>
  <r>
    <s v="ORD101103"/>
    <x v="402"/>
    <x v="5"/>
    <x v="7"/>
    <x v="3"/>
    <x v="2"/>
    <s v="Bookshelf"/>
    <x v="0"/>
    <n v="10"/>
    <n v="36682.269999999997"/>
    <n v="5.09"/>
    <n v="348151.42"/>
    <n v="88553.4"/>
    <x v="3"/>
  </r>
  <r>
    <s v="ORD101104"/>
    <x v="402"/>
    <x v="11"/>
    <x v="8"/>
    <x v="2"/>
    <x v="5"/>
    <s v="Monitor"/>
    <x v="2"/>
    <n v="10"/>
    <n v="1078.19"/>
    <n v="1.83"/>
    <n v="10584.59"/>
    <n v="1664"/>
    <x v="4"/>
  </r>
  <r>
    <s v="ORD101105"/>
    <x v="403"/>
    <x v="9"/>
    <x v="9"/>
    <x v="1"/>
    <x v="1"/>
    <s v="Dress"/>
    <x v="1"/>
    <n v="7"/>
    <n v="4908.95"/>
    <n v="15.09"/>
    <n v="29177.33"/>
    <n v="1837.31"/>
    <x v="0"/>
  </r>
  <r>
    <s v="ORD101106"/>
    <x v="403"/>
    <x v="10"/>
    <x v="10"/>
    <x v="1"/>
    <x v="5"/>
    <s v="Smartphone"/>
    <x v="0"/>
    <n v="4"/>
    <n v="60557.26"/>
    <n v="18.2"/>
    <n v="198143.35"/>
    <n v="40955.43"/>
    <x v="4"/>
  </r>
  <r>
    <s v="ORD101107"/>
    <x v="403"/>
    <x v="8"/>
    <x v="11"/>
    <x v="4"/>
    <x v="2"/>
    <s v="Desk"/>
    <x v="0"/>
    <n v="7"/>
    <n v="31300.91"/>
    <n v="26.17"/>
    <n v="161766.23000000001"/>
    <n v="16809.12"/>
    <x v="2"/>
  </r>
  <r>
    <s v="ORD101108"/>
    <x v="404"/>
    <x v="14"/>
    <x v="12"/>
    <x v="4"/>
    <x v="0"/>
    <s v="Rice"/>
    <x v="2"/>
    <n v="3"/>
    <n v="375.93"/>
    <n v="25.86"/>
    <n v="836.14"/>
    <n v="217.23"/>
    <x v="1"/>
  </r>
  <r>
    <s v="ORD101109"/>
    <x v="404"/>
    <x v="0"/>
    <x v="13"/>
    <x v="2"/>
    <x v="5"/>
    <s v="Smartphone"/>
    <x v="0"/>
    <n v="7"/>
    <n v="47599.040000000001"/>
    <n v="25.42"/>
    <n v="248495.55"/>
    <n v="34596.79"/>
    <x v="0"/>
  </r>
  <r>
    <s v="ORD101110"/>
    <x v="404"/>
    <x v="12"/>
    <x v="14"/>
    <x v="2"/>
    <x v="2"/>
    <s v="Desk"/>
    <x v="1"/>
    <n v="4"/>
    <n v="4432.24"/>
    <n v="26.81"/>
    <n v="12975.83"/>
    <n v="1911.56"/>
    <x v="0"/>
  </r>
  <r>
    <s v="ORD101111"/>
    <x v="405"/>
    <x v="6"/>
    <x v="0"/>
    <x v="1"/>
    <x v="0"/>
    <s v="Rice"/>
    <x v="1"/>
    <n v="3"/>
    <n v="977.44"/>
    <n v="24.3"/>
    <n v="2219.77"/>
    <n v="258.69"/>
    <x v="2"/>
  </r>
  <r>
    <s v="ORD101112"/>
    <x v="405"/>
    <x v="12"/>
    <x v="1"/>
    <x v="1"/>
    <x v="0"/>
    <s v="Cooking Oil"/>
    <x v="0"/>
    <n v="4"/>
    <n v="870.24"/>
    <n v="11.96"/>
    <n v="3064.64"/>
    <n v="283.58"/>
    <x v="0"/>
  </r>
  <r>
    <s v="ORD101113"/>
    <x v="406"/>
    <x v="1"/>
    <x v="2"/>
    <x v="0"/>
    <x v="2"/>
    <s v="Desk"/>
    <x v="0"/>
    <n v="6"/>
    <n v="34207.89"/>
    <n v="18.28"/>
    <n v="167728.13"/>
    <n v="44161.68"/>
    <x v="1"/>
  </r>
  <r>
    <s v="ORD101114"/>
    <x v="406"/>
    <x v="4"/>
    <x v="3"/>
    <x v="0"/>
    <x v="2"/>
    <s v="Table"/>
    <x v="1"/>
    <n v="9"/>
    <n v="31231.279999999999"/>
    <n v="24.11"/>
    <n v="213312.77"/>
    <n v="39014.949999999997"/>
    <x v="3"/>
  </r>
  <r>
    <s v="ORD101115"/>
    <x v="406"/>
    <x v="1"/>
    <x v="4"/>
    <x v="2"/>
    <x v="0"/>
    <s v="Snacks"/>
    <x v="2"/>
    <n v="1"/>
    <n v="1212.23"/>
    <n v="7.96"/>
    <n v="1115.74"/>
    <n v="102.71"/>
    <x v="2"/>
  </r>
  <r>
    <s v="ORD101116"/>
    <x v="407"/>
    <x v="1"/>
    <x v="5"/>
    <x v="2"/>
    <x v="0"/>
    <s v="Snacks"/>
    <x v="1"/>
    <n v="9"/>
    <n v="1963.65"/>
    <n v="19.12"/>
    <n v="14293.8"/>
    <n v="2692.34"/>
    <x v="1"/>
  </r>
  <r>
    <s v="ORD101117"/>
    <x v="407"/>
    <x v="5"/>
    <x v="6"/>
    <x v="2"/>
    <x v="0"/>
    <s v="Cooking Oil"/>
    <x v="1"/>
    <n v="5"/>
    <n v="1783.7"/>
    <n v="7.57"/>
    <n v="8243.3700000000008"/>
    <n v="832"/>
    <x v="0"/>
  </r>
  <r>
    <s v="ORD101118"/>
    <x v="407"/>
    <x v="7"/>
    <x v="7"/>
    <x v="3"/>
    <x v="0"/>
    <s v="Snacks"/>
    <x v="1"/>
    <n v="5"/>
    <n v="2382.7800000000002"/>
    <n v="11.22"/>
    <n v="10577.16"/>
    <n v="2017.1"/>
    <x v="0"/>
  </r>
  <r>
    <s v="ORD101119"/>
    <x v="408"/>
    <x v="14"/>
    <x v="8"/>
    <x v="2"/>
    <x v="4"/>
    <s v="Novel"/>
    <x v="0"/>
    <n v="9"/>
    <n v="2145.15"/>
    <n v="16.78"/>
    <n v="16066.74"/>
    <n v="2940.75"/>
    <x v="1"/>
  </r>
  <r>
    <s v="ORD101120"/>
    <x v="408"/>
    <x v="9"/>
    <x v="9"/>
    <x v="1"/>
    <x v="4"/>
    <s v="Novel"/>
    <x v="2"/>
    <n v="6"/>
    <n v="2326.0100000000002"/>
    <n v="13.75"/>
    <n v="12037.1"/>
    <n v="2586.31"/>
    <x v="1"/>
  </r>
  <r>
    <s v="ORD101121"/>
    <x v="409"/>
    <x v="6"/>
    <x v="10"/>
    <x v="0"/>
    <x v="3"/>
    <s v="Badminton Racket"/>
    <x v="1"/>
    <n v="6"/>
    <n v="8166.7"/>
    <n v="1.17"/>
    <n v="48426.9"/>
    <n v="10398.98"/>
    <x v="0"/>
  </r>
  <r>
    <s v="ORD101122"/>
    <x v="409"/>
    <x v="4"/>
    <x v="11"/>
    <x v="1"/>
    <x v="0"/>
    <s v="Coffee"/>
    <x v="1"/>
    <n v="3"/>
    <n v="1577.03"/>
    <n v="11.46"/>
    <n v="4188.91"/>
    <n v="800.4"/>
    <x v="4"/>
  </r>
  <r>
    <s v="ORD101123"/>
    <x v="409"/>
    <x v="5"/>
    <x v="12"/>
    <x v="3"/>
    <x v="0"/>
    <s v="Cooking Oil"/>
    <x v="2"/>
    <n v="10"/>
    <n v="1123.5"/>
    <n v="25"/>
    <n v="8426.25"/>
    <n v="1378.26"/>
    <x v="3"/>
  </r>
  <r>
    <s v="ORD101124"/>
    <x v="410"/>
    <x v="12"/>
    <x v="13"/>
    <x v="3"/>
    <x v="3"/>
    <s v="Tennis Ball"/>
    <x v="0"/>
    <n v="10"/>
    <n v="9849.51"/>
    <n v="4.1500000000000004"/>
    <n v="94407.55"/>
    <n v="14862.98"/>
    <x v="1"/>
  </r>
  <r>
    <s v="ORD101125"/>
    <x v="410"/>
    <x v="13"/>
    <x v="14"/>
    <x v="0"/>
    <x v="3"/>
    <s v="Football"/>
    <x v="2"/>
    <n v="5"/>
    <n v="5798.94"/>
    <n v="28.59"/>
    <n v="20705.12"/>
    <n v="3710.03"/>
    <x v="3"/>
  </r>
  <r>
    <s v="ORD101126"/>
    <x v="410"/>
    <x v="3"/>
    <x v="0"/>
    <x v="1"/>
    <x v="4"/>
    <s v="Textbook"/>
    <x v="1"/>
    <n v="6"/>
    <n v="1806.71"/>
    <n v="8.8699999999999992"/>
    <n v="9878.73"/>
    <n v="1928.94"/>
    <x v="0"/>
  </r>
  <r>
    <s v="ORD101127"/>
    <x v="411"/>
    <x v="12"/>
    <x v="1"/>
    <x v="4"/>
    <x v="3"/>
    <s v="Football"/>
    <x v="1"/>
    <n v="6"/>
    <n v="5149.2700000000004"/>
    <n v="0.91"/>
    <n v="30614.47"/>
    <n v="2539.5500000000002"/>
    <x v="2"/>
  </r>
  <r>
    <s v="ORD101128"/>
    <x v="411"/>
    <x v="1"/>
    <x v="2"/>
    <x v="4"/>
    <x v="4"/>
    <s v="Notebook"/>
    <x v="0"/>
    <n v="6"/>
    <n v="1684.29"/>
    <n v="25.08"/>
    <n v="7571.22"/>
    <n v="1738.44"/>
    <x v="2"/>
  </r>
  <r>
    <s v="ORD101129"/>
    <x v="411"/>
    <x v="14"/>
    <x v="3"/>
    <x v="1"/>
    <x v="3"/>
    <s v="Tennis Ball"/>
    <x v="2"/>
    <n v="2"/>
    <n v="7527.89"/>
    <n v="13.23"/>
    <n v="13063.9"/>
    <n v="3049.19"/>
    <x v="2"/>
  </r>
  <r>
    <s v="ORD101130"/>
    <x v="412"/>
    <x v="13"/>
    <x v="4"/>
    <x v="1"/>
    <x v="0"/>
    <s v="Tea"/>
    <x v="0"/>
    <n v="5"/>
    <n v="1167.72"/>
    <n v="1.04"/>
    <n v="5777.88"/>
    <n v="436.34"/>
    <x v="0"/>
  </r>
  <r>
    <s v="ORD101131"/>
    <x v="412"/>
    <x v="3"/>
    <x v="5"/>
    <x v="0"/>
    <x v="0"/>
    <s v="Rice"/>
    <x v="1"/>
    <n v="7"/>
    <n v="1583.02"/>
    <n v="23.15"/>
    <n v="8515.86"/>
    <n v="1538.59"/>
    <x v="4"/>
  </r>
  <r>
    <s v="ORD101132"/>
    <x v="413"/>
    <x v="5"/>
    <x v="6"/>
    <x v="2"/>
    <x v="3"/>
    <s v="Football"/>
    <x v="1"/>
    <n v="8"/>
    <n v="1618.16"/>
    <n v="24.34"/>
    <n v="9794.4"/>
    <n v="1034.9000000000001"/>
    <x v="4"/>
  </r>
  <r>
    <s v="ORD101133"/>
    <x v="413"/>
    <x v="8"/>
    <x v="7"/>
    <x v="2"/>
    <x v="4"/>
    <s v="Comics"/>
    <x v="1"/>
    <n v="7"/>
    <n v="673.37"/>
    <n v="1.25"/>
    <n v="4654.67"/>
    <n v="958.73"/>
    <x v="1"/>
  </r>
  <r>
    <s v="ORD101134"/>
    <x v="413"/>
    <x v="0"/>
    <x v="8"/>
    <x v="3"/>
    <x v="0"/>
    <s v="Cooking Oil"/>
    <x v="1"/>
    <n v="1"/>
    <n v="2646.73"/>
    <n v="28.83"/>
    <n v="1883.68"/>
    <n v="514.72"/>
    <x v="4"/>
  </r>
  <r>
    <s v="ORD101135"/>
    <x v="414"/>
    <x v="13"/>
    <x v="9"/>
    <x v="2"/>
    <x v="0"/>
    <s v="Rice"/>
    <x v="0"/>
    <n v="1"/>
    <n v="1628.61"/>
    <n v="20.69"/>
    <n v="1291.6500000000001"/>
    <n v="283.92"/>
    <x v="1"/>
  </r>
  <r>
    <s v="ORD101136"/>
    <x v="414"/>
    <x v="13"/>
    <x v="10"/>
    <x v="3"/>
    <x v="2"/>
    <s v="Desk"/>
    <x v="0"/>
    <n v="2"/>
    <n v="37611.64"/>
    <n v="16.02"/>
    <n v="63172.51"/>
    <n v="12570.51"/>
    <x v="1"/>
  </r>
  <r>
    <s v="ORD101137"/>
    <x v="414"/>
    <x v="1"/>
    <x v="11"/>
    <x v="3"/>
    <x v="3"/>
    <s v="Cricket Bat"/>
    <x v="2"/>
    <n v="5"/>
    <n v="4210.13"/>
    <n v="16.329999999999998"/>
    <n v="17613.080000000002"/>
    <n v="3273.7"/>
    <x v="0"/>
  </r>
  <r>
    <s v="ORD101138"/>
    <x v="415"/>
    <x v="12"/>
    <x v="12"/>
    <x v="4"/>
    <x v="5"/>
    <s v="Monitor"/>
    <x v="2"/>
    <n v="10"/>
    <n v="17231.71"/>
    <n v="9.5500000000000007"/>
    <n v="155860.82"/>
    <n v="17147.400000000001"/>
    <x v="4"/>
  </r>
  <r>
    <s v="ORD101139"/>
    <x v="415"/>
    <x v="0"/>
    <x v="13"/>
    <x v="0"/>
    <x v="3"/>
    <s v="Badminton Racket"/>
    <x v="0"/>
    <n v="8"/>
    <n v="2345.91"/>
    <n v="14.9"/>
    <n v="15970.96"/>
    <n v="1904.53"/>
    <x v="2"/>
  </r>
  <r>
    <s v="ORD101140"/>
    <x v="415"/>
    <x v="9"/>
    <x v="14"/>
    <x v="1"/>
    <x v="4"/>
    <s v="Comics"/>
    <x v="1"/>
    <n v="7"/>
    <n v="1152.26"/>
    <n v="0.91"/>
    <n v="7992.42"/>
    <n v="1939.45"/>
    <x v="2"/>
  </r>
  <r>
    <s v="ORD101141"/>
    <x v="416"/>
    <x v="14"/>
    <x v="0"/>
    <x v="3"/>
    <x v="2"/>
    <s v="Bookshelf"/>
    <x v="0"/>
    <n v="8"/>
    <n v="1334.2"/>
    <n v="1.43"/>
    <n v="10520.97"/>
    <n v="1029.72"/>
    <x v="4"/>
  </r>
  <r>
    <s v="ORD101142"/>
    <x v="416"/>
    <x v="11"/>
    <x v="1"/>
    <x v="2"/>
    <x v="5"/>
    <s v="Headphones"/>
    <x v="1"/>
    <n v="5"/>
    <n v="25210.99"/>
    <n v="29.53"/>
    <n v="88830.92"/>
    <n v="22913.01"/>
    <x v="0"/>
  </r>
  <r>
    <s v="ORD101143"/>
    <x v="417"/>
    <x v="11"/>
    <x v="2"/>
    <x v="0"/>
    <x v="2"/>
    <s v="Sofa"/>
    <x v="2"/>
    <n v="9"/>
    <n v="33651.550000000003"/>
    <n v="2.8"/>
    <n v="294383.76"/>
    <n v="69090.25"/>
    <x v="3"/>
  </r>
  <r>
    <s v="ORD101144"/>
    <x v="417"/>
    <x v="12"/>
    <x v="3"/>
    <x v="0"/>
    <x v="2"/>
    <s v="Sofa"/>
    <x v="2"/>
    <n v="8"/>
    <n v="19577.189999999999"/>
    <n v="27.99"/>
    <n v="112780.28"/>
    <n v="7784.23"/>
    <x v="1"/>
  </r>
  <r>
    <s v="ORD101145"/>
    <x v="417"/>
    <x v="6"/>
    <x v="4"/>
    <x v="0"/>
    <x v="1"/>
    <s v="Dress"/>
    <x v="1"/>
    <n v="6"/>
    <n v="7298.67"/>
    <n v="28.26"/>
    <n v="31416.400000000001"/>
    <n v="2075.9899999999998"/>
    <x v="1"/>
  </r>
  <r>
    <s v="ORD101146"/>
    <x v="418"/>
    <x v="4"/>
    <x v="5"/>
    <x v="0"/>
    <x v="1"/>
    <s v="Shoes"/>
    <x v="1"/>
    <n v="10"/>
    <n v="4837.3599999999997"/>
    <n v="15.96"/>
    <n v="40653.17"/>
    <n v="4739.93"/>
    <x v="1"/>
  </r>
  <r>
    <s v="ORD101147"/>
    <x v="418"/>
    <x v="6"/>
    <x v="6"/>
    <x v="0"/>
    <x v="0"/>
    <s v="Tea"/>
    <x v="1"/>
    <n v="6"/>
    <n v="1372.68"/>
    <n v="7.68"/>
    <n v="7603.55"/>
    <n v="608.92999999999995"/>
    <x v="1"/>
  </r>
  <r>
    <s v="ORD101148"/>
    <x v="418"/>
    <x v="7"/>
    <x v="7"/>
    <x v="2"/>
    <x v="2"/>
    <s v="Bookshelf"/>
    <x v="2"/>
    <n v="8"/>
    <n v="1736.35"/>
    <n v="3.02"/>
    <n v="13471.3"/>
    <n v="2344.75"/>
    <x v="2"/>
  </r>
  <r>
    <s v="ORD101149"/>
    <x v="419"/>
    <x v="5"/>
    <x v="8"/>
    <x v="1"/>
    <x v="3"/>
    <s v="Badminton Racket"/>
    <x v="0"/>
    <n v="6"/>
    <n v="1563.77"/>
    <n v="7.11"/>
    <n v="8715.52"/>
    <n v="1411.86"/>
    <x v="3"/>
  </r>
  <r>
    <s v="ORD101150"/>
    <x v="419"/>
    <x v="6"/>
    <x v="9"/>
    <x v="3"/>
    <x v="1"/>
    <s v="Dress"/>
    <x v="2"/>
    <n v="7"/>
    <n v="2213.73"/>
    <n v="9.1199999999999992"/>
    <n v="14082.86"/>
    <n v="3417.96"/>
    <x v="1"/>
  </r>
  <r>
    <s v="ORD101151"/>
    <x v="419"/>
    <x v="6"/>
    <x v="10"/>
    <x v="3"/>
    <x v="1"/>
    <s v="T-Shirt"/>
    <x v="1"/>
    <n v="8"/>
    <n v="1298.74"/>
    <n v="13.61"/>
    <n v="8975.85"/>
    <n v="1586.32"/>
    <x v="3"/>
  </r>
  <r>
    <s v="ORD101152"/>
    <x v="420"/>
    <x v="8"/>
    <x v="11"/>
    <x v="1"/>
    <x v="1"/>
    <s v="Jacket"/>
    <x v="1"/>
    <n v="5"/>
    <n v="7671.31"/>
    <n v="9.5399999999999991"/>
    <n v="34697.339999999997"/>
    <n v="3639.92"/>
    <x v="2"/>
  </r>
  <r>
    <s v="ORD101153"/>
    <x v="420"/>
    <x v="5"/>
    <x v="12"/>
    <x v="2"/>
    <x v="5"/>
    <s v="Monitor"/>
    <x v="2"/>
    <n v="4"/>
    <n v="51751.45"/>
    <n v="8.34"/>
    <n v="189741.52"/>
    <n v="56764.62"/>
    <x v="2"/>
  </r>
  <r>
    <s v="ORD101154"/>
    <x v="421"/>
    <x v="8"/>
    <x v="13"/>
    <x v="3"/>
    <x v="3"/>
    <s v="Cricket Bat"/>
    <x v="1"/>
    <n v="10"/>
    <n v="8441.0499999999993"/>
    <n v="19.309999999999999"/>
    <n v="68110.83"/>
    <n v="13780.59"/>
    <x v="0"/>
  </r>
  <r>
    <s v="ORD101155"/>
    <x v="421"/>
    <x v="7"/>
    <x v="14"/>
    <x v="1"/>
    <x v="2"/>
    <s v="Table"/>
    <x v="2"/>
    <n v="2"/>
    <n v="23372.47"/>
    <n v="13.34"/>
    <n v="40509.17"/>
    <n v="8795.44"/>
    <x v="1"/>
  </r>
  <r>
    <s v="ORD101156"/>
    <x v="421"/>
    <x v="8"/>
    <x v="0"/>
    <x v="1"/>
    <x v="0"/>
    <s v="Coffee"/>
    <x v="2"/>
    <n v="1"/>
    <n v="832.11"/>
    <n v="14.85"/>
    <n v="708.54"/>
    <n v="185.38"/>
    <x v="4"/>
  </r>
  <r>
    <s v="ORD101157"/>
    <x v="422"/>
    <x v="4"/>
    <x v="1"/>
    <x v="0"/>
    <x v="2"/>
    <s v="Sofa"/>
    <x v="0"/>
    <n v="6"/>
    <n v="7424.63"/>
    <n v="10.54"/>
    <n v="39852.44"/>
    <n v="4631.51"/>
    <x v="3"/>
  </r>
  <r>
    <s v="ORD101158"/>
    <x v="422"/>
    <x v="0"/>
    <x v="2"/>
    <x v="1"/>
    <x v="2"/>
    <s v="Sofa"/>
    <x v="1"/>
    <n v="8"/>
    <n v="4897.34"/>
    <n v="24.15"/>
    <n v="29717.06"/>
    <n v="4233.8500000000004"/>
    <x v="0"/>
  </r>
  <r>
    <s v="ORD101159"/>
    <x v="422"/>
    <x v="4"/>
    <x v="3"/>
    <x v="4"/>
    <x v="2"/>
    <s v="Bookshelf"/>
    <x v="2"/>
    <n v="6"/>
    <n v="20456.04"/>
    <n v="29.68"/>
    <n v="86308.12"/>
    <n v="14291.8"/>
    <x v="1"/>
  </r>
  <r>
    <s v="ORD101160"/>
    <x v="423"/>
    <x v="4"/>
    <x v="4"/>
    <x v="3"/>
    <x v="2"/>
    <s v="Office Chair"/>
    <x v="2"/>
    <n v="9"/>
    <n v="15393.19"/>
    <n v="21.66"/>
    <n v="108531.23"/>
    <n v="10152.67"/>
    <x v="1"/>
  </r>
  <r>
    <s v="ORD101161"/>
    <x v="423"/>
    <x v="0"/>
    <x v="5"/>
    <x v="2"/>
    <x v="0"/>
    <s v="Snacks"/>
    <x v="0"/>
    <n v="9"/>
    <n v="1442.74"/>
    <n v="11.49"/>
    <n v="11492.72"/>
    <n v="1296.26"/>
    <x v="3"/>
  </r>
  <r>
    <s v="ORD101162"/>
    <x v="423"/>
    <x v="7"/>
    <x v="6"/>
    <x v="3"/>
    <x v="4"/>
    <s v="Notebook"/>
    <x v="0"/>
    <n v="10"/>
    <n v="648.17999999999995"/>
    <n v="24.67"/>
    <n v="4882.74"/>
    <n v="604.97"/>
    <x v="0"/>
  </r>
  <r>
    <s v="ORD101163"/>
    <x v="424"/>
    <x v="6"/>
    <x v="7"/>
    <x v="4"/>
    <x v="1"/>
    <s v="Dress"/>
    <x v="2"/>
    <n v="6"/>
    <n v="6878.46"/>
    <n v="20.6"/>
    <n v="32768.980000000003"/>
    <n v="5899.09"/>
    <x v="2"/>
  </r>
  <r>
    <s v="ORD101164"/>
    <x v="424"/>
    <x v="13"/>
    <x v="8"/>
    <x v="2"/>
    <x v="0"/>
    <s v="Coffee"/>
    <x v="1"/>
    <n v="3"/>
    <n v="2417.9"/>
    <n v="24.27"/>
    <n v="5493.23"/>
    <n v="611.54"/>
    <x v="4"/>
  </r>
  <r>
    <s v="ORD101165"/>
    <x v="425"/>
    <x v="0"/>
    <x v="9"/>
    <x v="3"/>
    <x v="4"/>
    <s v="Comics"/>
    <x v="0"/>
    <n v="8"/>
    <n v="1283.27"/>
    <n v="16.920000000000002"/>
    <n v="8529.1299999999992"/>
    <n v="1820.82"/>
    <x v="0"/>
  </r>
  <r>
    <s v="ORD101166"/>
    <x v="425"/>
    <x v="11"/>
    <x v="10"/>
    <x v="0"/>
    <x v="5"/>
    <s v="Headphones"/>
    <x v="0"/>
    <n v="9"/>
    <n v="46456.97"/>
    <n v="11.28"/>
    <n v="370949.61"/>
    <n v="68150.19"/>
    <x v="4"/>
  </r>
  <r>
    <s v="ORD101167"/>
    <x v="425"/>
    <x v="8"/>
    <x v="11"/>
    <x v="4"/>
    <x v="2"/>
    <s v="Table"/>
    <x v="2"/>
    <n v="5"/>
    <n v="23621.5"/>
    <n v="21.59"/>
    <n v="92608.09"/>
    <n v="6812.26"/>
    <x v="1"/>
  </r>
  <r>
    <s v="ORD101168"/>
    <x v="426"/>
    <x v="0"/>
    <x v="12"/>
    <x v="0"/>
    <x v="3"/>
    <s v="Cricket Bat"/>
    <x v="1"/>
    <n v="4"/>
    <n v="4985.68"/>
    <n v="0.68"/>
    <n v="19807.11"/>
    <n v="4391.87"/>
    <x v="3"/>
  </r>
  <r>
    <s v="ORD101169"/>
    <x v="426"/>
    <x v="2"/>
    <x v="13"/>
    <x v="2"/>
    <x v="2"/>
    <s v="Office Chair"/>
    <x v="0"/>
    <n v="6"/>
    <n v="4744.2700000000004"/>
    <n v="8.91"/>
    <n v="25929.33"/>
    <n v="1648.27"/>
    <x v="3"/>
  </r>
  <r>
    <s v="ORD101170"/>
    <x v="426"/>
    <x v="6"/>
    <x v="14"/>
    <x v="3"/>
    <x v="0"/>
    <s v="Rice"/>
    <x v="2"/>
    <n v="1"/>
    <n v="375.66"/>
    <n v="14.03"/>
    <n v="322.95"/>
    <n v="21.87"/>
    <x v="2"/>
  </r>
  <r>
    <s v="ORD101171"/>
    <x v="427"/>
    <x v="7"/>
    <x v="0"/>
    <x v="2"/>
    <x v="4"/>
    <s v="Textbook"/>
    <x v="2"/>
    <n v="1"/>
    <n v="2462.06"/>
    <n v="0.91"/>
    <n v="2439.66"/>
    <n v="731.04"/>
    <x v="0"/>
  </r>
  <r>
    <s v="ORD101172"/>
    <x v="427"/>
    <x v="4"/>
    <x v="1"/>
    <x v="4"/>
    <x v="2"/>
    <s v="Table"/>
    <x v="0"/>
    <n v="2"/>
    <n v="37061.839999999997"/>
    <n v="10.63"/>
    <n v="66244.33"/>
    <n v="14269.91"/>
    <x v="2"/>
  </r>
  <r>
    <s v="ORD101173"/>
    <x v="427"/>
    <x v="3"/>
    <x v="2"/>
    <x v="2"/>
    <x v="0"/>
    <s v="Coffee"/>
    <x v="0"/>
    <n v="6"/>
    <n v="488.58"/>
    <n v="13.69"/>
    <n v="2530.16"/>
    <n v="370.55"/>
    <x v="0"/>
  </r>
  <r>
    <s v="ORD101174"/>
    <x v="428"/>
    <x v="8"/>
    <x v="3"/>
    <x v="0"/>
    <x v="5"/>
    <s v="Smartphone"/>
    <x v="0"/>
    <n v="2"/>
    <n v="26193.93"/>
    <n v="9.56"/>
    <n v="47379.58"/>
    <n v="7681.92"/>
    <x v="0"/>
  </r>
  <r>
    <s v="ORD101175"/>
    <x v="428"/>
    <x v="13"/>
    <x v="4"/>
    <x v="1"/>
    <x v="2"/>
    <s v="Office Chair"/>
    <x v="0"/>
    <n v="5"/>
    <n v="12890.29"/>
    <n v="29.71"/>
    <n v="45302.92"/>
    <n v="3124.22"/>
    <x v="0"/>
  </r>
  <r>
    <s v="ORD101176"/>
    <x v="429"/>
    <x v="7"/>
    <x v="5"/>
    <x v="1"/>
    <x v="0"/>
    <s v="Cooking Oil"/>
    <x v="0"/>
    <n v="4"/>
    <n v="813.11"/>
    <n v="21.47"/>
    <n v="2554.14"/>
    <n v="588.46"/>
    <x v="2"/>
  </r>
  <r>
    <s v="ORD101177"/>
    <x v="429"/>
    <x v="2"/>
    <x v="6"/>
    <x v="0"/>
    <x v="3"/>
    <s v="Cricket Bat"/>
    <x v="0"/>
    <n v="7"/>
    <n v="3294.8"/>
    <n v="17.82"/>
    <n v="18953.669999999998"/>
    <n v="4006.39"/>
    <x v="3"/>
  </r>
  <r>
    <s v="ORD101178"/>
    <x v="429"/>
    <x v="5"/>
    <x v="7"/>
    <x v="0"/>
    <x v="2"/>
    <s v="Table"/>
    <x v="2"/>
    <n v="10"/>
    <n v="5377.4"/>
    <n v="8.74"/>
    <n v="49074.15"/>
    <n v="9988.84"/>
    <x v="3"/>
  </r>
  <r>
    <s v="ORD101179"/>
    <x v="430"/>
    <x v="7"/>
    <x v="8"/>
    <x v="1"/>
    <x v="3"/>
    <s v="Yoga Mat"/>
    <x v="2"/>
    <n v="5"/>
    <n v="3760.58"/>
    <n v="15.04"/>
    <n v="15974.94"/>
    <n v="972.06"/>
    <x v="0"/>
  </r>
  <r>
    <s v="ORD101180"/>
    <x v="430"/>
    <x v="7"/>
    <x v="9"/>
    <x v="1"/>
    <x v="1"/>
    <s v="Shoes"/>
    <x v="1"/>
    <n v="1"/>
    <n v="4113.95"/>
    <n v="12.83"/>
    <n v="3586.13"/>
    <n v="1036.4100000000001"/>
    <x v="4"/>
  </r>
  <r>
    <s v="ORD101181"/>
    <x v="430"/>
    <x v="12"/>
    <x v="10"/>
    <x v="4"/>
    <x v="3"/>
    <s v="Yoga Mat"/>
    <x v="2"/>
    <n v="1"/>
    <n v="3904.09"/>
    <n v="13.91"/>
    <n v="3361.03"/>
    <n v="242.43"/>
    <x v="1"/>
  </r>
  <r>
    <s v="ORD101182"/>
    <x v="431"/>
    <x v="13"/>
    <x v="11"/>
    <x v="1"/>
    <x v="4"/>
    <s v="Comics"/>
    <x v="2"/>
    <n v="2"/>
    <n v="1775.72"/>
    <n v="18.71"/>
    <n v="2886.97"/>
    <n v="280.77"/>
    <x v="3"/>
  </r>
  <r>
    <s v="ORD101183"/>
    <x v="431"/>
    <x v="4"/>
    <x v="12"/>
    <x v="1"/>
    <x v="3"/>
    <s v="Yoga Mat"/>
    <x v="2"/>
    <n v="10"/>
    <n v="5008.3500000000004"/>
    <n v="28.98"/>
    <n v="35569.300000000003"/>
    <n v="9179"/>
    <x v="0"/>
  </r>
  <r>
    <s v="ORD101184"/>
    <x v="432"/>
    <x v="10"/>
    <x v="13"/>
    <x v="2"/>
    <x v="4"/>
    <s v="Comics"/>
    <x v="0"/>
    <n v="2"/>
    <n v="2473.3000000000002"/>
    <n v="28.47"/>
    <n v="3538.3"/>
    <n v="246.15"/>
    <x v="2"/>
  </r>
  <r>
    <s v="ORD101185"/>
    <x v="432"/>
    <x v="2"/>
    <x v="14"/>
    <x v="0"/>
    <x v="1"/>
    <s v="Jacket"/>
    <x v="0"/>
    <n v="1"/>
    <n v="3694.58"/>
    <n v="19.03"/>
    <n v="2991.5"/>
    <n v="728.79"/>
    <x v="1"/>
  </r>
  <r>
    <s v="ORD101186"/>
    <x v="432"/>
    <x v="13"/>
    <x v="0"/>
    <x v="3"/>
    <x v="0"/>
    <s v="Coffee"/>
    <x v="1"/>
    <n v="2"/>
    <n v="180.07"/>
    <n v="11.82"/>
    <n v="317.57"/>
    <n v="48.94"/>
    <x v="3"/>
  </r>
  <r>
    <s v="ORD101187"/>
    <x v="433"/>
    <x v="9"/>
    <x v="1"/>
    <x v="3"/>
    <x v="1"/>
    <s v="Jacket"/>
    <x v="2"/>
    <n v="2"/>
    <n v="2686.85"/>
    <n v="27.98"/>
    <n v="3870.14"/>
    <n v="433.91"/>
    <x v="4"/>
  </r>
  <r>
    <s v="ORD101188"/>
    <x v="433"/>
    <x v="1"/>
    <x v="2"/>
    <x v="1"/>
    <x v="4"/>
    <s v="Textbook"/>
    <x v="2"/>
    <n v="5"/>
    <n v="2216.13"/>
    <n v="25.16"/>
    <n v="8292.76"/>
    <n v="1621.61"/>
    <x v="1"/>
  </r>
  <r>
    <s v="ORD101189"/>
    <x v="433"/>
    <x v="3"/>
    <x v="3"/>
    <x v="3"/>
    <x v="0"/>
    <s v="Cooking Oil"/>
    <x v="0"/>
    <n v="1"/>
    <n v="1345.67"/>
    <n v="25.3"/>
    <n v="1005.22"/>
    <n v="173.3"/>
    <x v="1"/>
  </r>
  <r>
    <s v="ORD101190"/>
    <x v="434"/>
    <x v="13"/>
    <x v="4"/>
    <x v="0"/>
    <x v="2"/>
    <s v="Office Chair"/>
    <x v="2"/>
    <n v="6"/>
    <n v="14152.27"/>
    <n v="21.54"/>
    <n v="66623.23"/>
    <n v="15703.45"/>
    <x v="2"/>
  </r>
  <r>
    <s v="ORD101191"/>
    <x v="434"/>
    <x v="1"/>
    <x v="5"/>
    <x v="0"/>
    <x v="3"/>
    <s v="Badminton Racket"/>
    <x v="2"/>
    <n v="9"/>
    <n v="339.18"/>
    <n v="4.5999999999999996"/>
    <n v="2912.2"/>
    <n v="452.22"/>
    <x v="0"/>
  </r>
  <r>
    <s v="ORD101192"/>
    <x v="434"/>
    <x v="4"/>
    <x v="6"/>
    <x v="1"/>
    <x v="3"/>
    <s v="Tennis Ball"/>
    <x v="1"/>
    <n v="10"/>
    <n v="4570.28"/>
    <n v="6.74"/>
    <n v="42622.43"/>
    <n v="9876.2900000000009"/>
    <x v="4"/>
  </r>
  <r>
    <s v="ORD101193"/>
    <x v="435"/>
    <x v="8"/>
    <x v="7"/>
    <x v="1"/>
    <x v="4"/>
    <s v="Textbook"/>
    <x v="2"/>
    <n v="8"/>
    <n v="549.64"/>
    <n v="27.28"/>
    <n v="3197.59"/>
    <n v="575.55999999999995"/>
    <x v="4"/>
  </r>
  <r>
    <s v="ORD101194"/>
    <x v="435"/>
    <x v="2"/>
    <x v="8"/>
    <x v="3"/>
    <x v="4"/>
    <s v="Novel"/>
    <x v="0"/>
    <n v="5"/>
    <n v="2086.79"/>
    <n v="0.68"/>
    <n v="10363"/>
    <n v="1149.8900000000001"/>
    <x v="2"/>
  </r>
  <r>
    <s v="ORD101195"/>
    <x v="436"/>
    <x v="10"/>
    <x v="9"/>
    <x v="3"/>
    <x v="4"/>
    <s v="Comics"/>
    <x v="0"/>
    <n v="7"/>
    <n v="350.49"/>
    <n v="29.48"/>
    <n v="1730.16"/>
    <n v="458.6"/>
    <x v="0"/>
  </r>
  <r>
    <s v="ORD101196"/>
    <x v="436"/>
    <x v="10"/>
    <x v="10"/>
    <x v="4"/>
    <x v="4"/>
    <s v="Notebook"/>
    <x v="1"/>
    <n v="9"/>
    <n v="1879.85"/>
    <n v="11.59"/>
    <n v="14957.78"/>
    <n v="1983.01"/>
    <x v="0"/>
  </r>
  <r>
    <s v="ORD101197"/>
    <x v="436"/>
    <x v="13"/>
    <x v="11"/>
    <x v="0"/>
    <x v="4"/>
    <s v="Notebook"/>
    <x v="0"/>
    <n v="5"/>
    <n v="1752.1"/>
    <n v="8.85"/>
    <n v="7985.2"/>
    <n v="2222.71"/>
    <x v="1"/>
  </r>
  <r>
    <s v="ORD101198"/>
    <x v="437"/>
    <x v="9"/>
    <x v="12"/>
    <x v="3"/>
    <x v="3"/>
    <s v="Tennis Ball"/>
    <x v="2"/>
    <n v="10"/>
    <n v="4490.22"/>
    <n v="0.65"/>
    <n v="44610.34"/>
    <n v="7623.83"/>
    <x v="0"/>
  </r>
  <r>
    <s v="ORD101199"/>
    <x v="437"/>
    <x v="5"/>
    <x v="13"/>
    <x v="1"/>
    <x v="3"/>
    <s v="Football"/>
    <x v="0"/>
    <n v="5"/>
    <n v="4280.2299999999996"/>
    <n v="24.99"/>
    <n v="16053"/>
    <n v="4764.3999999999996"/>
    <x v="3"/>
  </r>
  <r>
    <s v="ORD101200"/>
    <x v="437"/>
    <x v="2"/>
    <x v="14"/>
    <x v="3"/>
    <x v="0"/>
    <s v="Cooking Oil"/>
    <x v="1"/>
    <n v="5"/>
    <n v="2769.28"/>
    <n v="11.2"/>
    <n v="12295.6"/>
    <n v="3387.81"/>
    <x v="4"/>
  </r>
  <r>
    <s v="ORD101201"/>
    <x v="438"/>
    <x v="4"/>
    <x v="0"/>
    <x v="4"/>
    <x v="3"/>
    <s v="Tennis Ball"/>
    <x v="2"/>
    <n v="9"/>
    <n v="2699.04"/>
    <n v="7.88"/>
    <n v="22377.200000000001"/>
    <n v="1338.45"/>
    <x v="4"/>
  </r>
  <r>
    <s v="ORD101202"/>
    <x v="438"/>
    <x v="5"/>
    <x v="1"/>
    <x v="0"/>
    <x v="4"/>
    <s v="Comics"/>
    <x v="0"/>
    <n v="1"/>
    <n v="1794.96"/>
    <n v="23.48"/>
    <n v="1373.5"/>
    <n v="225.02"/>
    <x v="1"/>
  </r>
  <r>
    <s v="ORD101203"/>
    <x v="438"/>
    <x v="2"/>
    <x v="2"/>
    <x v="2"/>
    <x v="2"/>
    <s v="Table"/>
    <x v="2"/>
    <n v="4"/>
    <n v="23618.74"/>
    <n v="28.44"/>
    <n v="67606.28"/>
    <n v="4542.3100000000004"/>
    <x v="2"/>
  </r>
  <r>
    <s v="ORD101204"/>
    <x v="439"/>
    <x v="13"/>
    <x v="3"/>
    <x v="3"/>
    <x v="5"/>
    <s v="Monitor"/>
    <x v="2"/>
    <n v="9"/>
    <n v="73198.009999999995"/>
    <n v="0.62"/>
    <n v="654697.64"/>
    <n v="190246.97"/>
    <x v="1"/>
  </r>
  <r>
    <s v="ORD101205"/>
    <x v="439"/>
    <x v="12"/>
    <x v="4"/>
    <x v="1"/>
    <x v="5"/>
    <s v="Smartphone"/>
    <x v="2"/>
    <n v="8"/>
    <n v="77393.45"/>
    <n v="13.16"/>
    <n v="537667.78"/>
    <n v="79756.679999999993"/>
    <x v="1"/>
  </r>
  <r>
    <s v="ORD101206"/>
    <x v="440"/>
    <x v="2"/>
    <x v="5"/>
    <x v="1"/>
    <x v="1"/>
    <s v="Dress"/>
    <x v="1"/>
    <n v="4"/>
    <n v="1181.7"/>
    <n v="12.03"/>
    <n v="4158.17"/>
    <n v="422.84"/>
    <x v="1"/>
  </r>
  <r>
    <s v="ORD101207"/>
    <x v="440"/>
    <x v="4"/>
    <x v="6"/>
    <x v="4"/>
    <x v="4"/>
    <s v="Comics"/>
    <x v="0"/>
    <n v="1"/>
    <n v="2176.15"/>
    <n v="15"/>
    <n v="1849.73"/>
    <n v="157.65"/>
    <x v="4"/>
  </r>
  <r>
    <s v="ORD101208"/>
    <x v="440"/>
    <x v="14"/>
    <x v="7"/>
    <x v="0"/>
    <x v="4"/>
    <s v="Textbook"/>
    <x v="2"/>
    <n v="5"/>
    <n v="141.83000000000001"/>
    <n v="22.02"/>
    <n v="553"/>
    <n v="37.82"/>
    <x v="2"/>
  </r>
  <r>
    <s v="ORD101209"/>
    <x v="441"/>
    <x v="1"/>
    <x v="8"/>
    <x v="4"/>
    <x v="4"/>
    <s v="Textbook"/>
    <x v="2"/>
    <n v="2"/>
    <n v="1969.76"/>
    <n v="7.82"/>
    <n v="3631.45"/>
    <n v="329.48"/>
    <x v="0"/>
  </r>
  <r>
    <s v="ORD101210"/>
    <x v="441"/>
    <x v="6"/>
    <x v="9"/>
    <x v="3"/>
    <x v="0"/>
    <s v="Coffee"/>
    <x v="1"/>
    <n v="3"/>
    <n v="2533.9699999999998"/>
    <n v="9.41"/>
    <n v="6886.57"/>
    <n v="1788.28"/>
    <x v="1"/>
  </r>
  <r>
    <s v="ORD101211"/>
    <x v="441"/>
    <x v="1"/>
    <x v="10"/>
    <x v="4"/>
    <x v="4"/>
    <s v="Novel"/>
    <x v="0"/>
    <n v="3"/>
    <n v="1630.77"/>
    <n v="0.28000000000000003"/>
    <n v="4878.6099999999997"/>
    <n v="284.14999999999998"/>
    <x v="4"/>
  </r>
  <r>
    <s v="ORD101212"/>
    <x v="442"/>
    <x v="6"/>
    <x v="11"/>
    <x v="3"/>
    <x v="3"/>
    <s v="Tennis Ball"/>
    <x v="1"/>
    <n v="9"/>
    <n v="9341.24"/>
    <n v="10.36"/>
    <n v="75361.39"/>
    <n v="5774.22"/>
    <x v="0"/>
  </r>
  <r>
    <s v="ORD101213"/>
    <x v="442"/>
    <x v="14"/>
    <x v="12"/>
    <x v="1"/>
    <x v="3"/>
    <s v="Yoga Mat"/>
    <x v="0"/>
    <n v="3"/>
    <n v="2578.61"/>
    <n v="29.75"/>
    <n v="5434.42"/>
    <n v="539.91"/>
    <x v="1"/>
  </r>
  <r>
    <s v="ORD101214"/>
    <x v="442"/>
    <x v="2"/>
    <x v="13"/>
    <x v="1"/>
    <x v="5"/>
    <s v="Monitor"/>
    <x v="1"/>
    <n v="7"/>
    <n v="75824.44"/>
    <n v="26.54"/>
    <n v="389904.44"/>
    <n v="40409.360000000001"/>
    <x v="1"/>
  </r>
  <r>
    <s v="ORD101215"/>
    <x v="443"/>
    <x v="3"/>
    <x v="14"/>
    <x v="3"/>
    <x v="2"/>
    <s v="Office Chair"/>
    <x v="2"/>
    <n v="2"/>
    <n v="7849.43"/>
    <n v="12.64"/>
    <n v="13714.52"/>
    <n v="3407.5"/>
    <x v="0"/>
  </r>
  <r>
    <s v="ORD101216"/>
    <x v="443"/>
    <x v="5"/>
    <x v="0"/>
    <x v="4"/>
    <x v="4"/>
    <s v="Comics"/>
    <x v="2"/>
    <n v="4"/>
    <n v="976.59"/>
    <n v="11.78"/>
    <n v="3446.19"/>
    <n v="771.64"/>
    <x v="0"/>
  </r>
  <r>
    <s v="ORD101217"/>
    <x v="444"/>
    <x v="14"/>
    <x v="1"/>
    <x v="2"/>
    <x v="5"/>
    <s v="Monitor"/>
    <x v="0"/>
    <n v="5"/>
    <n v="17287.060000000001"/>
    <n v="15.06"/>
    <n v="73418.14"/>
    <n v="4038.21"/>
    <x v="4"/>
  </r>
  <r>
    <s v="ORD101218"/>
    <x v="444"/>
    <x v="3"/>
    <x v="2"/>
    <x v="0"/>
    <x v="4"/>
    <s v="Novel"/>
    <x v="0"/>
    <n v="4"/>
    <n v="1475.56"/>
    <n v="27.77"/>
    <n v="4263.1899999999996"/>
    <n v="900.97"/>
    <x v="3"/>
  </r>
  <r>
    <s v="ORD101219"/>
    <x v="444"/>
    <x v="2"/>
    <x v="3"/>
    <x v="3"/>
    <x v="3"/>
    <s v="Yoga Mat"/>
    <x v="0"/>
    <n v="2"/>
    <n v="6822.95"/>
    <n v="16.8"/>
    <n v="11353.39"/>
    <n v="2809.04"/>
    <x v="0"/>
  </r>
  <r>
    <s v="ORD101220"/>
    <x v="445"/>
    <x v="0"/>
    <x v="4"/>
    <x v="3"/>
    <x v="2"/>
    <s v="Bookshelf"/>
    <x v="0"/>
    <n v="9"/>
    <n v="5411.12"/>
    <n v="24.85"/>
    <n v="36598.11"/>
    <n v="4134.24"/>
    <x v="0"/>
  </r>
  <r>
    <s v="ORD101221"/>
    <x v="445"/>
    <x v="13"/>
    <x v="5"/>
    <x v="1"/>
    <x v="5"/>
    <s v="Headphones"/>
    <x v="2"/>
    <n v="10"/>
    <n v="29470.58"/>
    <n v="10.59"/>
    <n v="263496.46000000002"/>
    <n v="55095.31"/>
    <x v="1"/>
  </r>
  <r>
    <s v="ORD101222"/>
    <x v="445"/>
    <x v="12"/>
    <x v="6"/>
    <x v="2"/>
    <x v="4"/>
    <s v="Comics"/>
    <x v="0"/>
    <n v="3"/>
    <n v="1241.69"/>
    <n v="16.100000000000001"/>
    <n v="3125.33"/>
    <n v="758.78"/>
    <x v="2"/>
  </r>
  <r>
    <s v="ORD101223"/>
    <x v="446"/>
    <x v="4"/>
    <x v="7"/>
    <x v="0"/>
    <x v="2"/>
    <s v="Table"/>
    <x v="1"/>
    <n v="4"/>
    <n v="1583.05"/>
    <n v="26.7"/>
    <n v="4641.5"/>
    <n v="516.30999999999995"/>
    <x v="4"/>
  </r>
  <r>
    <s v="ORD101224"/>
    <x v="446"/>
    <x v="9"/>
    <x v="8"/>
    <x v="4"/>
    <x v="3"/>
    <s v="Yoga Mat"/>
    <x v="1"/>
    <n v="10"/>
    <n v="7160.38"/>
    <n v="3.46"/>
    <n v="69126.31"/>
    <n v="10486.62"/>
    <x v="1"/>
  </r>
  <r>
    <s v="ORD101225"/>
    <x v="446"/>
    <x v="10"/>
    <x v="9"/>
    <x v="1"/>
    <x v="5"/>
    <s v="Smartphone"/>
    <x v="2"/>
    <n v="7"/>
    <n v="72366.41"/>
    <n v="15.83"/>
    <n v="426375.65"/>
    <n v="99761.45"/>
    <x v="4"/>
  </r>
  <r>
    <s v="ORD101226"/>
    <x v="447"/>
    <x v="13"/>
    <x v="10"/>
    <x v="4"/>
    <x v="4"/>
    <s v="Dictionary"/>
    <x v="0"/>
    <n v="5"/>
    <n v="979.58"/>
    <n v="16.79"/>
    <n v="4075.54"/>
    <n v="881.85"/>
    <x v="2"/>
  </r>
  <r>
    <s v="ORD101227"/>
    <x v="447"/>
    <x v="4"/>
    <x v="11"/>
    <x v="3"/>
    <x v="4"/>
    <s v="Dictionary"/>
    <x v="0"/>
    <n v="8"/>
    <n v="1944.27"/>
    <n v="6.16"/>
    <n v="14596.02"/>
    <n v="3328.58"/>
    <x v="3"/>
  </r>
  <r>
    <s v="ORD101228"/>
    <x v="448"/>
    <x v="4"/>
    <x v="12"/>
    <x v="1"/>
    <x v="0"/>
    <s v="Cooking Oil"/>
    <x v="1"/>
    <n v="1"/>
    <n v="2216.4899999999998"/>
    <n v="17.239999999999998"/>
    <n v="1834.37"/>
    <n v="468.81"/>
    <x v="2"/>
  </r>
  <r>
    <s v="ORD101229"/>
    <x v="448"/>
    <x v="10"/>
    <x v="13"/>
    <x v="3"/>
    <x v="2"/>
    <s v="Sofa"/>
    <x v="1"/>
    <n v="7"/>
    <n v="8177.6"/>
    <n v="8.8800000000000008"/>
    <n v="52160"/>
    <n v="11958.31"/>
    <x v="0"/>
  </r>
  <r>
    <s v="ORD101230"/>
    <x v="448"/>
    <x v="5"/>
    <x v="14"/>
    <x v="2"/>
    <x v="2"/>
    <s v="Sofa"/>
    <x v="0"/>
    <n v="10"/>
    <n v="23357.79"/>
    <n v="6.61"/>
    <n v="218138.4"/>
    <n v="57927.18"/>
    <x v="1"/>
  </r>
  <r>
    <s v="ORD101231"/>
    <x v="449"/>
    <x v="4"/>
    <x v="0"/>
    <x v="2"/>
    <x v="0"/>
    <s v="Snacks"/>
    <x v="2"/>
    <n v="10"/>
    <n v="2756.18"/>
    <n v="11.74"/>
    <n v="24326.04"/>
    <n v="6354.88"/>
    <x v="0"/>
  </r>
  <r>
    <s v="ORD101232"/>
    <x v="449"/>
    <x v="1"/>
    <x v="1"/>
    <x v="0"/>
    <x v="5"/>
    <s v="Headphones"/>
    <x v="1"/>
    <n v="9"/>
    <n v="12412.13"/>
    <n v="7.92"/>
    <n v="102861.8"/>
    <n v="29517.14"/>
    <x v="4"/>
  </r>
  <r>
    <s v="ORD101233"/>
    <x v="449"/>
    <x v="6"/>
    <x v="2"/>
    <x v="2"/>
    <x v="4"/>
    <s v="Dictionary"/>
    <x v="2"/>
    <n v="1"/>
    <n v="1551.86"/>
    <n v="18.420000000000002"/>
    <n v="1266.01"/>
    <n v="231.65"/>
    <x v="3"/>
  </r>
  <r>
    <s v="ORD101234"/>
    <x v="450"/>
    <x v="3"/>
    <x v="3"/>
    <x v="3"/>
    <x v="5"/>
    <s v="Monitor"/>
    <x v="2"/>
    <n v="1"/>
    <n v="8691.81"/>
    <n v="6.82"/>
    <n v="8099.03"/>
    <n v="411.27"/>
    <x v="3"/>
  </r>
  <r>
    <s v="ORD101235"/>
    <x v="450"/>
    <x v="5"/>
    <x v="4"/>
    <x v="2"/>
    <x v="4"/>
    <s v="Dictionary"/>
    <x v="1"/>
    <n v="1"/>
    <n v="577.4"/>
    <n v="2.39"/>
    <n v="563.6"/>
    <n v="146.12"/>
    <x v="2"/>
  </r>
  <r>
    <s v="ORD101236"/>
    <x v="451"/>
    <x v="3"/>
    <x v="5"/>
    <x v="3"/>
    <x v="0"/>
    <s v="Cooking Oil"/>
    <x v="2"/>
    <n v="2"/>
    <n v="1348.44"/>
    <n v="15.37"/>
    <n v="2282.37"/>
    <n v="497.96"/>
    <x v="0"/>
  </r>
  <r>
    <s v="ORD101237"/>
    <x v="451"/>
    <x v="6"/>
    <x v="6"/>
    <x v="1"/>
    <x v="0"/>
    <s v="Tea"/>
    <x v="2"/>
    <n v="10"/>
    <n v="2183.5300000000002"/>
    <n v="24.05"/>
    <n v="16583.91"/>
    <n v="4111.63"/>
    <x v="3"/>
  </r>
  <r>
    <s v="ORD101238"/>
    <x v="451"/>
    <x v="12"/>
    <x v="7"/>
    <x v="3"/>
    <x v="1"/>
    <s v="Jeans"/>
    <x v="0"/>
    <n v="2"/>
    <n v="301.43"/>
    <n v="10.87"/>
    <n v="537.33000000000004"/>
    <n v="125.95"/>
    <x v="2"/>
  </r>
  <r>
    <s v="ORD101239"/>
    <x v="452"/>
    <x v="7"/>
    <x v="8"/>
    <x v="2"/>
    <x v="2"/>
    <s v="Bookshelf"/>
    <x v="2"/>
    <n v="10"/>
    <n v="39067.11"/>
    <n v="28.71"/>
    <n v="278509.43"/>
    <n v="18133.509999999998"/>
    <x v="1"/>
  </r>
  <r>
    <s v="ORD101240"/>
    <x v="452"/>
    <x v="11"/>
    <x v="9"/>
    <x v="2"/>
    <x v="2"/>
    <s v="Table"/>
    <x v="2"/>
    <n v="6"/>
    <n v="38073.86"/>
    <n v="19.03"/>
    <n v="184970.43"/>
    <n v="25614.04"/>
    <x v="3"/>
  </r>
  <r>
    <s v="ORD101241"/>
    <x v="452"/>
    <x v="5"/>
    <x v="10"/>
    <x v="2"/>
    <x v="1"/>
    <s v="Jacket"/>
    <x v="0"/>
    <n v="7"/>
    <n v="3767.95"/>
    <n v="9.75"/>
    <n v="23804.02"/>
    <n v="3993.78"/>
    <x v="3"/>
  </r>
  <r>
    <s v="ORD101242"/>
    <x v="453"/>
    <x v="11"/>
    <x v="11"/>
    <x v="3"/>
    <x v="3"/>
    <s v="Cricket Bat"/>
    <x v="0"/>
    <n v="2"/>
    <n v="4467.5600000000004"/>
    <n v="7.51"/>
    <n v="8264.09"/>
    <n v="1832.43"/>
    <x v="1"/>
  </r>
  <r>
    <s v="ORD101243"/>
    <x v="453"/>
    <x v="14"/>
    <x v="12"/>
    <x v="0"/>
    <x v="1"/>
    <s v="Jacket"/>
    <x v="2"/>
    <n v="9"/>
    <n v="7532.88"/>
    <n v="11.06"/>
    <n v="60297.69"/>
    <n v="3828.45"/>
    <x v="0"/>
  </r>
  <r>
    <s v="ORD101244"/>
    <x v="453"/>
    <x v="4"/>
    <x v="13"/>
    <x v="1"/>
    <x v="5"/>
    <s v="Headphones"/>
    <x v="0"/>
    <n v="2"/>
    <n v="40505.15"/>
    <n v="0.42"/>
    <n v="80670.06"/>
    <n v="4173.82"/>
    <x v="4"/>
  </r>
  <r>
    <s v="ORD101245"/>
    <x v="454"/>
    <x v="0"/>
    <x v="14"/>
    <x v="4"/>
    <x v="2"/>
    <s v="Bookshelf"/>
    <x v="0"/>
    <n v="8"/>
    <n v="37517.53"/>
    <n v="17.75"/>
    <n v="246865.35"/>
    <n v="13087.72"/>
    <x v="0"/>
  </r>
  <r>
    <s v="ORD101246"/>
    <x v="454"/>
    <x v="13"/>
    <x v="0"/>
    <x v="2"/>
    <x v="1"/>
    <s v="T-Shirt"/>
    <x v="1"/>
    <n v="1"/>
    <n v="7811.88"/>
    <n v="18.489999999999998"/>
    <n v="6367.46"/>
    <n v="1808.59"/>
    <x v="1"/>
  </r>
  <r>
    <s v="ORD101247"/>
    <x v="455"/>
    <x v="1"/>
    <x v="1"/>
    <x v="4"/>
    <x v="4"/>
    <s v="Novel"/>
    <x v="1"/>
    <n v="4"/>
    <n v="1450.51"/>
    <n v="2.99"/>
    <n v="5628.56"/>
    <n v="1578.75"/>
    <x v="4"/>
  </r>
  <r>
    <s v="ORD101248"/>
    <x v="455"/>
    <x v="14"/>
    <x v="2"/>
    <x v="1"/>
    <x v="1"/>
    <s v="Jacket"/>
    <x v="1"/>
    <n v="8"/>
    <n v="3131.96"/>
    <n v="0.76"/>
    <n v="24865.26"/>
    <n v="5238.7700000000004"/>
    <x v="2"/>
  </r>
  <r>
    <s v="ORD101249"/>
    <x v="455"/>
    <x v="4"/>
    <x v="3"/>
    <x v="3"/>
    <x v="4"/>
    <s v="Comics"/>
    <x v="1"/>
    <n v="8"/>
    <n v="428.61"/>
    <n v="10.23"/>
    <n v="3078.11"/>
    <n v="298.37"/>
    <x v="3"/>
  </r>
  <r>
    <s v="ORD101250"/>
    <x v="456"/>
    <x v="3"/>
    <x v="4"/>
    <x v="1"/>
    <x v="4"/>
    <s v="Novel"/>
    <x v="0"/>
    <n v="2"/>
    <n v="190.59"/>
    <n v="17.5"/>
    <n v="314.47000000000003"/>
    <n v="33.799999999999997"/>
    <x v="0"/>
  </r>
  <r>
    <s v="ORD101251"/>
    <x v="456"/>
    <x v="13"/>
    <x v="5"/>
    <x v="2"/>
    <x v="4"/>
    <s v="Comics"/>
    <x v="2"/>
    <n v="2"/>
    <n v="2259.66"/>
    <n v="24.55"/>
    <n v="3409.83"/>
    <n v="1014.74"/>
    <x v="1"/>
  </r>
  <r>
    <s v="ORD101252"/>
    <x v="456"/>
    <x v="14"/>
    <x v="6"/>
    <x v="2"/>
    <x v="0"/>
    <s v="Cooking Oil"/>
    <x v="1"/>
    <n v="7"/>
    <n v="217.68"/>
    <n v="29.35"/>
    <n v="1076.54"/>
    <n v="212.2"/>
    <x v="3"/>
  </r>
  <r>
    <s v="ORD101253"/>
    <x v="457"/>
    <x v="1"/>
    <x v="7"/>
    <x v="2"/>
    <x v="2"/>
    <s v="Sofa"/>
    <x v="0"/>
    <n v="3"/>
    <n v="5206.38"/>
    <n v="19.510000000000002"/>
    <n v="12571.85"/>
    <n v="1610.73"/>
    <x v="1"/>
  </r>
  <r>
    <s v="ORD101254"/>
    <x v="457"/>
    <x v="11"/>
    <x v="8"/>
    <x v="4"/>
    <x v="3"/>
    <s v="Yoga Mat"/>
    <x v="2"/>
    <n v="1"/>
    <n v="4279.3599999999997"/>
    <n v="7.96"/>
    <n v="3938.72"/>
    <n v="494.89"/>
    <x v="0"/>
  </r>
  <r>
    <s v="ORD101255"/>
    <x v="457"/>
    <x v="11"/>
    <x v="9"/>
    <x v="4"/>
    <x v="2"/>
    <s v="Table"/>
    <x v="1"/>
    <n v="7"/>
    <n v="14172.48"/>
    <n v="21.09"/>
    <n v="78284.53"/>
    <n v="8270.83"/>
    <x v="1"/>
  </r>
  <r>
    <s v="ORD101256"/>
    <x v="458"/>
    <x v="14"/>
    <x v="10"/>
    <x v="3"/>
    <x v="2"/>
    <s v="Office Chair"/>
    <x v="1"/>
    <n v="1"/>
    <n v="22686.04"/>
    <n v="8.5500000000000007"/>
    <n v="20746.38"/>
    <n v="1163.04"/>
    <x v="3"/>
  </r>
  <r>
    <s v="ORD101257"/>
    <x v="458"/>
    <x v="2"/>
    <x v="11"/>
    <x v="0"/>
    <x v="2"/>
    <s v="Bookshelf"/>
    <x v="1"/>
    <n v="5"/>
    <n v="30417.01"/>
    <n v="0.62"/>
    <n v="151142.12"/>
    <n v="16979.900000000001"/>
    <x v="2"/>
  </r>
  <r>
    <s v="ORD101258"/>
    <x v="459"/>
    <x v="8"/>
    <x v="12"/>
    <x v="4"/>
    <x v="3"/>
    <s v="Football"/>
    <x v="1"/>
    <n v="8"/>
    <n v="6087.25"/>
    <n v="20.45"/>
    <n v="38739.26"/>
    <n v="11558.84"/>
    <x v="0"/>
  </r>
  <r>
    <s v="ORD101259"/>
    <x v="459"/>
    <x v="3"/>
    <x v="13"/>
    <x v="3"/>
    <x v="5"/>
    <s v="Monitor"/>
    <x v="0"/>
    <n v="4"/>
    <n v="50204.76"/>
    <n v="24.82"/>
    <n v="150975.75"/>
    <n v="33163.69"/>
    <x v="2"/>
  </r>
  <r>
    <s v="ORD101260"/>
    <x v="459"/>
    <x v="14"/>
    <x v="14"/>
    <x v="2"/>
    <x v="0"/>
    <s v="Snacks"/>
    <x v="0"/>
    <n v="4"/>
    <n v="2350.4699999999998"/>
    <n v="23.52"/>
    <n v="7190.56"/>
    <n v="1293.01"/>
    <x v="4"/>
  </r>
  <r>
    <s v="ORD101261"/>
    <x v="460"/>
    <x v="6"/>
    <x v="0"/>
    <x v="4"/>
    <x v="4"/>
    <s v="Comics"/>
    <x v="0"/>
    <n v="8"/>
    <n v="2009.4"/>
    <n v="12.51"/>
    <n v="14064.19"/>
    <n v="1508.79"/>
    <x v="3"/>
  </r>
  <r>
    <s v="ORD101262"/>
    <x v="460"/>
    <x v="8"/>
    <x v="1"/>
    <x v="4"/>
    <x v="1"/>
    <s v="Dress"/>
    <x v="1"/>
    <n v="7"/>
    <n v="6676.06"/>
    <n v="12.35"/>
    <n v="40960.97"/>
    <n v="7360.77"/>
    <x v="3"/>
  </r>
  <r>
    <s v="ORD101263"/>
    <x v="460"/>
    <x v="10"/>
    <x v="2"/>
    <x v="0"/>
    <x v="2"/>
    <s v="Office Chair"/>
    <x v="0"/>
    <n v="2"/>
    <n v="1826.5"/>
    <n v="6.82"/>
    <n v="3403.87"/>
    <n v="574.92999999999995"/>
    <x v="4"/>
  </r>
  <r>
    <s v="ORD101264"/>
    <x v="461"/>
    <x v="13"/>
    <x v="3"/>
    <x v="2"/>
    <x v="2"/>
    <s v="Bookshelf"/>
    <x v="0"/>
    <n v="8"/>
    <n v="18146.57"/>
    <n v="13.39"/>
    <n v="125733.95"/>
    <n v="19203.400000000001"/>
    <x v="0"/>
  </r>
  <r>
    <s v="ORD101265"/>
    <x v="461"/>
    <x v="7"/>
    <x v="4"/>
    <x v="4"/>
    <x v="1"/>
    <s v="Jacket"/>
    <x v="2"/>
    <n v="4"/>
    <n v="403.36"/>
    <n v="12.69"/>
    <n v="1408.69"/>
    <n v="136.51"/>
    <x v="0"/>
  </r>
  <r>
    <s v="ORD101266"/>
    <x v="461"/>
    <x v="6"/>
    <x v="5"/>
    <x v="3"/>
    <x v="4"/>
    <s v="Notebook"/>
    <x v="1"/>
    <n v="4"/>
    <n v="1821.84"/>
    <n v="22.88"/>
    <n v="5620.01"/>
    <n v="564.04999999999995"/>
    <x v="1"/>
  </r>
  <r>
    <s v="ORD101267"/>
    <x v="462"/>
    <x v="0"/>
    <x v="6"/>
    <x v="1"/>
    <x v="1"/>
    <s v="Dress"/>
    <x v="0"/>
    <n v="3"/>
    <n v="2775.26"/>
    <n v="4.79"/>
    <n v="7926.98"/>
    <n v="802.97"/>
    <x v="0"/>
  </r>
  <r>
    <s v="ORD101268"/>
    <x v="462"/>
    <x v="5"/>
    <x v="7"/>
    <x v="3"/>
    <x v="5"/>
    <s v="Smartphone"/>
    <x v="1"/>
    <n v="7"/>
    <n v="56167.07"/>
    <n v="15.07"/>
    <n v="333918.84999999998"/>
    <n v="30579.599999999999"/>
    <x v="4"/>
  </r>
  <r>
    <s v="ORD101269"/>
    <x v="463"/>
    <x v="12"/>
    <x v="8"/>
    <x v="4"/>
    <x v="1"/>
    <s v="Shoes"/>
    <x v="0"/>
    <n v="8"/>
    <n v="7038.44"/>
    <n v="26.04"/>
    <n v="41645.040000000001"/>
    <n v="8651.4500000000007"/>
    <x v="1"/>
  </r>
  <r>
    <s v="ORD101270"/>
    <x v="463"/>
    <x v="0"/>
    <x v="9"/>
    <x v="0"/>
    <x v="2"/>
    <s v="Table"/>
    <x v="1"/>
    <n v="1"/>
    <n v="11208.36"/>
    <n v="15.38"/>
    <n v="9484.51"/>
    <n v="1258.1199999999999"/>
    <x v="0"/>
  </r>
  <r>
    <s v="ORD101271"/>
    <x v="463"/>
    <x v="2"/>
    <x v="10"/>
    <x v="2"/>
    <x v="4"/>
    <s v="Comics"/>
    <x v="2"/>
    <n v="3"/>
    <n v="932.91"/>
    <n v="12.57"/>
    <n v="2446.9299999999998"/>
    <n v="132.69999999999999"/>
    <x v="2"/>
  </r>
  <r>
    <s v="ORD101272"/>
    <x v="464"/>
    <x v="13"/>
    <x v="11"/>
    <x v="1"/>
    <x v="0"/>
    <s v="Tea"/>
    <x v="1"/>
    <n v="4"/>
    <n v="2192.2399999999998"/>
    <n v="15.3"/>
    <n v="7427.31"/>
    <n v="612.30999999999995"/>
    <x v="2"/>
  </r>
  <r>
    <s v="ORD101273"/>
    <x v="464"/>
    <x v="12"/>
    <x v="12"/>
    <x v="2"/>
    <x v="5"/>
    <s v="Smartphone"/>
    <x v="0"/>
    <n v="2"/>
    <n v="26134.400000000001"/>
    <n v="27.78"/>
    <n v="37748.53"/>
    <n v="9371.15"/>
    <x v="4"/>
  </r>
  <r>
    <s v="ORD101274"/>
    <x v="464"/>
    <x v="9"/>
    <x v="13"/>
    <x v="1"/>
    <x v="3"/>
    <s v="Badminton Racket"/>
    <x v="0"/>
    <n v="7"/>
    <n v="1023.22"/>
    <n v="20.45"/>
    <n v="5697.8"/>
    <n v="1253.67"/>
    <x v="1"/>
  </r>
  <r>
    <s v="ORD101275"/>
    <x v="465"/>
    <x v="1"/>
    <x v="14"/>
    <x v="2"/>
    <x v="3"/>
    <s v="Yoga Mat"/>
    <x v="1"/>
    <n v="3"/>
    <n v="9552.82"/>
    <n v="27.64"/>
    <n v="20737.259999999998"/>
    <n v="1316.81"/>
    <x v="4"/>
  </r>
  <r>
    <s v="ORD101276"/>
    <x v="465"/>
    <x v="11"/>
    <x v="0"/>
    <x v="4"/>
    <x v="1"/>
    <s v="Shoes"/>
    <x v="2"/>
    <n v="10"/>
    <n v="982.47"/>
    <n v="27.67"/>
    <n v="7106.21"/>
    <n v="1208.48"/>
    <x v="2"/>
  </r>
  <r>
    <s v="ORD101277"/>
    <x v="465"/>
    <x v="14"/>
    <x v="1"/>
    <x v="1"/>
    <x v="5"/>
    <s v="Monitor"/>
    <x v="0"/>
    <n v="10"/>
    <n v="79763.23"/>
    <n v="13.68"/>
    <n v="688516.2"/>
    <n v="163320.76999999999"/>
    <x v="3"/>
  </r>
  <r>
    <s v="ORD101278"/>
    <x v="466"/>
    <x v="3"/>
    <x v="2"/>
    <x v="2"/>
    <x v="4"/>
    <s v="Comics"/>
    <x v="2"/>
    <n v="6"/>
    <n v="242.41"/>
    <n v="19.73"/>
    <n v="1167.5"/>
    <n v="316.14"/>
    <x v="4"/>
  </r>
  <r>
    <s v="ORD101279"/>
    <x v="466"/>
    <x v="2"/>
    <x v="3"/>
    <x v="0"/>
    <x v="4"/>
    <s v="Notebook"/>
    <x v="1"/>
    <n v="7"/>
    <n v="2197.85"/>
    <n v="10.77"/>
    <n v="13727.99"/>
    <n v="842.51"/>
    <x v="1"/>
  </r>
  <r>
    <s v="ORD101280"/>
    <x v="467"/>
    <x v="3"/>
    <x v="4"/>
    <x v="1"/>
    <x v="3"/>
    <s v="Football"/>
    <x v="2"/>
    <n v="2"/>
    <n v="7191.93"/>
    <n v="0.11"/>
    <n v="14368.04"/>
    <n v="885.58"/>
    <x v="0"/>
  </r>
  <r>
    <s v="ORD101281"/>
    <x v="467"/>
    <x v="8"/>
    <x v="5"/>
    <x v="0"/>
    <x v="0"/>
    <s v="Cooking Oil"/>
    <x v="2"/>
    <n v="9"/>
    <n v="2742.47"/>
    <n v="5.78"/>
    <n v="23255.599999999999"/>
    <n v="3426.53"/>
    <x v="0"/>
  </r>
  <r>
    <s v="ORD101282"/>
    <x v="467"/>
    <x v="9"/>
    <x v="6"/>
    <x v="3"/>
    <x v="4"/>
    <s v="Novel"/>
    <x v="1"/>
    <n v="7"/>
    <n v="1114.6199999999999"/>
    <n v="24.02"/>
    <n v="5928.22"/>
    <n v="672.55"/>
    <x v="4"/>
  </r>
  <r>
    <s v="ORD101283"/>
    <x v="468"/>
    <x v="13"/>
    <x v="7"/>
    <x v="1"/>
    <x v="2"/>
    <s v="Office Chair"/>
    <x v="2"/>
    <n v="9"/>
    <n v="20162.61"/>
    <n v="26.17"/>
    <n v="133974.49"/>
    <n v="30548.31"/>
    <x v="4"/>
  </r>
  <r>
    <s v="ORD101284"/>
    <x v="468"/>
    <x v="10"/>
    <x v="8"/>
    <x v="3"/>
    <x v="1"/>
    <s v="Dress"/>
    <x v="2"/>
    <n v="9"/>
    <n v="2225.44"/>
    <n v="12.51"/>
    <n v="17523.34"/>
    <n v="2411.52"/>
    <x v="3"/>
  </r>
  <r>
    <s v="ORD101285"/>
    <x v="468"/>
    <x v="10"/>
    <x v="9"/>
    <x v="3"/>
    <x v="3"/>
    <s v="Cricket Bat"/>
    <x v="2"/>
    <n v="10"/>
    <n v="8329.32"/>
    <n v="29.25"/>
    <n v="58929.94"/>
    <n v="15814.93"/>
    <x v="4"/>
  </r>
  <r>
    <s v="ORD101286"/>
    <x v="469"/>
    <x v="14"/>
    <x v="10"/>
    <x v="0"/>
    <x v="0"/>
    <s v="Rice"/>
    <x v="0"/>
    <n v="7"/>
    <n v="889.79"/>
    <n v="22.95"/>
    <n v="4799.08"/>
    <n v="804.26"/>
    <x v="4"/>
  </r>
  <r>
    <s v="ORD101287"/>
    <x v="469"/>
    <x v="8"/>
    <x v="11"/>
    <x v="4"/>
    <x v="3"/>
    <s v="Yoga Mat"/>
    <x v="0"/>
    <n v="7"/>
    <n v="8825.2900000000009"/>
    <n v="26.63"/>
    <n v="45325.81"/>
    <n v="13118.01"/>
    <x v="4"/>
  </r>
  <r>
    <s v="ORD101288"/>
    <x v="469"/>
    <x v="9"/>
    <x v="12"/>
    <x v="4"/>
    <x v="5"/>
    <s v="Monitor"/>
    <x v="1"/>
    <n v="4"/>
    <n v="48323.11"/>
    <n v="18.190000000000001"/>
    <n v="158132.54999999999"/>
    <n v="22337.22"/>
    <x v="0"/>
  </r>
  <r>
    <s v="ORD101289"/>
    <x v="470"/>
    <x v="1"/>
    <x v="13"/>
    <x v="3"/>
    <x v="1"/>
    <s v="Jacket"/>
    <x v="0"/>
    <n v="3"/>
    <n v="1673.67"/>
    <n v="15.39"/>
    <n v="4248.28"/>
    <n v="1076.96"/>
    <x v="1"/>
  </r>
  <r>
    <s v="ORD101290"/>
    <x v="470"/>
    <x v="7"/>
    <x v="14"/>
    <x v="2"/>
    <x v="2"/>
    <s v="Office Chair"/>
    <x v="1"/>
    <n v="5"/>
    <n v="1750.71"/>
    <n v="24.76"/>
    <n v="6586.17"/>
    <n v="564.30999999999995"/>
    <x v="2"/>
  </r>
  <r>
    <s v="ORD101291"/>
    <x v="471"/>
    <x v="6"/>
    <x v="0"/>
    <x v="4"/>
    <x v="5"/>
    <s v="Keyboard"/>
    <x v="0"/>
    <n v="2"/>
    <n v="37907.769999999997"/>
    <n v="28.47"/>
    <n v="54230.86"/>
    <n v="14201.71"/>
    <x v="3"/>
  </r>
  <r>
    <s v="ORD101292"/>
    <x v="471"/>
    <x v="3"/>
    <x v="1"/>
    <x v="3"/>
    <x v="3"/>
    <s v="Yoga Mat"/>
    <x v="1"/>
    <n v="9"/>
    <n v="1756.76"/>
    <n v="5.87"/>
    <n v="14882.74"/>
    <n v="4364.28"/>
    <x v="0"/>
  </r>
  <r>
    <s v="ORD101293"/>
    <x v="471"/>
    <x v="5"/>
    <x v="2"/>
    <x v="1"/>
    <x v="3"/>
    <s v="Badminton Racket"/>
    <x v="0"/>
    <n v="2"/>
    <n v="1932.22"/>
    <n v="25.95"/>
    <n v="2861.62"/>
    <n v="545.78"/>
    <x v="0"/>
  </r>
  <r>
    <s v="ORD101294"/>
    <x v="472"/>
    <x v="11"/>
    <x v="3"/>
    <x v="0"/>
    <x v="0"/>
    <s v="Coffee"/>
    <x v="2"/>
    <n v="4"/>
    <n v="1683.83"/>
    <n v="11.48"/>
    <n v="5962.11"/>
    <n v="532.53"/>
    <x v="1"/>
  </r>
  <r>
    <s v="ORD101295"/>
    <x v="472"/>
    <x v="5"/>
    <x v="4"/>
    <x v="2"/>
    <x v="3"/>
    <s v="Badminton Racket"/>
    <x v="1"/>
    <n v="4"/>
    <n v="7508.24"/>
    <n v="6.16"/>
    <n v="28182.93"/>
    <n v="3472.88"/>
    <x v="1"/>
  </r>
  <r>
    <s v="ORD101296"/>
    <x v="472"/>
    <x v="10"/>
    <x v="5"/>
    <x v="0"/>
    <x v="2"/>
    <s v="Sofa"/>
    <x v="0"/>
    <n v="5"/>
    <n v="12568.21"/>
    <n v="26.68"/>
    <n v="46075.06"/>
    <n v="13815.2"/>
    <x v="4"/>
  </r>
  <r>
    <s v="ORD101297"/>
    <x v="473"/>
    <x v="13"/>
    <x v="6"/>
    <x v="0"/>
    <x v="3"/>
    <s v="Badminton Racket"/>
    <x v="2"/>
    <n v="7"/>
    <n v="4443.08"/>
    <n v="4.32"/>
    <n v="29757.97"/>
    <n v="7608.74"/>
    <x v="4"/>
  </r>
  <r>
    <s v="ORD101298"/>
    <x v="473"/>
    <x v="14"/>
    <x v="7"/>
    <x v="3"/>
    <x v="3"/>
    <s v="Badminton Racket"/>
    <x v="1"/>
    <n v="7"/>
    <n v="4063.73"/>
    <n v="20.309999999999999"/>
    <n v="22668.71"/>
    <n v="3830.91"/>
    <x v="1"/>
  </r>
  <r>
    <s v="ORD101299"/>
    <x v="474"/>
    <x v="5"/>
    <x v="8"/>
    <x v="4"/>
    <x v="4"/>
    <s v="Novel"/>
    <x v="0"/>
    <n v="10"/>
    <n v="2054.61"/>
    <n v="13.77"/>
    <n v="17716.900000000001"/>
    <n v="2001.07"/>
    <x v="3"/>
  </r>
  <r>
    <s v="ORD101300"/>
    <x v="474"/>
    <x v="2"/>
    <x v="9"/>
    <x v="4"/>
    <x v="4"/>
    <s v="Dictionary"/>
    <x v="1"/>
    <n v="5"/>
    <n v="2437.67"/>
    <n v="27.34"/>
    <n v="8856.06"/>
    <n v="800.84"/>
    <x v="1"/>
  </r>
  <r>
    <s v="ORD101301"/>
    <x v="474"/>
    <x v="13"/>
    <x v="10"/>
    <x v="4"/>
    <x v="2"/>
    <s v="Desk"/>
    <x v="2"/>
    <n v="8"/>
    <n v="27623.15"/>
    <n v="6.25"/>
    <n v="207173.62"/>
    <n v="34275.339999999997"/>
    <x v="0"/>
  </r>
  <r>
    <s v="ORD101302"/>
    <x v="475"/>
    <x v="2"/>
    <x v="11"/>
    <x v="0"/>
    <x v="1"/>
    <s v="Jacket"/>
    <x v="0"/>
    <n v="4"/>
    <n v="5957.25"/>
    <n v="22.43"/>
    <n v="18484.16"/>
    <n v="2090.25"/>
    <x v="3"/>
  </r>
  <r>
    <s v="ORD101303"/>
    <x v="475"/>
    <x v="13"/>
    <x v="12"/>
    <x v="0"/>
    <x v="1"/>
    <s v="Jeans"/>
    <x v="0"/>
    <n v="8"/>
    <n v="7515.77"/>
    <n v="18.829999999999998"/>
    <n v="48804.4"/>
    <n v="6367.1"/>
    <x v="0"/>
  </r>
  <r>
    <s v="ORD101304"/>
    <x v="475"/>
    <x v="0"/>
    <x v="13"/>
    <x v="4"/>
    <x v="4"/>
    <s v="Notebook"/>
    <x v="1"/>
    <n v="10"/>
    <n v="1368.71"/>
    <n v="17.7"/>
    <n v="11264.48"/>
    <n v="1402.55"/>
    <x v="3"/>
  </r>
  <r>
    <s v="ORD101305"/>
    <x v="476"/>
    <x v="3"/>
    <x v="14"/>
    <x v="4"/>
    <x v="5"/>
    <s v="Monitor"/>
    <x v="2"/>
    <n v="9"/>
    <n v="34822.76"/>
    <n v="13.59"/>
    <n v="270813.12"/>
    <n v="48264.49"/>
    <x v="3"/>
  </r>
  <r>
    <s v="ORD101306"/>
    <x v="476"/>
    <x v="4"/>
    <x v="0"/>
    <x v="2"/>
    <x v="4"/>
    <s v="Novel"/>
    <x v="0"/>
    <n v="7"/>
    <n v="892.27"/>
    <n v="9.67"/>
    <n v="5641.91"/>
    <n v="1068.8599999999999"/>
    <x v="4"/>
  </r>
  <r>
    <s v="ORD101307"/>
    <x v="476"/>
    <x v="6"/>
    <x v="1"/>
    <x v="0"/>
    <x v="0"/>
    <s v="Tea"/>
    <x v="2"/>
    <n v="6"/>
    <n v="314.36"/>
    <n v="3.8"/>
    <n v="1814.49"/>
    <n v="465.71"/>
    <x v="0"/>
  </r>
  <r>
    <s v="ORD101308"/>
    <x v="477"/>
    <x v="12"/>
    <x v="2"/>
    <x v="2"/>
    <x v="1"/>
    <s v="Shoes"/>
    <x v="0"/>
    <n v="5"/>
    <n v="632.08000000000004"/>
    <n v="17.22"/>
    <n v="2616.1799999999998"/>
    <n v="689.02"/>
    <x v="0"/>
  </r>
  <r>
    <s v="ORD101309"/>
    <x v="477"/>
    <x v="4"/>
    <x v="3"/>
    <x v="2"/>
    <x v="4"/>
    <s v="Novel"/>
    <x v="1"/>
    <n v="9"/>
    <n v="316.76"/>
    <n v="16.88"/>
    <n v="2369.62"/>
    <n v="402.27"/>
    <x v="0"/>
  </r>
  <r>
    <s v="ORD101310"/>
    <x v="478"/>
    <x v="2"/>
    <x v="4"/>
    <x v="4"/>
    <x v="5"/>
    <s v="Monitor"/>
    <x v="2"/>
    <n v="9"/>
    <n v="72477.17"/>
    <n v="12.28"/>
    <n v="572192.76"/>
    <n v="164944.97"/>
    <x v="1"/>
  </r>
  <r>
    <s v="ORD101311"/>
    <x v="478"/>
    <x v="1"/>
    <x v="5"/>
    <x v="0"/>
    <x v="4"/>
    <s v="Comics"/>
    <x v="2"/>
    <n v="3"/>
    <n v="1481.73"/>
    <n v="17.5"/>
    <n v="3667.28"/>
    <n v="870.97"/>
    <x v="4"/>
  </r>
  <r>
    <s v="ORD101312"/>
    <x v="478"/>
    <x v="4"/>
    <x v="6"/>
    <x v="1"/>
    <x v="5"/>
    <s v="Monitor"/>
    <x v="0"/>
    <n v="2"/>
    <n v="9869.8799999999992"/>
    <n v="28.75"/>
    <n v="14064.58"/>
    <n v="1023.24"/>
    <x v="3"/>
  </r>
  <r>
    <s v="ORD101313"/>
    <x v="479"/>
    <x v="4"/>
    <x v="7"/>
    <x v="3"/>
    <x v="0"/>
    <s v="Rice"/>
    <x v="0"/>
    <n v="6"/>
    <n v="1791.38"/>
    <n v="18.899999999999999"/>
    <n v="8716.86"/>
    <n v="2278.19"/>
    <x v="1"/>
  </r>
  <r>
    <s v="ORD101314"/>
    <x v="479"/>
    <x v="14"/>
    <x v="8"/>
    <x v="3"/>
    <x v="0"/>
    <s v="Coffee"/>
    <x v="0"/>
    <n v="6"/>
    <n v="2479.9899999999998"/>
    <n v="12.3"/>
    <n v="13049.71"/>
    <n v="3884.9"/>
    <x v="0"/>
  </r>
  <r>
    <s v="ORD101315"/>
    <x v="479"/>
    <x v="3"/>
    <x v="9"/>
    <x v="2"/>
    <x v="4"/>
    <s v="Dictionary"/>
    <x v="1"/>
    <n v="10"/>
    <n v="486.51"/>
    <n v="9.6300000000000008"/>
    <n v="4396.59"/>
    <n v="467.08"/>
    <x v="2"/>
  </r>
  <r>
    <s v="ORD101316"/>
    <x v="480"/>
    <x v="10"/>
    <x v="10"/>
    <x v="2"/>
    <x v="1"/>
    <s v="Jeans"/>
    <x v="2"/>
    <n v="9"/>
    <n v="4115.78"/>
    <n v="0.54"/>
    <n v="36841.99"/>
    <n v="4925.0600000000004"/>
    <x v="4"/>
  </r>
  <r>
    <s v="ORD101317"/>
    <x v="480"/>
    <x v="3"/>
    <x v="11"/>
    <x v="3"/>
    <x v="0"/>
    <s v="Snacks"/>
    <x v="1"/>
    <n v="10"/>
    <n v="664.73"/>
    <n v="19.84"/>
    <n v="5328.48"/>
    <n v="1480.33"/>
    <x v="2"/>
  </r>
  <r>
    <s v="ORD101318"/>
    <x v="480"/>
    <x v="11"/>
    <x v="12"/>
    <x v="4"/>
    <x v="3"/>
    <s v="Tennis Ball"/>
    <x v="2"/>
    <n v="3"/>
    <n v="1572.63"/>
    <n v="10.45"/>
    <n v="4224.87"/>
    <n v="622.69000000000005"/>
    <x v="3"/>
  </r>
  <r>
    <s v="ORD101319"/>
    <x v="481"/>
    <x v="2"/>
    <x v="13"/>
    <x v="3"/>
    <x v="1"/>
    <s v="Dress"/>
    <x v="0"/>
    <n v="7"/>
    <n v="1145.33"/>
    <n v="17.190000000000001"/>
    <n v="6639.13"/>
    <n v="371.42"/>
    <x v="0"/>
  </r>
  <r>
    <s v="ORD101320"/>
    <x v="481"/>
    <x v="4"/>
    <x v="14"/>
    <x v="0"/>
    <x v="2"/>
    <s v="Table"/>
    <x v="1"/>
    <n v="5"/>
    <n v="27617.23"/>
    <n v="25.43"/>
    <n v="102970.84"/>
    <n v="23004.14"/>
    <x v="3"/>
  </r>
  <r>
    <s v="ORD101321"/>
    <x v="482"/>
    <x v="13"/>
    <x v="0"/>
    <x v="2"/>
    <x v="0"/>
    <s v="Tea"/>
    <x v="2"/>
    <n v="1"/>
    <n v="1287.6400000000001"/>
    <n v="14.55"/>
    <n v="1100.29"/>
    <n v="125.51"/>
    <x v="4"/>
  </r>
  <r>
    <s v="ORD101322"/>
    <x v="482"/>
    <x v="2"/>
    <x v="1"/>
    <x v="0"/>
    <x v="3"/>
    <s v="Cricket Bat"/>
    <x v="2"/>
    <n v="3"/>
    <n v="4696.3100000000004"/>
    <n v="29.51"/>
    <n v="9931.2900000000009"/>
    <n v="1470.94"/>
    <x v="3"/>
  </r>
  <r>
    <s v="ORD101323"/>
    <x v="482"/>
    <x v="5"/>
    <x v="2"/>
    <x v="3"/>
    <x v="0"/>
    <s v="Snacks"/>
    <x v="2"/>
    <n v="4"/>
    <n v="583.41"/>
    <n v="16.23"/>
    <n v="1954.89"/>
    <n v="231.97"/>
    <x v="4"/>
  </r>
  <r>
    <s v="ORD101324"/>
    <x v="483"/>
    <x v="14"/>
    <x v="3"/>
    <x v="3"/>
    <x v="2"/>
    <s v="Desk"/>
    <x v="2"/>
    <n v="1"/>
    <n v="35399.879999999997"/>
    <n v="13.33"/>
    <n v="30681.08"/>
    <n v="6051.41"/>
    <x v="3"/>
  </r>
  <r>
    <s v="ORD101325"/>
    <x v="483"/>
    <x v="2"/>
    <x v="4"/>
    <x v="2"/>
    <x v="3"/>
    <s v="Cricket Bat"/>
    <x v="1"/>
    <n v="8"/>
    <n v="2205.02"/>
    <n v="5.45"/>
    <n v="16678.77"/>
    <n v="892.24"/>
    <x v="0"/>
  </r>
  <r>
    <s v="ORD101326"/>
    <x v="483"/>
    <x v="9"/>
    <x v="5"/>
    <x v="3"/>
    <x v="0"/>
    <s v="Rice"/>
    <x v="2"/>
    <n v="9"/>
    <n v="2865.32"/>
    <n v="7.42"/>
    <n v="23874.42"/>
    <n v="5560.63"/>
    <x v="3"/>
  </r>
  <r>
    <s v="ORD101327"/>
    <x v="484"/>
    <x v="12"/>
    <x v="6"/>
    <x v="0"/>
    <x v="4"/>
    <s v="Textbook"/>
    <x v="2"/>
    <n v="8"/>
    <n v="683.92"/>
    <n v="21.76"/>
    <n v="4280.79"/>
    <n v="287.19"/>
    <x v="2"/>
  </r>
  <r>
    <s v="ORD101328"/>
    <x v="484"/>
    <x v="12"/>
    <x v="7"/>
    <x v="0"/>
    <x v="4"/>
    <s v="Comics"/>
    <x v="0"/>
    <n v="7"/>
    <n v="1845.75"/>
    <n v="11.12"/>
    <n v="11483.52"/>
    <n v="1103.48"/>
    <x v="3"/>
  </r>
  <r>
    <s v="ORD101329"/>
    <x v="484"/>
    <x v="8"/>
    <x v="8"/>
    <x v="3"/>
    <x v="3"/>
    <s v="Tennis Ball"/>
    <x v="1"/>
    <n v="3"/>
    <n v="6339.35"/>
    <n v="16.14"/>
    <n v="15948.54"/>
    <n v="3437.65"/>
    <x v="1"/>
  </r>
  <r>
    <s v="ORD101330"/>
    <x v="485"/>
    <x v="14"/>
    <x v="9"/>
    <x v="2"/>
    <x v="5"/>
    <s v="Smartphone"/>
    <x v="1"/>
    <n v="2"/>
    <n v="71881.73"/>
    <n v="7.28"/>
    <n v="133297.48000000001"/>
    <n v="18432.97"/>
    <x v="4"/>
  </r>
  <r>
    <s v="ORD101331"/>
    <x v="485"/>
    <x v="8"/>
    <x v="10"/>
    <x v="3"/>
    <x v="3"/>
    <s v="Football"/>
    <x v="0"/>
    <n v="1"/>
    <n v="1129.73"/>
    <n v="29.91"/>
    <n v="791.83"/>
    <n v="92.61"/>
    <x v="0"/>
  </r>
  <r>
    <s v="ORD101332"/>
    <x v="486"/>
    <x v="1"/>
    <x v="11"/>
    <x v="0"/>
    <x v="1"/>
    <s v="T-Shirt"/>
    <x v="2"/>
    <n v="1"/>
    <n v="5181.8100000000004"/>
    <n v="10.92"/>
    <n v="4615.96"/>
    <n v="1214.42"/>
    <x v="3"/>
  </r>
  <r>
    <s v="ORD101333"/>
    <x v="486"/>
    <x v="10"/>
    <x v="12"/>
    <x v="0"/>
    <x v="5"/>
    <s v="Headphones"/>
    <x v="0"/>
    <n v="8"/>
    <n v="39169.519999999997"/>
    <n v="6.74"/>
    <n v="292235.95"/>
    <n v="28871.06"/>
    <x v="4"/>
  </r>
  <r>
    <s v="ORD101334"/>
    <x v="486"/>
    <x v="14"/>
    <x v="13"/>
    <x v="3"/>
    <x v="4"/>
    <s v="Notebook"/>
    <x v="2"/>
    <n v="6"/>
    <n v="2205.17"/>
    <n v="26.03"/>
    <n v="9786.99"/>
    <n v="1593.02"/>
    <x v="4"/>
  </r>
  <r>
    <s v="ORD101335"/>
    <x v="487"/>
    <x v="6"/>
    <x v="14"/>
    <x v="1"/>
    <x v="0"/>
    <s v="Snacks"/>
    <x v="0"/>
    <n v="1"/>
    <n v="2269.8000000000002"/>
    <n v="0.92"/>
    <n v="2248.92"/>
    <n v="271.73"/>
    <x v="3"/>
  </r>
  <r>
    <s v="ORD101336"/>
    <x v="487"/>
    <x v="1"/>
    <x v="0"/>
    <x v="4"/>
    <x v="3"/>
    <s v="Tennis Ball"/>
    <x v="0"/>
    <n v="5"/>
    <n v="9772.98"/>
    <n v="22.19"/>
    <n v="38021.78"/>
    <n v="4298.3599999999997"/>
    <x v="2"/>
  </r>
  <r>
    <s v="ORD101337"/>
    <x v="487"/>
    <x v="7"/>
    <x v="1"/>
    <x v="2"/>
    <x v="5"/>
    <s v="Smartphone"/>
    <x v="1"/>
    <n v="2"/>
    <n v="47989.27"/>
    <n v="14.17"/>
    <n v="82378.38"/>
    <n v="18500.400000000001"/>
    <x v="2"/>
  </r>
  <r>
    <s v="ORD101338"/>
    <x v="488"/>
    <x v="14"/>
    <x v="2"/>
    <x v="0"/>
    <x v="0"/>
    <s v="Snacks"/>
    <x v="1"/>
    <n v="10"/>
    <n v="1506.82"/>
    <n v="9.36"/>
    <n v="13657.82"/>
    <n v="2327.8200000000002"/>
    <x v="3"/>
  </r>
  <r>
    <s v="ORD101339"/>
    <x v="488"/>
    <x v="4"/>
    <x v="3"/>
    <x v="1"/>
    <x v="3"/>
    <s v="Football"/>
    <x v="1"/>
    <n v="10"/>
    <n v="2355.91"/>
    <n v="0.26"/>
    <n v="23497.85"/>
    <n v="5381.76"/>
    <x v="3"/>
  </r>
  <r>
    <s v="ORD101340"/>
    <x v="488"/>
    <x v="10"/>
    <x v="4"/>
    <x v="2"/>
    <x v="4"/>
    <s v="Dictionary"/>
    <x v="2"/>
    <n v="8"/>
    <n v="413.68"/>
    <n v="5.2"/>
    <n v="3137.35"/>
    <n v="424.23"/>
    <x v="2"/>
  </r>
  <r>
    <s v="ORD101341"/>
    <x v="489"/>
    <x v="2"/>
    <x v="5"/>
    <x v="3"/>
    <x v="5"/>
    <s v="Smartphone"/>
    <x v="1"/>
    <n v="5"/>
    <n v="67060.58"/>
    <n v="2"/>
    <n v="328596.84000000003"/>
    <n v="93842.62"/>
    <x v="0"/>
  </r>
  <r>
    <s v="ORD101342"/>
    <x v="489"/>
    <x v="14"/>
    <x v="6"/>
    <x v="0"/>
    <x v="1"/>
    <s v="Dress"/>
    <x v="1"/>
    <n v="6"/>
    <n v="4453.22"/>
    <n v="23.3"/>
    <n v="20493.72"/>
    <n v="2670.54"/>
    <x v="2"/>
  </r>
  <r>
    <s v="ORD101343"/>
    <x v="490"/>
    <x v="13"/>
    <x v="7"/>
    <x v="3"/>
    <x v="3"/>
    <s v="Badminton Racket"/>
    <x v="2"/>
    <n v="3"/>
    <n v="1727.83"/>
    <n v="21.67"/>
    <n v="4060.23"/>
    <n v="935.9"/>
    <x v="1"/>
  </r>
  <r>
    <s v="ORD101344"/>
    <x v="490"/>
    <x v="14"/>
    <x v="8"/>
    <x v="0"/>
    <x v="0"/>
    <s v="Coffee"/>
    <x v="0"/>
    <n v="10"/>
    <n v="2459.0300000000002"/>
    <n v="19.66"/>
    <n v="19755.849999999999"/>
    <n v="3492.85"/>
    <x v="3"/>
  </r>
  <r>
    <s v="ORD101345"/>
    <x v="490"/>
    <x v="7"/>
    <x v="9"/>
    <x v="3"/>
    <x v="3"/>
    <s v="Tennis Ball"/>
    <x v="2"/>
    <n v="3"/>
    <n v="2443.63"/>
    <n v="3.65"/>
    <n v="7063.31"/>
    <n v="994.85"/>
    <x v="3"/>
  </r>
  <r>
    <s v="ORD101346"/>
    <x v="491"/>
    <x v="9"/>
    <x v="10"/>
    <x v="0"/>
    <x v="3"/>
    <s v="Tennis Ball"/>
    <x v="0"/>
    <n v="4"/>
    <n v="576.57000000000005"/>
    <n v="12.05"/>
    <n v="2028.37"/>
    <n v="506.62"/>
    <x v="0"/>
  </r>
  <r>
    <s v="ORD101347"/>
    <x v="491"/>
    <x v="10"/>
    <x v="11"/>
    <x v="1"/>
    <x v="2"/>
    <s v="Desk"/>
    <x v="1"/>
    <n v="2"/>
    <n v="39185.03"/>
    <n v="21.36"/>
    <n v="61630.22"/>
    <n v="10681.19"/>
    <x v="2"/>
  </r>
  <r>
    <s v="ORD101348"/>
    <x v="491"/>
    <x v="4"/>
    <x v="12"/>
    <x v="3"/>
    <x v="4"/>
    <s v="Notebook"/>
    <x v="0"/>
    <n v="5"/>
    <n v="1800.95"/>
    <n v="4.03"/>
    <n v="8641.86"/>
    <n v="2190.86"/>
    <x v="0"/>
  </r>
  <r>
    <s v="ORD101349"/>
    <x v="492"/>
    <x v="5"/>
    <x v="13"/>
    <x v="3"/>
    <x v="5"/>
    <s v="Laptop"/>
    <x v="2"/>
    <n v="10"/>
    <n v="7321.96"/>
    <n v="29.09"/>
    <n v="51920.02"/>
    <n v="3098.13"/>
    <x v="4"/>
  </r>
  <r>
    <s v="ORD101350"/>
    <x v="492"/>
    <x v="1"/>
    <x v="14"/>
    <x v="0"/>
    <x v="5"/>
    <s v="Monitor"/>
    <x v="2"/>
    <n v="2"/>
    <n v="72862.63"/>
    <n v="9.1199999999999992"/>
    <n v="132435.12"/>
    <n v="21511.62"/>
    <x v="0"/>
  </r>
  <r>
    <s v="ORD101351"/>
    <x v="492"/>
    <x v="8"/>
    <x v="0"/>
    <x v="0"/>
    <x v="4"/>
    <s v="Notebook"/>
    <x v="1"/>
    <n v="2"/>
    <n v="293.87"/>
    <n v="11.62"/>
    <n v="519.44000000000005"/>
    <n v="103.91"/>
    <x v="1"/>
  </r>
  <r>
    <s v="ORD101352"/>
    <x v="493"/>
    <x v="12"/>
    <x v="1"/>
    <x v="0"/>
    <x v="0"/>
    <s v="Rice"/>
    <x v="2"/>
    <n v="2"/>
    <n v="2208.2399999999998"/>
    <n v="7.71"/>
    <n v="4075.97"/>
    <n v="382.33"/>
    <x v="0"/>
  </r>
  <r>
    <s v="ORD101353"/>
    <x v="493"/>
    <x v="6"/>
    <x v="2"/>
    <x v="4"/>
    <x v="5"/>
    <s v="Laptop"/>
    <x v="2"/>
    <n v="1"/>
    <n v="39822.129999999997"/>
    <n v="3.96"/>
    <n v="38245.17"/>
    <n v="11051.24"/>
    <x v="0"/>
  </r>
  <r>
    <s v="ORD101354"/>
    <x v="494"/>
    <x v="7"/>
    <x v="3"/>
    <x v="1"/>
    <x v="0"/>
    <s v="Coffee"/>
    <x v="0"/>
    <n v="6"/>
    <n v="934.92"/>
    <n v="4.8099999999999996"/>
    <n v="5339.7"/>
    <n v="1131.46"/>
    <x v="1"/>
  </r>
  <r>
    <s v="ORD101355"/>
    <x v="494"/>
    <x v="1"/>
    <x v="4"/>
    <x v="3"/>
    <x v="1"/>
    <s v="Shoes"/>
    <x v="2"/>
    <n v="8"/>
    <n v="2563.21"/>
    <n v="7.62"/>
    <n v="18943.150000000001"/>
    <n v="3883.19"/>
    <x v="0"/>
  </r>
  <r>
    <s v="ORD101356"/>
    <x v="494"/>
    <x v="5"/>
    <x v="5"/>
    <x v="2"/>
    <x v="2"/>
    <s v="Sofa"/>
    <x v="0"/>
    <n v="2"/>
    <n v="24201.72"/>
    <n v="9.74"/>
    <n v="43688.94"/>
    <n v="2461.56"/>
    <x v="4"/>
  </r>
  <r>
    <s v="ORD101357"/>
    <x v="495"/>
    <x v="2"/>
    <x v="6"/>
    <x v="0"/>
    <x v="1"/>
    <s v="Jeans"/>
    <x v="1"/>
    <n v="1"/>
    <n v="4743.5"/>
    <n v="26.19"/>
    <n v="3501.18"/>
    <n v="930.98"/>
    <x v="2"/>
  </r>
  <r>
    <s v="ORD101358"/>
    <x v="495"/>
    <x v="13"/>
    <x v="7"/>
    <x v="1"/>
    <x v="2"/>
    <s v="Table"/>
    <x v="2"/>
    <n v="6"/>
    <n v="8726.06"/>
    <n v="0.77"/>
    <n v="51953.22"/>
    <n v="2861.06"/>
    <x v="3"/>
  </r>
  <r>
    <s v="ORD101359"/>
    <x v="495"/>
    <x v="13"/>
    <x v="8"/>
    <x v="0"/>
    <x v="1"/>
    <s v="Jeans"/>
    <x v="1"/>
    <n v="1"/>
    <n v="7608.61"/>
    <n v="24.77"/>
    <n v="5723.96"/>
    <n v="789.4"/>
    <x v="0"/>
  </r>
  <r>
    <s v="ORD101360"/>
    <x v="496"/>
    <x v="9"/>
    <x v="9"/>
    <x v="0"/>
    <x v="3"/>
    <s v="Yoga Mat"/>
    <x v="0"/>
    <n v="9"/>
    <n v="2034.09"/>
    <n v="0.98"/>
    <n v="18127.400000000001"/>
    <n v="5192.7299999999996"/>
    <x v="4"/>
  </r>
  <r>
    <s v="ORD101361"/>
    <x v="496"/>
    <x v="12"/>
    <x v="10"/>
    <x v="0"/>
    <x v="2"/>
    <s v="Desk"/>
    <x v="2"/>
    <n v="4"/>
    <n v="26779.01"/>
    <n v="11.84"/>
    <n v="94433.5"/>
    <n v="22290.34"/>
    <x v="4"/>
  </r>
  <r>
    <s v="ORD101362"/>
    <x v="497"/>
    <x v="9"/>
    <x v="11"/>
    <x v="2"/>
    <x v="2"/>
    <s v="Sofa"/>
    <x v="2"/>
    <n v="10"/>
    <n v="6479.4"/>
    <n v="11.68"/>
    <n v="57226.06"/>
    <n v="8749.23"/>
    <x v="4"/>
  </r>
  <r>
    <s v="ORD101363"/>
    <x v="497"/>
    <x v="10"/>
    <x v="12"/>
    <x v="4"/>
    <x v="3"/>
    <s v="Badminton Racket"/>
    <x v="0"/>
    <n v="4"/>
    <n v="3306.24"/>
    <n v="21.13"/>
    <n v="10430.530000000001"/>
    <n v="1180.76"/>
    <x v="0"/>
  </r>
  <r>
    <s v="ORD101364"/>
    <x v="497"/>
    <x v="14"/>
    <x v="13"/>
    <x v="1"/>
    <x v="4"/>
    <s v="Textbook"/>
    <x v="2"/>
    <n v="8"/>
    <n v="2274.63"/>
    <n v="3.92"/>
    <n v="17483.72"/>
    <n v="3371.58"/>
    <x v="2"/>
  </r>
  <r>
    <s v="ORD101365"/>
    <x v="498"/>
    <x v="8"/>
    <x v="14"/>
    <x v="0"/>
    <x v="1"/>
    <s v="Jacket"/>
    <x v="1"/>
    <n v="8"/>
    <n v="6838.99"/>
    <n v="14.41"/>
    <n v="46827.93"/>
    <n v="12531.28"/>
    <x v="2"/>
  </r>
  <r>
    <s v="ORD101366"/>
    <x v="498"/>
    <x v="3"/>
    <x v="0"/>
    <x v="0"/>
    <x v="1"/>
    <s v="Jacket"/>
    <x v="1"/>
    <n v="3"/>
    <n v="7364.89"/>
    <n v="16.399999999999999"/>
    <n v="18471.14"/>
    <n v="3260"/>
    <x v="4"/>
  </r>
  <r>
    <s v="ORD101367"/>
    <x v="498"/>
    <x v="4"/>
    <x v="1"/>
    <x v="3"/>
    <x v="1"/>
    <s v="Jacket"/>
    <x v="0"/>
    <n v="3"/>
    <n v="7950.99"/>
    <n v="2.76"/>
    <n v="23194.63"/>
    <n v="2555.31"/>
    <x v="4"/>
  </r>
  <r>
    <s v="ORD101368"/>
    <x v="499"/>
    <x v="11"/>
    <x v="2"/>
    <x v="2"/>
    <x v="4"/>
    <s v="Comics"/>
    <x v="0"/>
    <n v="10"/>
    <n v="174.55"/>
    <n v="26.86"/>
    <n v="1276.6600000000001"/>
    <n v="79.959999999999994"/>
    <x v="0"/>
  </r>
  <r>
    <s v="ORD101369"/>
    <x v="499"/>
    <x v="4"/>
    <x v="3"/>
    <x v="0"/>
    <x v="1"/>
    <s v="Shoes"/>
    <x v="1"/>
    <n v="5"/>
    <n v="4661.79"/>
    <n v="4.4800000000000004"/>
    <n v="22264.71"/>
    <n v="3724.7"/>
    <x v="3"/>
  </r>
  <r>
    <s v="ORD101370"/>
    <x v="499"/>
    <x v="4"/>
    <x v="4"/>
    <x v="2"/>
    <x v="1"/>
    <s v="Shoes"/>
    <x v="1"/>
    <n v="10"/>
    <n v="5908.03"/>
    <n v="23.96"/>
    <n v="44924.66"/>
    <n v="12861.82"/>
    <x v="1"/>
  </r>
  <r>
    <s v="ORD101371"/>
    <x v="500"/>
    <x v="7"/>
    <x v="5"/>
    <x v="4"/>
    <x v="2"/>
    <s v="Sofa"/>
    <x v="2"/>
    <n v="8"/>
    <n v="37753.71"/>
    <n v="13.83"/>
    <n v="260258.98"/>
    <n v="33258.949999999997"/>
    <x v="3"/>
  </r>
  <r>
    <s v="ORD101372"/>
    <x v="500"/>
    <x v="10"/>
    <x v="6"/>
    <x v="2"/>
    <x v="2"/>
    <s v="Table"/>
    <x v="0"/>
    <n v="1"/>
    <n v="34767.85"/>
    <n v="3.96"/>
    <n v="33391.040000000001"/>
    <n v="6640.47"/>
    <x v="2"/>
  </r>
  <r>
    <s v="ORD101373"/>
    <x v="501"/>
    <x v="7"/>
    <x v="7"/>
    <x v="3"/>
    <x v="2"/>
    <s v="Office Chair"/>
    <x v="2"/>
    <n v="7"/>
    <n v="4470.05"/>
    <n v="25.84"/>
    <n v="23204.92"/>
    <n v="5877.26"/>
    <x v="3"/>
  </r>
  <r>
    <s v="ORD101374"/>
    <x v="501"/>
    <x v="11"/>
    <x v="8"/>
    <x v="2"/>
    <x v="4"/>
    <s v="Dictionary"/>
    <x v="1"/>
    <n v="7"/>
    <n v="1322.29"/>
    <n v="15.97"/>
    <n v="7777.84"/>
    <n v="909.36"/>
    <x v="4"/>
  </r>
  <r>
    <s v="ORD101375"/>
    <x v="501"/>
    <x v="5"/>
    <x v="9"/>
    <x v="0"/>
    <x v="2"/>
    <s v="Desk"/>
    <x v="1"/>
    <n v="4"/>
    <n v="1517.47"/>
    <n v="16.43"/>
    <n v="5072.6000000000004"/>
    <n v="1196.24"/>
    <x v="0"/>
  </r>
  <r>
    <s v="ORD101376"/>
    <x v="502"/>
    <x v="8"/>
    <x v="10"/>
    <x v="0"/>
    <x v="1"/>
    <s v="Shoes"/>
    <x v="2"/>
    <n v="8"/>
    <n v="5058.8900000000003"/>
    <n v="21.55"/>
    <n v="31749.59"/>
    <n v="4699.17"/>
    <x v="1"/>
  </r>
  <r>
    <s v="ORD101377"/>
    <x v="502"/>
    <x v="6"/>
    <x v="11"/>
    <x v="0"/>
    <x v="0"/>
    <s v="Rice"/>
    <x v="2"/>
    <n v="7"/>
    <n v="2393.9299999999998"/>
    <n v="1.2"/>
    <n v="16556.419999999998"/>
    <n v="2203.29"/>
    <x v="2"/>
  </r>
  <r>
    <s v="ORD101378"/>
    <x v="502"/>
    <x v="14"/>
    <x v="12"/>
    <x v="0"/>
    <x v="3"/>
    <s v="Badminton Racket"/>
    <x v="1"/>
    <n v="4"/>
    <n v="2870.97"/>
    <n v="26.25"/>
    <n v="8469.36"/>
    <n v="2046.67"/>
    <x v="2"/>
  </r>
  <r>
    <s v="ORD101379"/>
    <x v="503"/>
    <x v="0"/>
    <x v="13"/>
    <x v="3"/>
    <x v="1"/>
    <s v="Jacket"/>
    <x v="0"/>
    <n v="3"/>
    <n v="485.66"/>
    <n v="26.93"/>
    <n v="1064.6199999999999"/>
    <n v="191.48"/>
    <x v="0"/>
  </r>
  <r>
    <s v="ORD101380"/>
    <x v="503"/>
    <x v="5"/>
    <x v="14"/>
    <x v="1"/>
    <x v="1"/>
    <s v="Shoes"/>
    <x v="0"/>
    <n v="9"/>
    <n v="1627.8"/>
    <n v="24.47"/>
    <n v="11065.3"/>
    <n v="1668.81"/>
    <x v="0"/>
  </r>
  <r>
    <s v="ORD101381"/>
    <x v="503"/>
    <x v="9"/>
    <x v="0"/>
    <x v="2"/>
    <x v="1"/>
    <s v="Shoes"/>
    <x v="2"/>
    <n v="3"/>
    <n v="439.82"/>
    <n v="21.67"/>
    <n v="1033.53"/>
    <n v="267.56"/>
    <x v="3"/>
  </r>
  <r>
    <s v="ORD101382"/>
    <x v="504"/>
    <x v="3"/>
    <x v="1"/>
    <x v="2"/>
    <x v="3"/>
    <s v="Football"/>
    <x v="0"/>
    <n v="8"/>
    <n v="7475.72"/>
    <n v="28.47"/>
    <n v="42779.06"/>
    <n v="12193.34"/>
    <x v="4"/>
  </r>
  <r>
    <s v="ORD101383"/>
    <x v="504"/>
    <x v="1"/>
    <x v="2"/>
    <x v="4"/>
    <x v="2"/>
    <s v="Desk"/>
    <x v="2"/>
    <n v="8"/>
    <n v="15217.14"/>
    <n v="23.58"/>
    <n v="93031.51"/>
    <n v="7478.59"/>
    <x v="2"/>
  </r>
  <r>
    <s v="ORD101384"/>
    <x v="505"/>
    <x v="7"/>
    <x v="3"/>
    <x v="2"/>
    <x v="5"/>
    <s v="Smartphone"/>
    <x v="1"/>
    <n v="9"/>
    <n v="28067.43"/>
    <n v="25.87"/>
    <n v="187257.47"/>
    <n v="49354.879999999997"/>
    <x v="0"/>
  </r>
  <r>
    <s v="ORD101385"/>
    <x v="505"/>
    <x v="9"/>
    <x v="4"/>
    <x v="2"/>
    <x v="2"/>
    <s v="Bookshelf"/>
    <x v="1"/>
    <n v="5"/>
    <n v="37778.9"/>
    <n v="5.39"/>
    <n v="178713.09"/>
    <n v="38544.949999999997"/>
    <x v="0"/>
  </r>
  <r>
    <s v="ORD101386"/>
    <x v="505"/>
    <x v="6"/>
    <x v="5"/>
    <x v="3"/>
    <x v="1"/>
    <s v="Jeans"/>
    <x v="1"/>
    <n v="8"/>
    <n v="2995.05"/>
    <n v="17.41"/>
    <n v="19788.89"/>
    <n v="2104.83"/>
    <x v="3"/>
  </r>
  <r>
    <s v="ORD101387"/>
    <x v="506"/>
    <x v="5"/>
    <x v="6"/>
    <x v="4"/>
    <x v="0"/>
    <s v="Cooking Oil"/>
    <x v="1"/>
    <n v="10"/>
    <n v="1799.68"/>
    <n v="11.17"/>
    <n v="15986.56"/>
    <n v="1918.6"/>
    <x v="1"/>
  </r>
  <r>
    <s v="ORD101388"/>
    <x v="506"/>
    <x v="6"/>
    <x v="7"/>
    <x v="3"/>
    <x v="5"/>
    <s v="Monitor"/>
    <x v="2"/>
    <n v="5"/>
    <n v="45740.83"/>
    <n v="11.48"/>
    <n v="202448.91"/>
    <n v="26613.43"/>
    <x v="3"/>
  </r>
  <r>
    <s v="ORD101389"/>
    <x v="506"/>
    <x v="11"/>
    <x v="8"/>
    <x v="1"/>
    <x v="2"/>
    <s v="Desk"/>
    <x v="1"/>
    <n v="4"/>
    <n v="25243.55"/>
    <n v="3.85"/>
    <n v="97086.69"/>
    <n v="11290.72"/>
    <x v="2"/>
  </r>
  <r>
    <s v="ORD101390"/>
    <x v="507"/>
    <x v="12"/>
    <x v="9"/>
    <x v="1"/>
    <x v="2"/>
    <s v="Desk"/>
    <x v="1"/>
    <n v="4"/>
    <n v="25217.64"/>
    <n v="24.58"/>
    <n v="76076.58"/>
    <n v="18284.79"/>
    <x v="1"/>
  </r>
  <r>
    <s v="ORD101391"/>
    <x v="507"/>
    <x v="7"/>
    <x v="10"/>
    <x v="1"/>
    <x v="5"/>
    <s v="Keyboard"/>
    <x v="1"/>
    <n v="6"/>
    <n v="11753.13"/>
    <n v="21.31"/>
    <n v="55491.23"/>
    <n v="11946.3"/>
    <x v="3"/>
  </r>
  <r>
    <s v="ORD101392"/>
    <x v="507"/>
    <x v="12"/>
    <x v="11"/>
    <x v="3"/>
    <x v="5"/>
    <s v="Keyboard"/>
    <x v="2"/>
    <n v="2"/>
    <n v="34638.79"/>
    <n v="13.24"/>
    <n v="60105.23"/>
    <n v="3991.41"/>
    <x v="0"/>
  </r>
  <r>
    <s v="ORD101393"/>
    <x v="508"/>
    <x v="13"/>
    <x v="12"/>
    <x v="0"/>
    <x v="3"/>
    <s v="Football"/>
    <x v="0"/>
    <n v="8"/>
    <n v="9439.17"/>
    <n v="8.01"/>
    <n v="69464.740000000005"/>
    <n v="11116.86"/>
    <x v="3"/>
  </r>
  <r>
    <s v="ORD101394"/>
    <x v="508"/>
    <x v="4"/>
    <x v="13"/>
    <x v="3"/>
    <x v="4"/>
    <s v="Notebook"/>
    <x v="1"/>
    <n v="3"/>
    <n v="174.63"/>
    <n v="13.84"/>
    <n v="451.38"/>
    <n v="74.790000000000006"/>
    <x v="1"/>
  </r>
  <r>
    <s v="ORD101395"/>
    <x v="509"/>
    <x v="5"/>
    <x v="14"/>
    <x v="0"/>
    <x v="3"/>
    <s v="Tennis Ball"/>
    <x v="0"/>
    <n v="9"/>
    <n v="1875.91"/>
    <n v="12.78"/>
    <n v="14725.52"/>
    <n v="1425.33"/>
    <x v="2"/>
  </r>
  <r>
    <s v="ORD101396"/>
    <x v="509"/>
    <x v="10"/>
    <x v="0"/>
    <x v="1"/>
    <x v="1"/>
    <s v="T-Shirt"/>
    <x v="0"/>
    <n v="9"/>
    <n v="7207.2"/>
    <n v="27.05"/>
    <n v="47318.87"/>
    <n v="6252.11"/>
    <x v="3"/>
  </r>
  <r>
    <s v="ORD101397"/>
    <x v="509"/>
    <x v="1"/>
    <x v="1"/>
    <x v="0"/>
    <x v="1"/>
    <s v="T-Shirt"/>
    <x v="1"/>
    <n v="8"/>
    <n v="2414.6999999999998"/>
    <n v="8.19"/>
    <n v="17735.490000000002"/>
    <n v="2228.56"/>
    <x v="0"/>
  </r>
  <r>
    <s v="ORD101398"/>
    <x v="510"/>
    <x v="13"/>
    <x v="2"/>
    <x v="2"/>
    <x v="0"/>
    <s v="Tea"/>
    <x v="1"/>
    <n v="5"/>
    <n v="2801.41"/>
    <n v="7.93"/>
    <n v="12896.29"/>
    <n v="1128.08"/>
    <x v="1"/>
  </r>
  <r>
    <s v="ORD101399"/>
    <x v="510"/>
    <x v="12"/>
    <x v="3"/>
    <x v="3"/>
    <x v="4"/>
    <s v="Dictionary"/>
    <x v="1"/>
    <n v="7"/>
    <n v="206.11"/>
    <n v="7.34"/>
    <n v="1336.87"/>
    <n v="322.7"/>
    <x v="0"/>
  </r>
  <r>
    <s v="ORD101400"/>
    <x v="510"/>
    <x v="12"/>
    <x v="4"/>
    <x v="2"/>
    <x v="3"/>
    <s v="Tennis Ball"/>
    <x v="2"/>
    <n v="8"/>
    <n v="2378.4499999999998"/>
    <n v="1.6"/>
    <n v="18723.16"/>
    <n v="3815.44"/>
    <x v="1"/>
  </r>
  <r>
    <s v="ORD101401"/>
    <x v="511"/>
    <x v="5"/>
    <x v="5"/>
    <x v="4"/>
    <x v="3"/>
    <s v="Tennis Ball"/>
    <x v="0"/>
    <n v="5"/>
    <n v="4855.91"/>
    <n v="6.72"/>
    <n v="22647.96"/>
    <n v="5962.9"/>
    <x v="3"/>
  </r>
  <r>
    <s v="ORD101402"/>
    <x v="511"/>
    <x v="12"/>
    <x v="6"/>
    <x v="0"/>
    <x v="5"/>
    <s v="Laptop"/>
    <x v="2"/>
    <n v="2"/>
    <n v="34911.660000000003"/>
    <n v="5.93"/>
    <n v="65682.8"/>
    <n v="12290.62"/>
    <x v="0"/>
  </r>
  <r>
    <s v="ORD101403"/>
    <x v="511"/>
    <x v="8"/>
    <x v="7"/>
    <x v="1"/>
    <x v="5"/>
    <s v="Smartphone"/>
    <x v="2"/>
    <n v="1"/>
    <n v="11811.75"/>
    <n v="21.25"/>
    <n v="9301.75"/>
    <n v="623.04999999999995"/>
    <x v="1"/>
  </r>
  <r>
    <s v="ORD101404"/>
    <x v="512"/>
    <x v="9"/>
    <x v="8"/>
    <x v="3"/>
    <x v="5"/>
    <s v="Smartphone"/>
    <x v="0"/>
    <n v="3"/>
    <n v="48367.1"/>
    <n v="13.65"/>
    <n v="125294.97"/>
    <n v="17421.59"/>
    <x v="4"/>
  </r>
  <r>
    <s v="ORD101405"/>
    <x v="512"/>
    <x v="6"/>
    <x v="9"/>
    <x v="4"/>
    <x v="4"/>
    <s v="Dictionary"/>
    <x v="2"/>
    <n v="9"/>
    <n v="2368.4499999999998"/>
    <n v="9.41"/>
    <n v="19310.21"/>
    <n v="3102.13"/>
    <x v="1"/>
  </r>
  <r>
    <s v="ORD101406"/>
    <x v="513"/>
    <x v="8"/>
    <x v="10"/>
    <x v="3"/>
    <x v="5"/>
    <s v="Keyboard"/>
    <x v="1"/>
    <n v="4"/>
    <n v="58516.92"/>
    <n v="4.9400000000000004"/>
    <n v="222504.74"/>
    <n v="42599.53"/>
    <x v="4"/>
  </r>
  <r>
    <s v="ORD101407"/>
    <x v="513"/>
    <x v="0"/>
    <x v="11"/>
    <x v="2"/>
    <x v="1"/>
    <s v="Jacket"/>
    <x v="1"/>
    <n v="10"/>
    <n v="6851.18"/>
    <n v="15.3"/>
    <n v="58029.49"/>
    <n v="13332.52"/>
    <x v="3"/>
  </r>
  <r>
    <s v="ORD101408"/>
    <x v="513"/>
    <x v="9"/>
    <x v="12"/>
    <x v="2"/>
    <x v="1"/>
    <s v="Jacket"/>
    <x v="1"/>
    <n v="9"/>
    <n v="1665.3"/>
    <n v="25.88"/>
    <n v="11108.88"/>
    <n v="1646.23"/>
    <x v="1"/>
  </r>
  <r>
    <s v="ORD101409"/>
    <x v="514"/>
    <x v="10"/>
    <x v="13"/>
    <x v="3"/>
    <x v="1"/>
    <s v="Dress"/>
    <x v="1"/>
    <n v="7"/>
    <n v="1151.17"/>
    <n v="27.66"/>
    <n v="5829.29"/>
    <n v="1386.13"/>
    <x v="4"/>
  </r>
  <r>
    <s v="ORD101410"/>
    <x v="514"/>
    <x v="10"/>
    <x v="14"/>
    <x v="4"/>
    <x v="2"/>
    <s v="Sofa"/>
    <x v="0"/>
    <n v="6"/>
    <n v="30346.41"/>
    <n v="28.11"/>
    <n v="130896.2"/>
    <n v="9406.5"/>
    <x v="3"/>
  </r>
  <r>
    <s v="ORD101411"/>
    <x v="514"/>
    <x v="11"/>
    <x v="0"/>
    <x v="4"/>
    <x v="2"/>
    <s v="Desk"/>
    <x v="2"/>
    <n v="6"/>
    <n v="3540.25"/>
    <n v="13.03"/>
    <n v="18473.73"/>
    <n v="1548.23"/>
    <x v="1"/>
  </r>
  <r>
    <s v="ORD101412"/>
    <x v="515"/>
    <x v="13"/>
    <x v="1"/>
    <x v="3"/>
    <x v="4"/>
    <s v="Comics"/>
    <x v="2"/>
    <n v="4"/>
    <n v="2184.31"/>
    <n v="11.5"/>
    <n v="7732.46"/>
    <n v="992.49"/>
    <x v="1"/>
  </r>
  <r>
    <s v="ORD101413"/>
    <x v="515"/>
    <x v="3"/>
    <x v="2"/>
    <x v="3"/>
    <x v="2"/>
    <s v="Table"/>
    <x v="1"/>
    <n v="1"/>
    <n v="19775.98"/>
    <n v="1.33"/>
    <n v="19512.96"/>
    <n v="4963.7700000000004"/>
    <x v="2"/>
  </r>
  <r>
    <s v="ORD101414"/>
    <x v="516"/>
    <x v="2"/>
    <x v="3"/>
    <x v="2"/>
    <x v="0"/>
    <s v="Cooking Oil"/>
    <x v="0"/>
    <n v="6"/>
    <n v="1920.68"/>
    <n v="3.8"/>
    <n v="11086.16"/>
    <n v="2585.91"/>
    <x v="2"/>
  </r>
  <r>
    <s v="ORD101415"/>
    <x v="516"/>
    <x v="7"/>
    <x v="4"/>
    <x v="4"/>
    <x v="5"/>
    <s v="Smartphone"/>
    <x v="1"/>
    <n v="9"/>
    <n v="33984.71"/>
    <n v="25.19"/>
    <n v="228815.65"/>
    <n v="45205.58"/>
    <x v="3"/>
  </r>
  <r>
    <s v="ORD101416"/>
    <x v="516"/>
    <x v="9"/>
    <x v="5"/>
    <x v="1"/>
    <x v="0"/>
    <s v="Cooking Oil"/>
    <x v="1"/>
    <n v="10"/>
    <n v="1279.29"/>
    <n v="2.1800000000000002"/>
    <n v="12514.01"/>
    <n v="934.7"/>
    <x v="3"/>
  </r>
  <r>
    <s v="ORD101417"/>
    <x v="517"/>
    <x v="9"/>
    <x v="6"/>
    <x v="0"/>
    <x v="1"/>
    <s v="Jacket"/>
    <x v="2"/>
    <n v="10"/>
    <n v="2539.65"/>
    <n v="7.99"/>
    <n v="23367.32"/>
    <n v="5622.97"/>
    <x v="4"/>
  </r>
  <r>
    <s v="ORD101418"/>
    <x v="517"/>
    <x v="1"/>
    <x v="7"/>
    <x v="2"/>
    <x v="4"/>
    <s v="Novel"/>
    <x v="0"/>
    <n v="4"/>
    <n v="1742.15"/>
    <n v="11.1"/>
    <n v="6195.09"/>
    <n v="1005.12"/>
    <x v="2"/>
  </r>
  <r>
    <s v="ORD101419"/>
    <x v="517"/>
    <x v="11"/>
    <x v="8"/>
    <x v="1"/>
    <x v="2"/>
    <s v="Office Chair"/>
    <x v="1"/>
    <n v="9"/>
    <n v="25758.61"/>
    <n v="26.61"/>
    <n v="170138.19"/>
    <n v="26636.47"/>
    <x v="1"/>
  </r>
  <r>
    <s v="ORD101420"/>
    <x v="518"/>
    <x v="5"/>
    <x v="9"/>
    <x v="4"/>
    <x v="4"/>
    <s v="Textbook"/>
    <x v="1"/>
    <n v="7"/>
    <n v="1165.4000000000001"/>
    <n v="14.53"/>
    <n v="6972.47"/>
    <n v="1798.27"/>
    <x v="2"/>
  </r>
  <r>
    <s v="ORD101421"/>
    <x v="518"/>
    <x v="8"/>
    <x v="10"/>
    <x v="2"/>
    <x v="2"/>
    <s v="Table"/>
    <x v="2"/>
    <n v="10"/>
    <n v="25253.4"/>
    <n v="0.75"/>
    <n v="250639.99"/>
    <n v="37565.07"/>
    <x v="0"/>
  </r>
  <r>
    <s v="ORD101422"/>
    <x v="518"/>
    <x v="14"/>
    <x v="11"/>
    <x v="2"/>
    <x v="2"/>
    <s v="Table"/>
    <x v="2"/>
    <n v="1"/>
    <n v="10270.25"/>
    <n v="2.44"/>
    <n v="10019.66"/>
    <n v="2071.91"/>
    <x v="3"/>
  </r>
  <r>
    <s v="ORD101423"/>
    <x v="519"/>
    <x v="11"/>
    <x v="12"/>
    <x v="0"/>
    <x v="4"/>
    <s v="Dictionary"/>
    <x v="0"/>
    <n v="7"/>
    <n v="1648.08"/>
    <n v="25.46"/>
    <n v="8599.35"/>
    <n v="1293.4100000000001"/>
    <x v="3"/>
  </r>
  <r>
    <s v="ORD101424"/>
    <x v="519"/>
    <x v="4"/>
    <x v="13"/>
    <x v="1"/>
    <x v="0"/>
    <s v="Snacks"/>
    <x v="0"/>
    <n v="10"/>
    <n v="588.86"/>
    <n v="18.3"/>
    <n v="4810.99"/>
    <n v="1113.8699999999999"/>
    <x v="0"/>
  </r>
  <r>
    <s v="ORD101425"/>
    <x v="520"/>
    <x v="13"/>
    <x v="14"/>
    <x v="1"/>
    <x v="0"/>
    <s v="Snacks"/>
    <x v="0"/>
    <n v="8"/>
    <n v="538.33000000000004"/>
    <n v="12.08"/>
    <n v="3786.4"/>
    <n v="514.41"/>
    <x v="4"/>
  </r>
  <r>
    <s v="ORD101426"/>
    <x v="520"/>
    <x v="14"/>
    <x v="0"/>
    <x v="2"/>
    <x v="4"/>
    <s v="Dictionary"/>
    <x v="2"/>
    <n v="7"/>
    <n v="2423.58"/>
    <n v="23.97"/>
    <n v="12898.54"/>
    <n v="1085.49"/>
    <x v="2"/>
  </r>
  <r>
    <s v="ORD101427"/>
    <x v="520"/>
    <x v="0"/>
    <x v="1"/>
    <x v="2"/>
    <x v="1"/>
    <s v="T-Shirt"/>
    <x v="1"/>
    <n v="2"/>
    <n v="2384.65"/>
    <n v="29.98"/>
    <n v="3339.46"/>
    <n v="424.41"/>
    <x v="0"/>
  </r>
  <r>
    <s v="ORD101428"/>
    <x v="521"/>
    <x v="0"/>
    <x v="2"/>
    <x v="3"/>
    <x v="3"/>
    <s v="Football"/>
    <x v="2"/>
    <n v="6"/>
    <n v="1771.86"/>
    <n v="10.19"/>
    <n v="9547.84"/>
    <n v="1277.56"/>
    <x v="1"/>
  </r>
  <r>
    <s v="ORD101429"/>
    <x v="521"/>
    <x v="9"/>
    <x v="3"/>
    <x v="3"/>
    <x v="4"/>
    <s v="Comics"/>
    <x v="1"/>
    <n v="3"/>
    <n v="1001.56"/>
    <n v="4.2300000000000004"/>
    <n v="2877.58"/>
    <n v="654.16"/>
    <x v="2"/>
  </r>
  <r>
    <s v="ORD101430"/>
    <x v="521"/>
    <x v="8"/>
    <x v="4"/>
    <x v="4"/>
    <x v="2"/>
    <s v="Desk"/>
    <x v="0"/>
    <n v="1"/>
    <n v="15348.21"/>
    <n v="10.1"/>
    <n v="13798.04"/>
    <n v="1560.7"/>
    <x v="0"/>
  </r>
  <r>
    <s v="ORD101431"/>
    <x v="522"/>
    <x v="4"/>
    <x v="5"/>
    <x v="3"/>
    <x v="2"/>
    <s v="Sofa"/>
    <x v="2"/>
    <n v="6"/>
    <n v="36147.74"/>
    <n v="3.78"/>
    <n v="208688.13"/>
    <n v="30935.87"/>
    <x v="0"/>
  </r>
  <r>
    <s v="ORD101432"/>
    <x v="522"/>
    <x v="11"/>
    <x v="6"/>
    <x v="3"/>
    <x v="2"/>
    <s v="Office Chair"/>
    <x v="0"/>
    <n v="4"/>
    <n v="4976.7700000000004"/>
    <n v="2.19"/>
    <n v="19471.11"/>
    <n v="3223.71"/>
    <x v="2"/>
  </r>
  <r>
    <s v="ORD101433"/>
    <x v="522"/>
    <x v="14"/>
    <x v="7"/>
    <x v="1"/>
    <x v="1"/>
    <s v="Dress"/>
    <x v="2"/>
    <n v="6"/>
    <n v="6961.97"/>
    <n v="16.989999999999998"/>
    <n v="34674.79"/>
    <n v="7906.32"/>
    <x v="3"/>
  </r>
  <r>
    <s v="ORD101434"/>
    <x v="523"/>
    <x v="14"/>
    <x v="8"/>
    <x v="0"/>
    <x v="4"/>
    <s v="Textbook"/>
    <x v="0"/>
    <n v="5"/>
    <n v="1276.8399999999999"/>
    <n v="9.51"/>
    <n v="5777.06"/>
    <n v="773.44"/>
    <x v="4"/>
  </r>
  <r>
    <s v="ORD101435"/>
    <x v="523"/>
    <x v="7"/>
    <x v="9"/>
    <x v="3"/>
    <x v="3"/>
    <s v="Yoga Mat"/>
    <x v="1"/>
    <n v="10"/>
    <n v="238.51"/>
    <n v="14.86"/>
    <n v="2030.67"/>
    <n v="152.41999999999999"/>
    <x v="3"/>
  </r>
  <r>
    <s v="ORD101436"/>
    <x v="524"/>
    <x v="10"/>
    <x v="10"/>
    <x v="2"/>
    <x v="1"/>
    <s v="Dress"/>
    <x v="2"/>
    <n v="3"/>
    <n v="7263.36"/>
    <n v="3.83"/>
    <n v="20955.52"/>
    <n v="6013.91"/>
    <x v="1"/>
  </r>
  <r>
    <s v="ORD101437"/>
    <x v="524"/>
    <x v="3"/>
    <x v="11"/>
    <x v="2"/>
    <x v="0"/>
    <s v="Cooking Oil"/>
    <x v="2"/>
    <n v="10"/>
    <n v="2688.89"/>
    <n v="21.45"/>
    <n v="21121.23"/>
    <n v="4433.1000000000004"/>
    <x v="2"/>
  </r>
  <r>
    <s v="ORD101438"/>
    <x v="524"/>
    <x v="3"/>
    <x v="12"/>
    <x v="4"/>
    <x v="0"/>
    <s v="Tea"/>
    <x v="0"/>
    <n v="8"/>
    <n v="1608.64"/>
    <n v="28.84"/>
    <n v="9157.67"/>
    <n v="1192.51"/>
    <x v="0"/>
  </r>
  <r>
    <s v="ORD101439"/>
    <x v="525"/>
    <x v="7"/>
    <x v="13"/>
    <x v="4"/>
    <x v="0"/>
    <s v="Tea"/>
    <x v="1"/>
    <n v="2"/>
    <n v="495.72"/>
    <n v="21.02"/>
    <n v="783.04"/>
    <n v="89.59"/>
    <x v="1"/>
  </r>
  <r>
    <s v="ORD101440"/>
    <x v="525"/>
    <x v="6"/>
    <x v="14"/>
    <x v="1"/>
    <x v="2"/>
    <s v="Bookshelf"/>
    <x v="1"/>
    <n v="4"/>
    <n v="31758.77"/>
    <n v="10.54"/>
    <n v="113645.58"/>
    <n v="10429.83"/>
    <x v="0"/>
  </r>
  <r>
    <s v="ORD101441"/>
    <x v="525"/>
    <x v="4"/>
    <x v="0"/>
    <x v="3"/>
    <x v="2"/>
    <s v="Table"/>
    <x v="1"/>
    <n v="9"/>
    <n v="15126.91"/>
    <n v="6.52"/>
    <n v="127265.72"/>
    <n v="35914.51"/>
    <x v="3"/>
  </r>
  <r>
    <s v="ORD101442"/>
    <x v="526"/>
    <x v="2"/>
    <x v="1"/>
    <x v="3"/>
    <x v="5"/>
    <s v="Monitor"/>
    <x v="0"/>
    <n v="8"/>
    <n v="4468.84"/>
    <n v="3.47"/>
    <n v="34510.17"/>
    <n v="2341.23"/>
    <x v="0"/>
  </r>
  <r>
    <s v="ORD101443"/>
    <x v="526"/>
    <x v="9"/>
    <x v="2"/>
    <x v="1"/>
    <x v="0"/>
    <s v="Cooking Oil"/>
    <x v="0"/>
    <n v="8"/>
    <n v="2736.72"/>
    <n v="21.47"/>
    <n v="17193.169999999998"/>
    <n v="4662.28"/>
    <x v="0"/>
  </r>
  <r>
    <s v="ORD101444"/>
    <x v="526"/>
    <x v="8"/>
    <x v="3"/>
    <x v="0"/>
    <x v="5"/>
    <s v="Monitor"/>
    <x v="2"/>
    <n v="10"/>
    <n v="32352.3"/>
    <n v="29.59"/>
    <n v="227792.54"/>
    <n v="58151.09"/>
    <x v="4"/>
  </r>
  <r>
    <s v="ORD101445"/>
    <x v="527"/>
    <x v="10"/>
    <x v="4"/>
    <x v="1"/>
    <x v="2"/>
    <s v="Sofa"/>
    <x v="1"/>
    <n v="9"/>
    <n v="1644.95"/>
    <n v="24.44"/>
    <n v="11186.32"/>
    <n v="1563.83"/>
    <x v="4"/>
  </r>
  <r>
    <s v="ORD101446"/>
    <x v="527"/>
    <x v="7"/>
    <x v="5"/>
    <x v="4"/>
    <x v="4"/>
    <s v="Comics"/>
    <x v="1"/>
    <n v="5"/>
    <n v="1560.85"/>
    <n v="28.51"/>
    <n v="5579.26"/>
    <n v="1672.03"/>
    <x v="0"/>
  </r>
  <r>
    <s v="ORD101447"/>
    <x v="528"/>
    <x v="6"/>
    <x v="6"/>
    <x v="2"/>
    <x v="0"/>
    <s v="Snacks"/>
    <x v="0"/>
    <n v="10"/>
    <n v="2395.67"/>
    <n v="23.45"/>
    <n v="18338.849999999999"/>
    <n v="2546.0700000000002"/>
    <x v="1"/>
  </r>
  <r>
    <s v="ORD101448"/>
    <x v="528"/>
    <x v="12"/>
    <x v="7"/>
    <x v="3"/>
    <x v="1"/>
    <s v="Shoes"/>
    <x v="2"/>
    <n v="1"/>
    <n v="7107.93"/>
    <n v="22.44"/>
    <n v="5512.91"/>
    <n v="1643.19"/>
    <x v="1"/>
  </r>
  <r>
    <s v="ORD101449"/>
    <x v="528"/>
    <x v="3"/>
    <x v="8"/>
    <x v="4"/>
    <x v="5"/>
    <s v="Headphones"/>
    <x v="2"/>
    <n v="2"/>
    <n v="29460.66"/>
    <n v="2.41"/>
    <n v="57501.32"/>
    <n v="15625.8"/>
    <x v="0"/>
  </r>
  <r>
    <s v="ORD101450"/>
    <x v="529"/>
    <x v="10"/>
    <x v="9"/>
    <x v="2"/>
    <x v="4"/>
    <s v="Dictionary"/>
    <x v="2"/>
    <n v="9"/>
    <n v="384.15"/>
    <n v="22.68"/>
    <n v="2673.22"/>
    <n v="199.23"/>
    <x v="3"/>
  </r>
  <r>
    <s v="ORD101451"/>
    <x v="529"/>
    <x v="3"/>
    <x v="10"/>
    <x v="0"/>
    <x v="4"/>
    <s v="Dictionary"/>
    <x v="1"/>
    <n v="8"/>
    <n v="2327.2199999999998"/>
    <n v="7.83"/>
    <n v="17159.990000000002"/>
    <n v="2294.5300000000002"/>
    <x v="1"/>
  </r>
  <r>
    <s v="ORD101452"/>
    <x v="529"/>
    <x v="3"/>
    <x v="11"/>
    <x v="3"/>
    <x v="1"/>
    <s v="Shoes"/>
    <x v="0"/>
    <n v="3"/>
    <n v="4115.42"/>
    <n v="3.2"/>
    <n v="11951.18"/>
    <n v="1630.08"/>
    <x v="0"/>
  </r>
  <r>
    <s v="ORD101453"/>
    <x v="530"/>
    <x v="9"/>
    <x v="12"/>
    <x v="2"/>
    <x v="0"/>
    <s v="Cooking Oil"/>
    <x v="2"/>
    <n v="8"/>
    <n v="1156.96"/>
    <n v="17.97"/>
    <n v="7592.43"/>
    <n v="2004.91"/>
    <x v="4"/>
  </r>
  <r>
    <s v="ORD101454"/>
    <x v="530"/>
    <x v="7"/>
    <x v="13"/>
    <x v="2"/>
    <x v="1"/>
    <s v="T-Shirt"/>
    <x v="2"/>
    <n v="1"/>
    <n v="5320.86"/>
    <n v="4.04"/>
    <n v="5105.8999999999996"/>
    <n v="917.29"/>
    <x v="4"/>
  </r>
  <r>
    <s v="ORD101455"/>
    <x v="530"/>
    <x v="7"/>
    <x v="14"/>
    <x v="1"/>
    <x v="4"/>
    <s v="Comics"/>
    <x v="1"/>
    <n v="3"/>
    <n v="243.82"/>
    <n v="0.56000000000000005"/>
    <n v="727.36"/>
    <n v="213.47"/>
    <x v="1"/>
  </r>
  <r>
    <s v="ORD101456"/>
    <x v="531"/>
    <x v="7"/>
    <x v="0"/>
    <x v="1"/>
    <x v="2"/>
    <s v="Office Chair"/>
    <x v="2"/>
    <n v="6"/>
    <n v="6068.85"/>
    <n v="14.9"/>
    <n v="30987.55"/>
    <n v="4705.1099999999997"/>
    <x v="2"/>
  </r>
  <r>
    <s v="ORD101457"/>
    <x v="531"/>
    <x v="3"/>
    <x v="1"/>
    <x v="0"/>
    <x v="1"/>
    <s v="Dress"/>
    <x v="1"/>
    <n v="2"/>
    <n v="7067.79"/>
    <n v="25"/>
    <n v="10601.68"/>
    <n v="2992.69"/>
    <x v="3"/>
  </r>
  <r>
    <s v="ORD101458"/>
    <x v="532"/>
    <x v="12"/>
    <x v="2"/>
    <x v="4"/>
    <x v="5"/>
    <s v="Headphones"/>
    <x v="0"/>
    <n v="4"/>
    <n v="65217.13"/>
    <n v="4.9400000000000004"/>
    <n v="247981.62"/>
    <n v="12745.89"/>
    <x v="0"/>
  </r>
  <r>
    <s v="ORD101459"/>
    <x v="532"/>
    <x v="3"/>
    <x v="3"/>
    <x v="3"/>
    <x v="4"/>
    <s v="Novel"/>
    <x v="0"/>
    <n v="1"/>
    <n v="1058.32"/>
    <n v="15.24"/>
    <n v="897.03"/>
    <n v="226.55"/>
    <x v="0"/>
  </r>
  <r>
    <s v="ORD101460"/>
    <x v="532"/>
    <x v="12"/>
    <x v="4"/>
    <x v="2"/>
    <x v="4"/>
    <s v="Notebook"/>
    <x v="1"/>
    <n v="3"/>
    <n v="1634.62"/>
    <n v="13.43"/>
    <n v="4245.2700000000004"/>
    <n v="915.04"/>
    <x v="0"/>
  </r>
  <r>
    <s v="ORD101461"/>
    <x v="533"/>
    <x v="6"/>
    <x v="5"/>
    <x v="3"/>
    <x v="5"/>
    <s v="Headphones"/>
    <x v="2"/>
    <n v="5"/>
    <n v="63980.32"/>
    <n v="28.94"/>
    <n v="227322.08"/>
    <n v="19961.34"/>
    <x v="2"/>
  </r>
  <r>
    <s v="ORD101462"/>
    <x v="533"/>
    <x v="9"/>
    <x v="6"/>
    <x v="2"/>
    <x v="0"/>
    <s v="Snacks"/>
    <x v="0"/>
    <n v="10"/>
    <n v="1183.1400000000001"/>
    <n v="6.58"/>
    <n v="11052.89"/>
    <n v="1396.13"/>
    <x v="2"/>
  </r>
  <r>
    <s v="ORD101463"/>
    <x v="533"/>
    <x v="5"/>
    <x v="7"/>
    <x v="4"/>
    <x v="0"/>
    <s v="Rice"/>
    <x v="0"/>
    <n v="4"/>
    <n v="1757.86"/>
    <n v="12.9"/>
    <n v="6124.38"/>
    <n v="1288.52"/>
    <x v="0"/>
  </r>
  <r>
    <s v="ORD101464"/>
    <x v="534"/>
    <x v="0"/>
    <x v="8"/>
    <x v="3"/>
    <x v="3"/>
    <s v="Badminton Racket"/>
    <x v="2"/>
    <n v="7"/>
    <n v="5956.27"/>
    <n v="13.49"/>
    <n v="36069.379999999997"/>
    <n v="8648.1"/>
    <x v="4"/>
  </r>
  <r>
    <s v="ORD101465"/>
    <x v="534"/>
    <x v="8"/>
    <x v="9"/>
    <x v="1"/>
    <x v="4"/>
    <s v="Comics"/>
    <x v="2"/>
    <n v="1"/>
    <n v="525.13"/>
    <n v="10.91"/>
    <n v="467.84"/>
    <n v="67.069999999999993"/>
    <x v="2"/>
  </r>
  <r>
    <s v="ORD101466"/>
    <x v="534"/>
    <x v="2"/>
    <x v="10"/>
    <x v="2"/>
    <x v="1"/>
    <s v="Jacket"/>
    <x v="1"/>
    <n v="8"/>
    <n v="532.48"/>
    <n v="3.16"/>
    <n v="4125.2299999999996"/>
    <n v="1201.97"/>
    <x v="4"/>
  </r>
  <r>
    <s v="ORD101467"/>
    <x v="535"/>
    <x v="11"/>
    <x v="11"/>
    <x v="0"/>
    <x v="4"/>
    <s v="Novel"/>
    <x v="1"/>
    <n v="5"/>
    <n v="1955.94"/>
    <n v="17.11"/>
    <n v="8106.39"/>
    <n v="592.62"/>
    <x v="2"/>
  </r>
  <r>
    <s v="ORD101468"/>
    <x v="535"/>
    <x v="2"/>
    <x v="12"/>
    <x v="3"/>
    <x v="4"/>
    <s v="Dictionary"/>
    <x v="2"/>
    <n v="10"/>
    <n v="681.37"/>
    <n v="7.3"/>
    <n v="6316.3"/>
    <n v="1701.42"/>
    <x v="4"/>
  </r>
  <r>
    <s v="ORD101469"/>
    <x v="536"/>
    <x v="2"/>
    <x v="13"/>
    <x v="1"/>
    <x v="3"/>
    <s v="Football"/>
    <x v="0"/>
    <n v="2"/>
    <n v="9211.4"/>
    <n v="16"/>
    <n v="15475.15"/>
    <n v="1160.8900000000001"/>
    <x v="4"/>
  </r>
  <r>
    <s v="ORD101470"/>
    <x v="536"/>
    <x v="3"/>
    <x v="14"/>
    <x v="4"/>
    <x v="4"/>
    <s v="Novel"/>
    <x v="1"/>
    <n v="8"/>
    <n v="129.5"/>
    <n v="17.809999999999999"/>
    <n v="851.49"/>
    <n v="231.34"/>
    <x v="1"/>
  </r>
  <r>
    <s v="ORD101471"/>
    <x v="536"/>
    <x v="3"/>
    <x v="0"/>
    <x v="1"/>
    <x v="0"/>
    <s v="Tea"/>
    <x v="2"/>
    <n v="6"/>
    <n v="977.01"/>
    <n v="29.21"/>
    <n v="4149.75"/>
    <n v="506.2"/>
    <x v="0"/>
  </r>
  <r>
    <s v="ORD101472"/>
    <x v="537"/>
    <x v="8"/>
    <x v="1"/>
    <x v="4"/>
    <x v="2"/>
    <s v="Table"/>
    <x v="0"/>
    <n v="8"/>
    <n v="21746.9"/>
    <n v="10.7"/>
    <n v="155359.85"/>
    <n v="38537.67"/>
    <x v="3"/>
  </r>
  <r>
    <s v="ORD101473"/>
    <x v="537"/>
    <x v="2"/>
    <x v="2"/>
    <x v="1"/>
    <x v="5"/>
    <s v="Smartphone"/>
    <x v="2"/>
    <n v="1"/>
    <n v="63249.39"/>
    <n v="3.91"/>
    <n v="60776.34"/>
    <n v="4273.78"/>
    <x v="2"/>
  </r>
  <r>
    <s v="ORD101474"/>
    <x v="537"/>
    <x v="1"/>
    <x v="3"/>
    <x v="4"/>
    <x v="3"/>
    <s v="Football"/>
    <x v="1"/>
    <n v="4"/>
    <n v="4653.22"/>
    <n v="14.22"/>
    <n v="15966.13"/>
    <n v="2665.8"/>
    <x v="0"/>
  </r>
  <r>
    <s v="ORD101475"/>
    <x v="538"/>
    <x v="13"/>
    <x v="4"/>
    <x v="4"/>
    <x v="1"/>
    <s v="T-Shirt"/>
    <x v="0"/>
    <n v="1"/>
    <n v="3585.39"/>
    <n v="19.05"/>
    <n v="2902.37"/>
    <n v="766.44"/>
    <x v="0"/>
  </r>
  <r>
    <s v="ORD101476"/>
    <x v="538"/>
    <x v="4"/>
    <x v="5"/>
    <x v="3"/>
    <x v="3"/>
    <s v="Badminton Racket"/>
    <x v="2"/>
    <n v="9"/>
    <n v="1288.75"/>
    <n v="7.32"/>
    <n v="10749.72"/>
    <n v="1338.01"/>
    <x v="1"/>
  </r>
  <r>
    <s v="ORD101477"/>
    <x v="539"/>
    <x v="6"/>
    <x v="6"/>
    <x v="2"/>
    <x v="4"/>
    <s v="Notebook"/>
    <x v="1"/>
    <n v="9"/>
    <n v="1298.1099999999999"/>
    <n v="10.11"/>
    <n v="10501.84"/>
    <n v="1301.74"/>
    <x v="0"/>
  </r>
  <r>
    <s v="ORD101478"/>
    <x v="539"/>
    <x v="13"/>
    <x v="7"/>
    <x v="0"/>
    <x v="2"/>
    <s v="Bookshelf"/>
    <x v="1"/>
    <n v="8"/>
    <n v="26859.46"/>
    <n v="15.8"/>
    <n v="180925.32"/>
    <n v="13386.47"/>
    <x v="1"/>
  </r>
  <r>
    <s v="ORD101479"/>
    <x v="539"/>
    <x v="5"/>
    <x v="8"/>
    <x v="1"/>
    <x v="0"/>
    <s v="Coffee"/>
    <x v="1"/>
    <n v="6"/>
    <n v="721.17"/>
    <n v="3.06"/>
    <n v="4194.6099999999997"/>
    <n v="644.66999999999996"/>
    <x v="0"/>
  </r>
  <r>
    <s v="ORD101480"/>
    <x v="540"/>
    <x v="1"/>
    <x v="9"/>
    <x v="3"/>
    <x v="4"/>
    <s v="Textbook"/>
    <x v="2"/>
    <n v="2"/>
    <n v="2474.04"/>
    <n v="26.22"/>
    <n v="3650.69"/>
    <n v="1093.18"/>
    <x v="2"/>
  </r>
  <r>
    <s v="ORD101481"/>
    <x v="540"/>
    <x v="3"/>
    <x v="10"/>
    <x v="4"/>
    <x v="3"/>
    <s v="Tennis Ball"/>
    <x v="2"/>
    <n v="9"/>
    <n v="1932.66"/>
    <n v="3.07"/>
    <n v="16859.95"/>
    <n v="3950.77"/>
    <x v="4"/>
  </r>
  <r>
    <s v="ORD101482"/>
    <x v="540"/>
    <x v="0"/>
    <x v="11"/>
    <x v="1"/>
    <x v="1"/>
    <s v="T-Shirt"/>
    <x v="2"/>
    <n v="1"/>
    <n v="6579.99"/>
    <n v="20.58"/>
    <n v="5225.83"/>
    <n v="836.14"/>
    <x v="4"/>
  </r>
  <r>
    <s v="ORD101483"/>
    <x v="541"/>
    <x v="7"/>
    <x v="12"/>
    <x v="2"/>
    <x v="4"/>
    <s v="Textbook"/>
    <x v="1"/>
    <n v="10"/>
    <n v="318.01"/>
    <n v="3.87"/>
    <n v="3057.03"/>
    <n v="335.98"/>
    <x v="3"/>
  </r>
  <r>
    <s v="ORD101484"/>
    <x v="541"/>
    <x v="10"/>
    <x v="13"/>
    <x v="0"/>
    <x v="1"/>
    <s v="Shoes"/>
    <x v="0"/>
    <n v="8"/>
    <n v="5858.27"/>
    <n v="29.8"/>
    <n v="32900.04"/>
    <n v="2727.17"/>
    <x v="4"/>
  </r>
  <r>
    <s v="ORD101485"/>
    <x v="541"/>
    <x v="12"/>
    <x v="14"/>
    <x v="2"/>
    <x v="1"/>
    <s v="Dress"/>
    <x v="1"/>
    <n v="6"/>
    <n v="5524.17"/>
    <n v="28.62"/>
    <n v="23658.92"/>
    <n v="4205.3999999999996"/>
    <x v="2"/>
  </r>
  <r>
    <s v="ORD101486"/>
    <x v="542"/>
    <x v="1"/>
    <x v="0"/>
    <x v="2"/>
    <x v="4"/>
    <s v="Notebook"/>
    <x v="0"/>
    <n v="7"/>
    <n v="1513.88"/>
    <n v="26.94"/>
    <n v="7742.29"/>
    <n v="1922.16"/>
    <x v="2"/>
  </r>
  <r>
    <s v="ORD101487"/>
    <x v="542"/>
    <x v="6"/>
    <x v="1"/>
    <x v="0"/>
    <x v="2"/>
    <s v="Office Chair"/>
    <x v="0"/>
    <n v="1"/>
    <n v="27488.7"/>
    <n v="26.2"/>
    <n v="20286.66"/>
    <n v="2905.41"/>
    <x v="0"/>
  </r>
  <r>
    <s v="ORD101488"/>
    <x v="543"/>
    <x v="2"/>
    <x v="2"/>
    <x v="2"/>
    <x v="2"/>
    <s v="Office Chair"/>
    <x v="1"/>
    <n v="5"/>
    <n v="28115.88"/>
    <n v="24.23"/>
    <n v="106517.01"/>
    <n v="22995.88"/>
    <x v="2"/>
  </r>
  <r>
    <s v="ORD101489"/>
    <x v="543"/>
    <x v="11"/>
    <x v="3"/>
    <x v="1"/>
    <x v="4"/>
    <s v="Comics"/>
    <x v="1"/>
    <n v="7"/>
    <n v="761.65"/>
    <n v="5.26"/>
    <n v="5051.1099999999997"/>
    <n v="1230.8599999999999"/>
    <x v="2"/>
  </r>
  <r>
    <s v="ORD101490"/>
    <x v="543"/>
    <x v="2"/>
    <x v="4"/>
    <x v="3"/>
    <x v="2"/>
    <s v="Table"/>
    <x v="2"/>
    <n v="6"/>
    <n v="39127.660000000003"/>
    <n v="0.14000000000000001"/>
    <n v="234437.29"/>
    <n v="62926.99"/>
    <x v="3"/>
  </r>
  <r>
    <s v="ORD101491"/>
    <x v="544"/>
    <x v="8"/>
    <x v="5"/>
    <x v="4"/>
    <x v="0"/>
    <s v="Coffee"/>
    <x v="0"/>
    <n v="7"/>
    <n v="2055.96"/>
    <n v="21.6"/>
    <n v="11283.11"/>
    <n v="803.84"/>
    <x v="4"/>
  </r>
  <r>
    <s v="ORD101492"/>
    <x v="544"/>
    <x v="10"/>
    <x v="6"/>
    <x v="3"/>
    <x v="2"/>
    <s v="Sofa"/>
    <x v="2"/>
    <n v="5"/>
    <n v="31871.43"/>
    <n v="3.46"/>
    <n v="153843.39000000001"/>
    <n v="43370.09"/>
    <x v="3"/>
  </r>
  <r>
    <s v="ORD101493"/>
    <x v="544"/>
    <x v="10"/>
    <x v="7"/>
    <x v="3"/>
    <x v="5"/>
    <s v="Headphones"/>
    <x v="1"/>
    <n v="9"/>
    <n v="6278.24"/>
    <n v="25.1"/>
    <n v="42321.62"/>
    <n v="3962.85"/>
    <x v="2"/>
  </r>
  <r>
    <s v="ORD101494"/>
    <x v="545"/>
    <x v="0"/>
    <x v="8"/>
    <x v="0"/>
    <x v="4"/>
    <s v="Comics"/>
    <x v="2"/>
    <n v="6"/>
    <n v="245.07"/>
    <n v="22.47"/>
    <n v="1140.02"/>
    <n v="218.08"/>
    <x v="3"/>
  </r>
  <r>
    <s v="ORD101495"/>
    <x v="545"/>
    <x v="6"/>
    <x v="9"/>
    <x v="3"/>
    <x v="3"/>
    <s v="Cricket Bat"/>
    <x v="1"/>
    <n v="5"/>
    <n v="8793.11"/>
    <n v="16.309999999999999"/>
    <n v="36794.769999999997"/>
    <n v="4031.44"/>
    <x v="4"/>
  </r>
  <r>
    <s v="ORD101496"/>
    <x v="545"/>
    <x v="6"/>
    <x v="10"/>
    <x v="4"/>
    <x v="4"/>
    <s v="Notebook"/>
    <x v="2"/>
    <n v="3"/>
    <n v="1564.99"/>
    <n v="21.92"/>
    <n v="3665.83"/>
    <n v="1093.69"/>
    <x v="2"/>
  </r>
  <r>
    <s v="ORD101497"/>
    <x v="546"/>
    <x v="10"/>
    <x v="11"/>
    <x v="0"/>
    <x v="2"/>
    <s v="Bookshelf"/>
    <x v="0"/>
    <n v="7"/>
    <n v="36066.67"/>
    <n v="21.8"/>
    <n v="197428.95"/>
    <n v="35030.93"/>
    <x v="0"/>
  </r>
  <r>
    <s v="ORD101498"/>
    <x v="546"/>
    <x v="6"/>
    <x v="12"/>
    <x v="4"/>
    <x v="2"/>
    <s v="Bookshelf"/>
    <x v="1"/>
    <n v="6"/>
    <n v="23421.51"/>
    <n v="6.37"/>
    <n v="131577.35999999999"/>
    <n v="13431.64"/>
    <x v="1"/>
  </r>
  <r>
    <s v="ORD101499"/>
    <x v="547"/>
    <x v="12"/>
    <x v="13"/>
    <x v="1"/>
    <x v="5"/>
    <s v="Smartphone"/>
    <x v="1"/>
    <n v="3"/>
    <n v="78190.7"/>
    <n v="25.9"/>
    <n v="173817.93"/>
    <n v="22728.59"/>
    <x v="1"/>
  </r>
  <r>
    <s v="ORD101500"/>
    <x v="547"/>
    <x v="8"/>
    <x v="14"/>
    <x v="4"/>
    <x v="1"/>
    <s v="T-Shirt"/>
    <x v="0"/>
    <n v="3"/>
    <n v="7387.64"/>
    <n v="21.72"/>
    <n v="17349.13"/>
    <n v="3738.52"/>
    <x v="4"/>
  </r>
  <r>
    <s v="ORD101501"/>
    <x v="547"/>
    <x v="1"/>
    <x v="0"/>
    <x v="0"/>
    <x v="5"/>
    <s v="Laptop"/>
    <x v="0"/>
    <n v="7"/>
    <n v="28057.91"/>
    <n v="6.05"/>
    <n v="184522.85"/>
    <n v="46479.26"/>
    <x v="2"/>
  </r>
  <r>
    <s v="ORD101502"/>
    <x v="548"/>
    <x v="7"/>
    <x v="1"/>
    <x v="3"/>
    <x v="4"/>
    <s v="Textbook"/>
    <x v="1"/>
    <n v="5"/>
    <n v="1418.2"/>
    <n v="8.19"/>
    <n v="6510.25"/>
    <n v="723.46"/>
    <x v="1"/>
  </r>
  <r>
    <s v="ORD101503"/>
    <x v="548"/>
    <x v="13"/>
    <x v="2"/>
    <x v="1"/>
    <x v="2"/>
    <s v="Table"/>
    <x v="2"/>
    <n v="3"/>
    <n v="14465.71"/>
    <n v="10.199999999999999"/>
    <n v="38970.620000000003"/>
    <n v="10716.45"/>
    <x v="0"/>
  </r>
  <r>
    <s v="ORD101504"/>
    <x v="548"/>
    <x v="10"/>
    <x v="3"/>
    <x v="4"/>
    <x v="2"/>
    <s v="Office Chair"/>
    <x v="1"/>
    <n v="8"/>
    <n v="17818.59"/>
    <n v="20.61"/>
    <n v="113169.43"/>
    <n v="13842.95"/>
    <x v="2"/>
  </r>
  <r>
    <s v="ORD101505"/>
    <x v="549"/>
    <x v="4"/>
    <x v="4"/>
    <x v="4"/>
    <x v="2"/>
    <s v="Office Chair"/>
    <x v="2"/>
    <n v="4"/>
    <n v="31157.77"/>
    <n v="27.97"/>
    <n v="89771.77"/>
    <n v="20357.91"/>
    <x v="2"/>
  </r>
  <r>
    <s v="ORD101506"/>
    <x v="549"/>
    <x v="4"/>
    <x v="5"/>
    <x v="1"/>
    <x v="2"/>
    <s v="Bookshelf"/>
    <x v="2"/>
    <n v="10"/>
    <n v="31769.08"/>
    <n v="22.8"/>
    <n v="245257.3"/>
    <n v="33661.25"/>
    <x v="3"/>
  </r>
  <r>
    <s v="ORD101507"/>
    <x v="549"/>
    <x v="8"/>
    <x v="6"/>
    <x v="3"/>
    <x v="1"/>
    <s v="Jeans"/>
    <x v="2"/>
    <n v="3"/>
    <n v="2043.62"/>
    <n v="17.38"/>
    <n v="5065.32"/>
    <n v="986.08"/>
    <x v="0"/>
  </r>
  <r>
    <s v="ORD101508"/>
    <x v="550"/>
    <x v="10"/>
    <x v="7"/>
    <x v="2"/>
    <x v="5"/>
    <s v="Smartphone"/>
    <x v="2"/>
    <n v="2"/>
    <n v="9527.59"/>
    <n v="3.42"/>
    <n v="18403.490000000002"/>
    <n v="2519.77"/>
    <x v="2"/>
  </r>
  <r>
    <s v="ORD101509"/>
    <x v="550"/>
    <x v="13"/>
    <x v="8"/>
    <x v="1"/>
    <x v="5"/>
    <s v="Smartphone"/>
    <x v="0"/>
    <n v="3"/>
    <n v="8520.1200000000008"/>
    <n v="17.62"/>
    <n v="21056.62"/>
    <n v="3433.19"/>
    <x v="3"/>
  </r>
  <r>
    <s v="ORD101510"/>
    <x v="551"/>
    <x v="4"/>
    <x v="9"/>
    <x v="4"/>
    <x v="1"/>
    <s v="Shoes"/>
    <x v="0"/>
    <n v="9"/>
    <n v="517.64"/>
    <n v="0.45"/>
    <n v="4637.8"/>
    <n v="381.93"/>
    <x v="1"/>
  </r>
  <r>
    <s v="ORD101511"/>
    <x v="551"/>
    <x v="4"/>
    <x v="10"/>
    <x v="3"/>
    <x v="5"/>
    <s v="Monitor"/>
    <x v="0"/>
    <n v="2"/>
    <n v="6673.01"/>
    <n v="11.75"/>
    <n v="11777.86"/>
    <n v="1042.27"/>
    <x v="1"/>
  </r>
  <r>
    <s v="ORD101512"/>
    <x v="551"/>
    <x v="14"/>
    <x v="11"/>
    <x v="3"/>
    <x v="3"/>
    <s v="Yoga Mat"/>
    <x v="2"/>
    <n v="4"/>
    <n v="6217.51"/>
    <n v="25.83"/>
    <n v="18446.11"/>
    <n v="4395.7700000000004"/>
    <x v="3"/>
  </r>
  <r>
    <s v="ORD101513"/>
    <x v="552"/>
    <x v="3"/>
    <x v="12"/>
    <x v="2"/>
    <x v="2"/>
    <s v="Bookshelf"/>
    <x v="0"/>
    <n v="3"/>
    <n v="16286.29"/>
    <n v="15.4"/>
    <n v="41334.6"/>
    <n v="10432.719999999999"/>
    <x v="1"/>
  </r>
  <r>
    <s v="ORD101514"/>
    <x v="552"/>
    <x v="9"/>
    <x v="13"/>
    <x v="2"/>
    <x v="4"/>
    <s v="Textbook"/>
    <x v="0"/>
    <n v="5"/>
    <n v="274.44"/>
    <n v="21.42"/>
    <n v="1078.27"/>
    <n v="243.38"/>
    <x v="2"/>
  </r>
  <r>
    <s v="ORD101515"/>
    <x v="552"/>
    <x v="10"/>
    <x v="14"/>
    <x v="1"/>
    <x v="5"/>
    <s v="Smartphone"/>
    <x v="1"/>
    <n v="6"/>
    <n v="75330.100000000006"/>
    <n v="17.66"/>
    <n v="372160.83"/>
    <n v="47561.45"/>
    <x v="2"/>
  </r>
  <r>
    <s v="ORD101516"/>
    <x v="553"/>
    <x v="7"/>
    <x v="0"/>
    <x v="4"/>
    <x v="4"/>
    <s v="Textbook"/>
    <x v="1"/>
    <n v="8"/>
    <n v="1306.1600000000001"/>
    <n v="5.27"/>
    <n v="9898.6"/>
    <n v="2124.79"/>
    <x v="2"/>
  </r>
  <r>
    <s v="ORD101517"/>
    <x v="553"/>
    <x v="6"/>
    <x v="1"/>
    <x v="0"/>
    <x v="5"/>
    <s v="Smartphone"/>
    <x v="1"/>
    <n v="3"/>
    <n v="18991.27"/>
    <n v="18.510000000000002"/>
    <n v="46427.96"/>
    <n v="8229.3799999999992"/>
    <x v="3"/>
  </r>
  <r>
    <s v="ORD101518"/>
    <x v="553"/>
    <x v="4"/>
    <x v="2"/>
    <x v="4"/>
    <x v="2"/>
    <s v="Table"/>
    <x v="2"/>
    <n v="2"/>
    <n v="1193.93"/>
    <n v="20.34"/>
    <n v="1902.17"/>
    <n v="356.61"/>
    <x v="4"/>
  </r>
  <r>
    <s v="ORD101519"/>
    <x v="554"/>
    <x v="9"/>
    <x v="3"/>
    <x v="4"/>
    <x v="5"/>
    <s v="Headphones"/>
    <x v="2"/>
    <n v="1"/>
    <n v="39096.92"/>
    <n v="10.06"/>
    <n v="35163.769999999997"/>
    <n v="2482.15"/>
    <x v="3"/>
  </r>
  <r>
    <s v="ORD101520"/>
    <x v="554"/>
    <x v="0"/>
    <x v="4"/>
    <x v="2"/>
    <x v="0"/>
    <s v="Snacks"/>
    <x v="2"/>
    <n v="9"/>
    <n v="568.64"/>
    <n v="9.68"/>
    <n v="4622.3599999999997"/>
    <n v="309.18"/>
    <x v="2"/>
  </r>
  <r>
    <s v="ORD101521"/>
    <x v="555"/>
    <x v="14"/>
    <x v="5"/>
    <x v="4"/>
    <x v="5"/>
    <s v="Smartphone"/>
    <x v="0"/>
    <n v="8"/>
    <n v="3612.47"/>
    <n v="28.08"/>
    <n v="20784.71"/>
    <n v="1533.21"/>
    <x v="3"/>
  </r>
  <r>
    <s v="ORD101522"/>
    <x v="555"/>
    <x v="7"/>
    <x v="6"/>
    <x v="1"/>
    <x v="5"/>
    <s v="Headphones"/>
    <x v="2"/>
    <n v="8"/>
    <n v="62193.760000000002"/>
    <n v="19.52"/>
    <n v="400428.3"/>
    <n v="41306.660000000003"/>
    <x v="3"/>
  </r>
  <r>
    <s v="ORD101523"/>
    <x v="555"/>
    <x v="3"/>
    <x v="7"/>
    <x v="3"/>
    <x v="3"/>
    <s v="Yoga Mat"/>
    <x v="1"/>
    <n v="7"/>
    <n v="3134.77"/>
    <n v="29.71"/>
    <n v="15424.01"/>
    <n v="3211"/>
    <x v="0"/>
  </r>
  <r>
    <s v="ORD101524"/>
    <x v="556"/>
    <x v="8"/>
    <x v="8"/>
    <x v="3"/>
    <x v="0"/>
    <s v="Snacks"/>
    <x v="2"/>
    <n v="1"/>
    <n v="166.2"/>
    <n v="10.9"/>
    <n v="148.08000000000001"/>
    <n v="30.01"/>
    <x v="3"/>
  </r>
  <r>
    <s v="ORD101525"/>
    <x v="556"/>
    <x v="0"/>
    <x v="9"/>
    <x v="0"/>
    <x v="4"/>
    <s v="Comics"/>
    <x v="2"/>
    <n v="6"/>
    <n v="1037.8"/>
    <n v="22.22"/>
    <n v="4843.21"/>
    <n v="970.42"/>
    <x v="1"/>
  </r>
  <r>
    <s v="ORD101526"/>
    <x v="556"/>
    <x v="4"/>
    <x v="10"/>
    <x v="4"/>
    <x v="0"/>
    <s v="Coffee"/>
    <x v="2"/>
    <n v="6"/>
    <n v="2957.95"/>
    <n v="6.42"/>
    <n v="16608.3"/>
    <n v="3312.88"/>
    <x v="1"/>
  </r>
  <r>
    <s v="ORD101527"/>
    <x v="557"/>
    <x v="6"/>
    <x v="11"/>
    <x v="3"/>
    <x v="5"/>
    <s v="Headphones"/>
    <x v="1"/>
    <n v="10"/>
    <n v="33121.839999999997"/>
    <n v="29.65"/>
    <n v="233012.14"/>
    <n v="39018"/>
    <x v="3"/>
  </r>
  <r>
    <s v="ORD101528"/>
    <x v="557"/>
    <x v="10"/>
    <x v="12"/>
    <x v="0"/>
    <x v="1"/>
    <s v="Jeans"/>
    <x v="2"/>
    <n v="3"/>
    <n v="1036.6500000000001"/>
    <n v="11.49"/>
    <n v="2752.62"/>
    <n v="787.4"/>
    <x v="0"/>
  </r>
  <r>
    <s v="ORD101529"/>
    <x v="557"/>
    <x v="13"/>
    <x v="13"/>
    <x v="3"/>
    <x v="2"/>
    <s v="Bookshelf"/>
    <x v="1"/>
    <n v="4"/>
    <n v="13790.03"/>
    <n v="12.69"/>
    <n v="48160.3"/>
    <n v="10468.61"/>
    <x v="2"/>
  </r>
  <r>
    <s v="ORD101530"/>
    <x v="558"/>
    <x v="14"/>
    <x v="14"/>
    <x v="1"/>
    <x v="4"/>
    <s v="Notebook"/>
    <x v="2"/>
    <n v="7"/>
    <n v="551.62"/>
    <n v="0.25"/>
    <n v="3851.69"/>
    <n v="1126.67"/>
    <x v="0"/>
  </r>
  <r>
    <s v="ORD101531"/>
    <x v="558"/>
    <x v="11"/>
    <x v="0"/>
    <x v="3"/>
    <x v="3"/>
    <s v="Badminton Racket"/>
    <x v="2"/>
    <n v="7"/>
    <n v="9138.23"/>
    <n v="5.84"/>
    <n v="60231.9"/>
    <n v="12241.79"/>
    <x v="0"/>
  </r>
  <r>
    <s v="ORD101532"/>
    <x v="559"/>
    <x v="3"/>
    <x v="1"/>
    <x v="1"/>
    <x v="5"/>
    <s v="Headphones"/>
    <x v="0"/>
    <n v="1"/>
    <n v="15473.58"/>
    <n v="15.01"/>
    <n v="13151"/>
    <n v="3265.49"/>
    <x v="2"/>
  </r>
  <r>
    <s v="ORD101533"/>
    <x v="559"/>
    <x v="0"/>
    <x v="2"/>
    <x v="2"/>
    <x v="1"/>
    <s v="T-Shirt"/>
    <x v="0"/>
    <n v="1"/>
    <n v="6958.3"/>
    <n v="2.0099999999999998"/>
    <n v="6818.44"/>
    <n v="1449.44"/>
    <x v="3"/>
  </r>
  <r>
    <s v="ORD101534"/>
    <x v="559"/>
    <x v="13"/>
    <x v="3"/>
    <x v="3"/>
    <x v="0"/>
    <s v="Rice"/>
    <x v="1"/>
    <n v="2"/>
    <n v="1985.64"/>
    <n v="25.65"/>
    <n v="2952.65"/>
    <n v="334.15"/>
    <x v="0"/>
  </r>
  <r>
    <s v="ORD101535"/>
    <x v="560"/>
    <x v="10"/>
    <x v="4"/>
    <x v="0"/>
    <x v="2"/>
    <s v="Bookshelf"/>
    <x v="0"/>
    <n v="6"/>
    <n v="31171.83"/>
    <n v="4.3600000000000003"/>
    <n v="178876.43"/>
    <n v="29685.87"/>
    <x v="0"/>
  </r>
  <r>
    <s v="ORD101536"/>
    <x v="560"/>
    <x v="14"/>
    <x v="5"/>
    <x v="4"/>
    <x v="0"/>
    <s v="Coffee"/>
    <x v="0"/>
    <n v="9"/>
    <n v="1845.63"/>
    <n v="4.58"/>
    <n v="15849.9"/>
    <n v="4083.66"/>
    <x v="1"/>
  </r>
  <r>
    <s v="ORD101537"/>
    <x v="560"/>
    <x v="3"/>
    <x v="6"/>
    <x v="3"/>
    <x v="4"/>
    <s v="Dictionary"/>
    <x v="2"/>
    <n v="3"/>
    <n v="988.01"/>
    <n v="8.5399999999999991"/>
    <n v="2710.9"/>
    <n v="753.46"/>
    <x v="0"/>
  </r>
  <r>
    <s v="ORD101538"/>
    <x v="561"/>
    <x v="1"/>
    <x v="7"/>
    <x v="3"/>
    <x v="1"/>
    <s v="T-Shirt"/>
    <x v="0"/>
    <n v="5"/>
    <n v="7236.68"/>
    <n v="9.39"/>
    <n v="32785.78"/>
    <n v="6345.38"/>
    <x v="0"/>
  </r>
  <r>
    <s v="ORD101539"/>
    <x v="561"/>
    <x v="0"/>
    <x v="8"/>
    <x v="4"/>
    <x v="5"/>
    <s v="Laptop"/>
    <x v="0"/>
    <n v="4"/>
    <n v="76702.039999999994"/>
    <n v="7.82"/>
    <n v="282815.76"/>
    <n v="62413.47"/>
    <x v="4"/>
  </r>
  <r>
    <s v="ORD101540"/>
    <x v="562"/>
    <x v="7"/>
    <x v="9"/>
    <x v="3"/>
    <x v="0"/>
    <s v="Rice"/>
    <x v="0"/>
    <n v="7"/>
    <n v="1176.44"/>
    <n v="17.559999999999999"/>
    <n v="6789"/>
    <n v="1590.47"/>
    <x v="3"/>
  </r>
  <r>
    <s v="ORD101541"/>
    <x v="562"/>
    <x v="13"/>
    <x v="10"/>
    <x v="1"/>
    <x v="1"/>
    <s v="T-Shirt"/>
    <x v="1"/>
    <n v="2"/>
    <n v="4462.08"/>
    <n v="5.69"/>
    <n v="8416.3799999999992"/>
    <n v="814.02"/>
    <x v="1"/>
  </r>
  <r>
    <s v="ORD101542"/>
    <x v="562"/>
    <x v="12"/>
    <x v="11"/>
    <x v="4"/>
    <x v="4"/>
    <s v="Comics"/>
    <x v="1"/>
    <n v="3"/>
    <n v="2212.2600000000002"/>
    <n v="6.42"/>
    <n v="6210.7"/>
    <n v="1819.8"/>
    <x v="1"/>
  </r>
  <r>
    <s v="ORD101543"/>
    <x v="563"/>
    <x v="7"/>
    <x v="12"/>
    <x v="4"/>
    <x v="2"/>
    <s v="Office Chair"/>
    <x v="0"/>
    <n v="1"/>
    <n v="27931"/>
    <n v="16.399999999999999"/>
    <n v="23350.32"/>
    <n v="5259.48"/>
    <x v="1"/>
  </r>
  <r>
    <s v="ORD101544"/>
    <x v="563"/>
    <x v="0"/>
    <x v="13"/>
    <x v="3"/>
    <x v="3"/>
    <s v="Cricket Bat"/>
    <x v="0"/>
    <n v="10"/>
    <n v="4695.93"/>
    <n v="17.809999999999999"/>
    <n v="38595.85"/>
    <n v="4509.3900000000003"/>
    <x v="0"/>
  </r>
  <r>
    <s v="ORD101545"/>
    <x v="563"/>
    <x v="8"/>
    <x v="14"/>
    <x v="3"/>
    <x v="4"/>
    <s v="Textbook"/>
    <x v="2"/>
    <n v="9"/>
    <n v="705.04"/>
    <n v="28.65"/>
    <n v="4527.41"/>
    <n v="773.46"/>
    <x v="2"/>
  </r>
  <r>
    <s v="ORD101546"/>
    <x v="564"/>
    <x v="14"/>
    <x v="0"/>
    <x v="3"/>
    <x v="2"/>
    <s v="Sofa"/>
    <x v="0"/>
    <n v="10"/>
    <n v="20929.34"/>
    <n v="4.6100000000000003"/>
    <n v="199644.97"/>
    <n v="40742.28"/>
    <x v="0"/>
  </r>
  <r>
    <s v="ORD101547"/>
    <x v="564"/>
    <x v="5"/>
    <x v="1"/>
    <x v="3"/>
    <x v="4"/>
    <s v="Textbook"/>
    <x v="1"/>
    <n v="4"/>
    <n v="2204.46"/>
    <n v="23.45"/>
    <n v="6750.06"/>
    <n v="363.52"/>
    <x v="0"/>
  </r>
  <r>
    <s v="ORD101548"/>
    <x v="564"/>
    <x v="0"/>
    <x v="2"/>
    <x v="0"/>
    <x v="0"/>
    <s v="Rice"/>
    <x v="2"/>
    <n v="2"/>
    <n v="2619.86"/>
    <n v="29.1"/>
    <n v="3714.96"/>
    <n v="1046.32"/>
    <x v="4"/>
  </r>
  <r>
    <s v="ORD101549"/>
    <x v="565"/>
    <x v="10"/>
    <x v="3"/>
    <x v="0"/>
    <x v="3"/>
    <s v="Cricket Bat"/>
    <x v="0"/>
    <n v="3"/>
    <n v="3401.75"/>
    <n v="22.7"/>
    <n v="7888.66"/>
    <n v="1289.6600000000001"/>
    <x v="2"/>
  </r>
  <r>
    <s v="ORD101550"/>
    <x v="565"/>
    <x v="4"/>
    <x v="4"/>
    <x v="3"/>
    <x v="2"/>
    <s v="Office Chair"/>
    <x v="1"/>
    <n v="3"/>
    <n v="22295.8"/>
    <n v="12.03"/>
    <n v="58840.85"/>
    <n v="9279.4599999999991"/>
    <x v="4"/>
  </r>
  <r>
    <s v="ORD101551"/>
    <x v="566"/>
    <x v="6"/>
    <x v="5"/>
    <x v="3"/>
    <x v="2"/>
    <s v="Sofa"/>
    <x v="0"/>
    <n v="4"/>
    <n v="29814.27"/>
    <n v="6.35"/>
    <n v="111684.26"/>
    <n v="16569.349999999999"/>
    <x v="2"/>
  </r>
  <r>
    <s v="ORD101552"/>
    <x v="566"/>
    <x v="8"/>
    <x v="6"/>
    <x v="2"/>
    <x v="4"/>
    <s v="Textbook"/>
    <x v="2"/>
    <n v="3"/>
    <n v="1338.95"/>
    <n v="20.99"/>
    <n v="3173.71"/>
    <n v="233.24"/>
    <x v="3"/>
  </r>
  <r>
    <s v="ORD101553"/>
    <x v="566"/>
    <x v="10"/>
    <x v="7"/>
    <x v="2"/>
    <x v="0"/>
    <s v="Rice"/>
    <x v="0"/>
    <n v="5"/>
    <n v="2472.92"/>
    <n v="15.35"/>
    <n v="10466.629999999999"/>
    <n v="2402.04"/>
    <x v="4"/>
  </r>
  <r>
    <s v="ORD101554"/>
    <x v="567"/>
    <x v="10"/>
    <x v="8"/>
    <x v="1"/>
    <x v="3"/>
    <s v="Badminton Racket"/>
    <x v="0"/>
    <n v="6"/>
    <n v="2174.1799999999998"/>
    <n v="25.92"/>
    <n v="9663.7999999999993"/>
    <n v="1259.56"/>
    <x v="1"/>
  </r>
  <r>
    <s v="ORD101555"/>
    <x v="567"/>
    <x v="11"/>
    <x v="9"/>
    <x v="4"/>
    <x v="4"/>
    <s v="Notebook"/>
    <x v="2"/>
    <n v="7"/>
    <n v="1223.4000000000001"/>
    <n v="29.59"/>
    <n v="6029.77"/>
    <n v="942.62"/>
    <x v="2"/>
  </r>
  <r>
    <s v="ORD101556"/>
    <x v="567"/>
    <x v="2"/>
    <x v="10"/>
    <x v="1"/>
    <x v="3"/>
    <s v="Badminton Racket"/>
    <x v="1"/>
    <n v="5"/>
    <n v="2871.22"/>
    <n v="27.47"/>
    <n v="10412.48"/>
    <n v="2677.31"/>
    <x v="3"/>
  </r>
  <r>
    <s v="ORD101557"/>
    <x v="568"/>
    <x v="11"/>
    <x v="11"/>
    <x v="1"/>
    <x v="0"/>
    <s v="Snacks"/>
    <x v="0"/>
    <n v="9"/>
    <n v="1032.57"/>
    <n v="16.96"/>
    <n v="7717.02"/>
    <n v="1164.6500000000001"/>
    <x v="2"/>
  </r>
  <r>
    <s v="ORD101558"/>
    <x v="568"/>
    <x v="1"/>
    <x v="12"/>
    <x v="3"/>
    <x v="4"/>
    <s v="Comics"/>
    <x v="0"/>
    <n v="4"/>
    <n v="2234.14"/>
    <n v="19.96"/>
    <n v="7152.82"/>
    <n v="1460.5"/>
    <x v="2"/>
  </r>
  <r>
    <s v="ORD101559"/>
    <x v="568"/>
    <x v="1"/>
    <x v="13"/>
    <x v="4"/>
    <x v="4"/>
    <s v="Dictionary"/>
    <x v="0"/>
    <n v="9"/>
    <n v="1228.05"/>
    <n v="0.59"/>
    <n v="10987.24"/>
    <n v="2564.31"/>
    <x v="1"/>
  </r>
  <r>
    <s v="ORD101560"/>
    <x v="569"/>
    <x v="0"/>
    <x v="14"/>
    <x v="0"/>
    <x v="4"/>
    <s v="Comics"/>
    <x v="2"/>
    <n v="10"/>
    <n v="1374.41"/>
    <n v="20.49"/>
    <n v="10927.93"/>
    <n v="2287.7399999999998"/>
    <x v="1"/>
  </r>
  <r>
    <s v="ORD101561"/>
    <x v="569"/>
    <x v="11"/>
    <x v="0"/>
    <x v="3"/>
    <x v="2"/>
    <s v="Table"/>
    <x v="2"/>
    <n v="7"/>
    <n v="27449.119999999999"/>
    <n v="27.07"/>
    <n v="140130.5"/>
    <n v="20519.740000000002"/>
    <x v="2"/>
  </r>
  <r>
    <s v="ORD101562"/>
    <x v="570"/>
    <x v="5"/>
    <x v="1"/>
    <x v="4"/>
    <x v="5"/>
    <s v="Laptop"/>
    <x v="1"/>
    <n v="1"/>
    <n v="39823.56"/>
    <n v="9.33"/>
    <n v="36108.019999999997"/>
    <n v="6352.6"/>
    <x v="2"/>
  </r>
  <r>
    <s v="ORD101563"/>
    <x v="570"/>
    <x v="14"/>
    <x v="2"/>
    <x v="2"/>
    <x v="4"/>
    <s v="Notebook"/>
    <x v="2"/>
    <n v="8"/>
    <n v="1030.83"/>
    <n v="3.03"/>
    <n v="7996.77"/>
    <n v="2003.03"/>
    <x v="1"/>
  </r>
  <r>
    <s v="ORD101564"/>
    <x v="570"/>
    <x v="5"/>
    <x v="3"/>
    <x v="0"/>
    <x v="1"/>
    <s v="Shoes"/>
    <x v="2"/>
    <n v="8"/>
    <n v="5569.77"/>
    <n v="16.010000000000002"/>
    <n v="37424.400000000001"/>
    <n v="8111.6"/>
    <x v="2"/>
  </r>
  <r>
    <s v="ORD101565"/>
    <x v="571"/>
    <x v="2"/>
    <x v="4"/>
    <x v="2"/>
    <x v="2"/>
    <s v="Desk"/>
    <x v="0"/>
    <n v="10"/>
    <n v="20313.39"/>
    <n v="8.26"/>
    <n v="186355.04"/>
    <n v="31386.16"/>
    <x v="1"/>
  </r>
  <r>
    <s v="ORD101566"/>
    <x v="571"/>
    <x v="9"/>
    <x v="5"/>
    <x v="4"/>
    <x v="1"/>
    <s v="Dress"/>
    <x v="2"/>
    <n v="4"/>
    <n v="1274.48"/>
    <n v="11.57"/>
    <n v="4508.09"/>
    <n v="823.1"/>
    <x v="0"/>
  </r>
  <r>
    <s v="ORD101567"/>
    <x v="571"/>
    <x v="13"/>
    <x v="6"/>
    <x v="4"/>
    <x v="1"/>
    <s v="Jacket"/>
    <x v="0"/>
    <n v="3"/>
    <n v="569.37"/>
    <n v="7.83"/>
    <n v="1574.36"/>
    <n v="188.41"/>
    <x v="3"/>
  </r>
  <r>
    <s v="ORD101568"/>
    <x v="572"/>
    <x v="14"/>
    <x v="7"/>
    <x v="2"/>
    <x v="0"/>
    <s v="Snacks"/>
    <x v="1"/>
    <n v="7"/>
    <n v="2628.56"/>
    <n v="21.63"/>
    <n v="14420.02"/>
    <n v="3038.6"/>
    <x v="0"/>
  </r>
  <r>
    <s v="ORD101569"/>
    <x v="572"/>
    <x v="7"/>
    <x v="8"/>
    <x v="0"/>
    <x v="2"/>
    <s v="Sofa"/>
    <x v="2"/>
    <n v="6"/>
    <n v="2559.46"/>
    <n v="14.37"/>
    <n v="13149.99"/>
    <n v="2627.67"/>
    <x v="1"/>
  </r>
  <r>
    <s v="ORD101570"/>
    <x v="572"/>
    <x v="14"/>
    <x v="9"/>
    <x v="1"/>
    <x v="4"/>
    <s v="Comics"/>
    <x v="1"/>
    <n v="4"/>
    <n v="329.56"/>
    <n v="4.95"/>
    <n v="1252.99"/>
    <n v="117.14"/>
    <x v="2"/>
  </r>
  <r>
    <s v="ORD101571"/>
    <x v="573"/>
    <x v="10"/>
    <x v="10"/>
    <x v="4"/>
    <x v="5"/>
    <s v="Laptop"/>
    <x v="0"/>
    <n v="10"/>
    <n v="78174.58"/>
    <n v="8.18"/>
    <n v="717798.99"/>
    <n v="64309.95"/>
    <x v="2"/>
  </r>
  <r>
    <s v="ORD101572"/>
    <x v="573"/>
    <x v="7"/>
    <x v="11"/>
    <x v="4"/>
    <x v="2"/>
    <s v="Desk"/>
    <x v="1"/>
    <n v="8"/>
    <n v="23735.17"/>
    <n v="2.09"/>
    <n v="185912.84"/>
    <n v="11511.87"/>
    <x v="4"/>
  </r>
  <r>
    <s v="ORD101573"/>
    <x v="574"/>
    <x v="12"/>
    <x v="12"/>
    <x v="0"/>
    <x v="1"/>
    <s v="Dress"/>
    <x v="1"/>
    <n v="3"/>
    <n v="7416.47"/>
    <n v="15.16"/>
    <n v="18876.400000000001"/>
    <n v="2111.06"/>
    <x v="2"/>
  </r>
  <r>
    <s v="ORD101574"/>
    <x v="574"/>
    <x v="13"/>
    <x v="13"/>
    <x v="4"/>
    <x v="1"/>
    <s v="Shoes"/>
    <x v="1"/>
    <n v="6"/>
    <n v="2968.65"/>
    <n v="25.08"/>
    <n v="13344.68"/>
    <n v="3197.54"/>
    <x v="2"/>
  </r>
  <r>
    <s v="ORD101575"/>
    <x v="574"/>
    <x v="8"/>
    <x v="14"/>
    <x v="1"/>
    <x v="2"/>
    <s v="Office Chair"/>
    <x v="0"/>
    <n v="5"/>
    <n v="34668.839999999997"/>
    <n v="19.79"/>
    <n v="139039.38"/>
    <n v="32020.95"/>
    <x v="4"/>
  </r>
  <r>
    <s v="ORD101576"/>
    <x v="575"/>
    <x v="3"/>
    <x v="0"/>
    <x v="4"/>
    <x v="3"/>
    <s v="Tennis Ball"/>
    <x v="2"/>
    <n v="3"/>
    <n v="7528.21"/>
    <n v="11.92"/>
    <n v="19892.54"/>
    <n v="2041.08"/>
    <x v="1"/>
  </r>
  <r>
    <s v="ORD101577"/>
    <x v="575"/>
    <x v="14"/>
    <x v="1"/>
    <x v="3"/>
    <x v="3"/>
    <s v="Badminton Racket"/>
    <x v="0"/>
    <n v="3"/>
    <n v="2430.58"/>
    <n v="29.62"/>
    <n v="5131.93"/>
    <n v="974.92"/>
    <x v="2"/>
  </r>
  <r>
    <s v="ORD101578"/>
    <x v="575"/>
    <x v="9"/>
    <x v="2"/>
    <x v="3"/>
    <x v="0"/>
    <s v="Cooking Oil"/>
    <x v="2"/>
    <n v="3"/>
    <n v="2212.12"/>
    <n v="3.26"/>
    <n v="6420.01"/>
    <n v="1528.06"/>
    <x v="4"/>
  </r>
  <r>
    <s v="ORD101579"/>
    <x v="576"/>
    <x v="4"/>
    <x v="3"/>
    <x v="3"/>
    <x v="1"/>
    <s v="Jacket"/>
    <x v="1"/>
    <n v="2"/>
    <n v="3967.71"/>
    <n v="1.5"/>
    <n v="7816.39"/>
    <n v="1582.61"/>
    <x v="2"/>
  </r>
  <r>
    <s v="ORD101580"/>
    <x v="576"/>
    <x v="1"/>
    <x v="4"/>
    <x v="4"/>
    <x v="2"/>
    <s v="Office Chair"/>
    <x v="0"/>
    <n v="3"/>
    <n v="3198.75"/>
    <n v="15.75"/>
    <n v="8084.84"/>
    <n v="572.77"/>
    <x v="3"/>
  </r>
  <r>
    <s v="ORD101581"/>
    <x v="576"/>
    <x v="12"/>
    <x v="5"/>
    <x v="4"/>
    <x v="4"/>
    <s v="Comics"/>
    <x v="2"/>
    <n v="9"/>
    <n v="1775.76"/>
    <n v="27.79"/>
    <n v="11540.49"/>
    <n v="2918.17"/>
    <x v="4"/>
  </r>
  <r>
    <s v="ORD101582"/>
    <x v="577"/>
    <x v="1"/>
    <x v="6"/>
    <x v="0"/>
    <x v="1"/>
    <s v="Jacket"/>
    <x v="2"/>
    <n v="7"/>
    <n v="5139.41"/>
    <n v="5.18"/>
    <n v="34112.32"/>
    <n v="3911.32"/>
    <x v="2"/>
  </r>
  <r>
    <s v="ORD101583"/>
    <x v="577"/>
    <x v="9"/>
    <x v="7"/>
    <x v="4"/>
    <x v="1"/>
    <s v="Shoes"/>
    <x v="2"/>
    <n v="8"/>
    <n v="529.46"/>
    <n v="16.899999999999999"/>
    <n v="3519.85"/>
    <n v="847.26"/>
    <x v="4"/>
  </r>
  <r>
    <s v="ORD101584"/>
    <x v="578"/>
    <x v="6"/>
    <x v="8"/>
    <x v="1"/>
    <x v="3"/>
    <s v="Yoga Mat"/>
    <x v="0"/>
    <n v="1"/>
    <n v="1284.92"/>
    <n v="24.36"/>
    <n v="971.91"/>
    <n v="250.12"/>
    <x v="0"/>
  </r>
  <r>
    <s v="ORD101585"/>
    <x v="578"/>
    <x v="9"/>
    <x v="9"/>
    <x v="1"/>
    <x v="5"/>
    <s v="Keyboard"/>
    <x v="1"/>
    <n v="4"/>
    <n v="53751.75"/>
    <n v="20.02"/>
    <n v="171962.6"/>
    <n v="30697.16"/>
    <x v="2"/>
  </r>
  <r>
    <s v="ORD101586"/>
    <x v="578"/>
    <x v="11"/>
    <x v="10"/>
    <x v="4"/>
    <x v="4"/>
    <s v="Dictionary"/>
    <x v="1"/>
    <n v="5"/>
    <n v="1140.05"/>
    <n v="8.3000000000000007"/>
    <n v="5227.13"/>
    <n v="1535.06"/>
    <x v="3"/>
  </r>
  <r>
    <s v="ORD101587"/>
    <x v="579"/>
    <x v="4"/>
    <x v="11"/>
    <x v="0"/>
    <x v="2"/>
    <s v="Bookshelf"/>
    <x v="0"/>
    <n v="7"/>
    <n v="23876.99"/>
    <n v="18.39"/>
    <n v="136402.07999999999"/>
    <n v="34801.67"/>
    <x v="4"/>
  </r>
  <r>
    <s v="ORD101588"/>
    <x v="579"/>
    <x v="4"/>
    <x v="12"/>
    <x v="1"/>
    <x v="2"/>
    <s v="Desk"/>
    <x v="1"/>
    <n v="5"/>
    <n v="24950.49"/>
    <n v="6.19"/>
    <n v="117030.27"/>
    <n v="10095.77"/>
    <x v="0"/>
  </r>
  <r>
    <s v="ORD101589"/>
    <x v="579"/>
    <x v="6"/>
    <x v="13"/>
    <x v="3"/>
    <x v="4"/>
    <s v="Dictionary"/>
    <x v="2"/>
    <n v="1"/>
    <n v="2017.62"/>
    <n v="1.0900000000000001"/>
    <n v="1995.63"/>
    <n v="590.72"/>
    <x v="2"/>
  </r>
  <r>
    <s v="ORD101590"/>
    <x v="580"/>
    <x v="9"/>
    <x v="14"/>
    <x v="1"/>
    <x v="5"/>
    <s v="Keyboard"/>
    <x v="1"/>
    <n v="6"/>
    <n v="76455.429999999993"/>
    <n v="12.41"/>
    <n v="401803.87"/>
    <n v="115761.77"/>
    <x v="1"/>
  </r>
  <r>
    <s v="ORD101591"/>
    <x v="580"/>
    <x v="7"/>
    <x v="0"/>
    <x v="3"/>
    <x v="0"/>
    <s v="Tea"/>
    <x v="2"/>
    <n v="10"/>
    <n v="1698.23"/>
    <n v="1.74"/>
    <n v="16686.810000000001"/>
    <n v="3738.94"/>
    <x v="1"/>
  </r>
  <r>
    <s v="ORD101592"/>
    <x v="581"/>
    <x v="2"/>
    <x v="1"/>
    <x v="2"/>
    <x v="4"/>
    <s v="Notebook"/>
    <x v="0"/>
    <n v="6"/>
    <n v="1234.99"/>
    <n v="22.51"/>
    <n v="5741.96"/>
    <n v="1164.8900000000001"/>
    <x v="2"/>
  </r>
  <r>
    <s v="ORD101593"/>
    <x v="581"/>
    <x v="4"/>
    <x v="2"/>
    <x v="0"/>
    <x v="4"/>
    <s v="Notebook"/>
    <x v="2"/>
    <n v="4"/>
    <n v="528.66"/>
    <n v="29.47"/>
    <n v="1491.46"/>
    <n v="214.83"/>
    <x v="3"/>
  </r>
  <r>
    <s v="ORD101594"/>
    <x v="581"/>
    <x v="11"/>
    <x v="3"/>
    <x v="2"/>
    <x v="3"/>
    <s v="Yoga Mat"/>
    <x v="1"/>
    <n v="9"/>
    <n v="9990.2900000000009"/>
    <n v="9.5500000000000007"/>
    <n v="81325.960000000006"/>
    <n v="7092.78"/>
    <x v="4"/>
  </r>
  <r>
    <s v="ORD101595"/>
    <x v="582"/>
    <x v="6"/>
    <x v="4"/>
    <x v="2"/>
    <x v="0"/>
    <s v="Snacks"/>
    <x v="1"/>
    <n v="3"/>
    <n v="1151.25"/>
    <n v="12.53"/>
    <n v="3021"/>
    <n v="378.07"/>
    <x v="4"/>
  </r>
  <r>
    <s v="ORD101596"/>
    <x v="582"/>
    <x v="6"/>
    <x v="5"/>
    <x v="4"/>
    <x v="1"/>
    <s v="Jacket"/>
    <x v="0"/>
    <n v="10"/>
    <n v="2146.5500000000002"/>
    <n v="26.76"/>
    <n v="15721.33"/>
    <n v="4603.1000000000004"/>
    <x v="3"/>
  </r>
  <r>
    <s v="ORD101597"/>
    <x v="582"/>
    <x v="0"/>
    <x v="6"/>
    <x v="0"/>
    <x v="4"/>
    <s v="Textbook"/>
    <x v="2"/>
    <n v="1"/>
    <n v="2025.8"/>
    <n v="20.11"/>
    <n v="1618.41"/>
    <n v="132.16999999999999"/>
    <x v="1"/>
  </r>
  <r>
    <s v="ORD101598"/>
    <x v="583"/>
    <x v="0"/>
    <x v="7"/>
    <x v="2"/>
    <x v="5"/>
    <s v="Smartphone"/>
    <x v="0"/>
    <n v="6"/>
    <n v="74562.84"/>
    <n v="29.18"/>
    <n v="316832.42"/>
    <n v="77712.41"/>
    <x v="2"/>
  </r>
  <r>
    <s v="ORD101599"/>
    <x v="583"/>
    <x v="14"/>
    <x v="8"/>
    <x v="4"/>
    <x v="1"/>
    <s v="Shoes"/>
    <x v="0"/>
    <n v="3"/>
    <n v="6680.27"/>
    <n v="12.77"/>
    <n v="17481.599999999999"/>
    <n v="1144.1400000000001"/>
    <x v="4"/>
  </r>
  <r>
    <s v="ORD101600"/>
    <x v="583"/>
    <x v="12"/>
    <x v="9"/>
    <x v="2"/>
    <x v="0"/>
    <s v="Coffee"/>
    <x v="2"/>
    <n v="5"/>
    <n v="1888.61"/>
    <n v="19.989999999999998"/>
    <n v="7555.38"/>
    <n v="1410.05"/>
    <x v="3"/>
  </r>
  <r>
    <s v="ORD101601"/>
    <x v="584"/>
    <x v="12"/>
    <x v="10"/>
    <x v="0"/>
    <x v="0"/>
    <s v="Rice"/>
    <x v="0"/>
    <n v="2"/>
    <n v="262.06"/>
    <n v="8.0500000000000007"/>
    <n v="481.93"/>
    <n v="33.76"/>
    <x v="1"/>
  </r>
  <r>
    <s v="ORD101602"/>
    <x v="584"/>
    <x v="12"/>
    <x v="11"/>
    <x v="2"/>
    <x v="5"/>
    <s v="Smartphone"/>
    <x v="2"/>
    <n v="2"/>
    <n v="13805.72"/>
    <n v="29.35"/>
    <n v="19507.48"/>
    <n v="2804.4"/>
    <x v="3"/>
  </r>
  <r>
    <s v="ORD101603"/>
    <x v="585"/>
    <x v="3"/>
    <x v="12"/>
    <x v="3"/>
    <x v="0"/>
    <s v="Tea"/>
    <x v="0"/>
    <n v="4"/>
    <n v="82.35"/>
    <n v="26.59"/>
    <n v="241.81"/>
    <n v="28.5"/>
    <x v="0"/>
  </r>
  <r>
    <s v="ORD101604"/>
    <x v="585"/>
    <x v="11"/>
    <x v="13"/>
    <x v="4"/>
    <x v="4"/>
    <s v="Novel"/>
    <x v="0"/>
    <n v="8"/>
    <n v="1997.97"/>
    <n v="17.46"/>
    <n v="13193"/>
    <n v="2867.73"/>
    <x v="4"/>
  </r>
  <r>
    <s v="ORD101605"/>
    <x v="585"/>
    <x v="4"/>
    <x v="14"/>
    <x v="1"/>
    <x v="2"/>
    <s v="Office Chair"/>
    <x v="1"/>
    <n v="10"/>
    <n v="20493.07"/>
    <n v="11.63"/>
    <n v="181097.26"/>
    <n v="36811.29"/>
    <x v="2"/>
  </r>
  <r>
    <s v="ORD101606"/>
    <x v="586"/>
    <x v="6"/>
    <x v="0"/>
    <x v="2"/>
    <x v="3"/>
    <s v="Tennis Ball"/>
    <x v="1"/>
    <n v="5"/>
    <n v="9406.91"/>
    <n v="12.86"/>
    <n v="40985.910000000003"/>
    <n v="5721.3"/>
    <x v="1"/>
  </r>
  <r>
    <s v="ORD101607"/>
    <x v="586"/>
    <x v="0"/>
    <x v="1"/>
    <x v="2"/>
    <x v="0"/>
    <s v="Rice"/>
    <x v="2"/>
    <n v="9"/>
    <n v="2650.35"/>
    <n v="23.73"/>
    <n v="18192.8"/>
    <n v="3426.31"/>
    <x v="1"/>
  </r>
  <r>
    <s v="ORD101608"/>
    <x v="586"/>
    <x v="1"/>
    <x v="2"/>
    <x v="4"/>
    <x v="4"/>
    <s v="Comics"/>
    <x v="0"/>
    <n v="10"/>
    <n v="1372.46"/>
    <n v="27.04"/>
    <n v="10013.469999999999"/>
    <n v="2266.63"/>
    <x v="0"/>
  </r>
  <r>
    <s v="ORD101609"/>
    <x v="587"/>
    <x v="0"/>
    <x v="3"/>
    <x v="1"/>
    <x v="0"/>
    <s v="Rice"/>
    <x v="2"/>
    <n v="3"/>
    <n v="1607.33"/>
    <n v="6.48"/>
    <n v="4509.53"/>
    <n v="1222.6099999999999"/>
    <x v="2"/>
  </r>
  <r>
    <s v="ORD101610"/>
    <x v="587"/>
    <x v="13"/>
    <x v="4"/>
    <x v="2"/>
    <x v="0"/>
    <s v="Coffee"/>
    <x v="2"/>
    <n v="1"/>
    <n v="1291.24"/>
    <n v="21.2"/>
    <n v="1017.5"/>
    <n v="298.45"/>
    <x v="3"/>
  </r>
  <r>
    <s v="ORD101611"/>
    <x v="587"/>
    <x v="3"/>
    <x v="5"/>
    <x v="0"/>
    <x v="4"/>
    <s v="Dictionary"/>
    <x v="2"/>
    <n v="2"/>
    <n v="1654.02"/>
    <n v="4.09"/>
    <n v="3172.74"/>
    <n v="626.13"/>
    <x v="2"/>
  </r>
  <r>
    <s v="ORD101612"/>
    <x v="588"/>
    <x v="5"/>
    <x v="6"/>
    <x v="4"/>
    <x v="5"/>
    <s v="Laptop"/>
    <x v="0"/>
    <n v="9"/>
    <n v="74134.02"/>
    <n v="24.45"/>
    <n v="504074.27"/>
    <n v="65931.63"/>
    <x v="3"/>
  </r>
  <r>
    <s v="ORD101613"/>
    <x v="588"/>
    <x v="4"/>
    <x v="7"/>
    <x v="0"/>
    <x v="0"/>
    <s v="Tea"/>
    <x v="2"/>
    <n v="1"/>
    <n v="2197.17"/>
    <n v="5.51"/>
    <n v="2076.11"/>
    <n v="369.28"/>
    <x v="3"/>
  </r>
  <r>
    <s v="ORD101614"/>
    <x v="589"/>
    <x v="13"/>
    <x v="8"/>
    <x v="0"/>
    <x v="3"/>
    <s v="Yoga Mat"/>
    <x v="2"/>
    <n v="2"/>
    <n v="260.06"/>
    <n v="13.92"/>
    <n v="447.72"/>
    <n v="25.15"/>
    <x v="1"/>
  </r>
  <r>
    <s v="ORD101615"/>
    <x v="589"/>
    <x v="5"/>
    <x v="9"/>
    <x v="3"/>
    <x v="5"/>
    <s v="Monitor"/>
    <x v="0"/>
    <n v="1"/>
    <n v="75248.62"/>
    <n v="20.79"/>
    <n v="59604.43"/>
    <n v="15908.7"/>
    <x v="4"/>
  </r>
  <r>
    <s v="ORD101616"/>
    <x v="589"/>
    <x v="6"/>
    <x v="10"/>
    <x v="0"/>
    <x v="1"/>
    <s v="Dress"/>
    <x v="0"/>
    <n v="4"/>
    <n v="3138.82"/>
    <n v="0.3"/>
    <n v="12517.61"/>
    <n v="2782.53"/>
    <x v="4"/>
  </r>
  <r>
    <s v="ORD101617"/>
    <x v="590"/>
    <x v="14"/>
    <x v="11"/>
    <x v="0"/>
    <x v="5"/>
    <s v="Keyboard"/>
    <x v="1"/>
    <n v="3"/>
    <n v="59283.72"/>
    <n v="5.43"/>
    <n v="168193.84"/>
    <n v="48734.46"/>
    <x v="0"/>
  </r>
  <r>
    <s v="ORD101618"/>
    <x v="590"/>
    <x v="4"/>
    <x v="12"/>
    <x v="0"/>
    <x v="4"/>
    <s v="Textbook"/>
    <x v="2"/>
    <n v="2"/>
    <n v="2387.9"/>
    <n v="20.260000000000002"/>
    <n v="3808.22"/>
    <n v="713.03"/>
    <x v="4"/>
  </r>
  <r>
    <s v="ORD101619"/>
    <x v="590"/>
    <x v="9"/>
    <x v="13"/>
    <x v="4"/>
    <x v="2"/>
    <s v="Office Chair"/>
    <x v="1"/>
    <n v="7"/>
    <n v="12892.45"/>
    <n v="10.8"/>
    <n v="80500.460000000006"/>
    <n v="12488.39"/>
    <x v="3"/>
  </r>
  <r>
    <s v="ORD101620"/>
    <x v="591"/>
    <x v="0"/>
    <x v="14"/>
    <x v="2"/>
    <x v="1"/>
    <s v="Shoes"/>
    <x v="0"/>
    <n v="4"/>
    <n v="5892.95"/>
    <n v="13.68"/>
    <n v="20347.18"/>
    <n v="3801.09"/>
    <x v="2"/>
  </r>
  <r>
    <s v="ORD101621"/>
    <x v="591"/>
    <x v="13"/>
    <x v="0"/>
    <x v="1"/>
    <x v="0"/>
    <s v="Rice"/>
    <x v="1"/>
    <n v="9"/>
    <n v="1703.54"/>
    <n v="29.44"/>
    <n v="10818.16"/>
    <n v="1942.71"/>
    <x v="1"/>
  </r>
  <r>
    <s v="ORD101622"/>
    <x v="591"/>
    <x v="11"/>
    <x v="1"/>
    <x v="1"/>
    <x v="1"/>
    <s v="Jeans"/>
    <x v="0"/>
    <n v="3"/>
    <n v="4818.01"/>
    <n v="8.24"/>
    <n v="13263.02"/>
    <n v="770.85"/>
    <x v="4"/>
  </r>
  <r>
    <s v="ORD101623"/>
    <x v="592"/>
    <x v="3"/>
    <x v="2"/>
    <x v="0"/>
    <x v="4"/>
    <s v="Comics"/>
    <x v="1"/>
    <n v="8"/>
    <n v="2437.4499999999998"/>
    <n v="10.85"/>
    <n v="17383.89"/>
    <n v="3482.76"/>
    <x v="0"/>
  </r>
  <r>
    <s v="ORD101624"/>
    <x v="592"/>
    <x v="12"/>
    <x v="3"/>
    <x v="2"/>
    <x v="4"/>
    <s v="Dictionary"/>
    <x v="0"/>
    <n v="1"/>
    <n v="1370.99"/>
    <n v="26.48"/>
    <n v="1007.95"/>
    <n v="288.38"/>
    <x v="4"/>
  </r>
  <r>
    <s v="ORD101625"/>
    <x v="593"/>
    <x v="6"/>
    <x v="4"/>
    <x v="3"/>
    <x v="2"/>
    <s v="Desk"/>
    <x v="2"/>
    <n v="3"/>
    <n v="33735.46"/>
    <n v="28.33"/>
    <n v="72534.61"/>
    <n v="8575.7999999999993"/>
    <x v="2"/>
  </r>
  <r>
    <s v="ORD101626"/>
    <x v="593"/>
    <x v="1"/>
    <x v="5"/>
    <x v="2"/>
    <x v="1"/>
    <s v="Jacket"/>
    <x v="0"/>
    <n v="2"/>
    <n v="7760.22"/>
    <n v="20.85"/>
    <n v="12284.43"/>
    <n v="1846.74"/>
    <x v="1"/>
  </r>
  <r>
    <s v="ORD101627"/>
    <x v="593"/>
    <x v="5"/>
    <x v="6"/>
    <x v="0"/>
    <x v="0"/>
    <s v="Tea"/>
    <x v="0"/>
    <n v="8"/>
    <n v="2277.8000000000002"/>
    <n v="6.44"/>
    <n v="17048.88"/>
    <n v="5018.29"/>
    <x v="0"/>
  </r>
  <r>
    <s v="ORD101628"/>
    <x v="594"/>
    <x v="13"/>
    <x v="7"/>
    <x v="4"/>
    <x v="2"/>
    <s v="Desk"/>
    <x v="1"/>
    <n v="4"/>
    <n v="8833.9599999999991"/>
    <n v="23.23"/>
    <n v="27127.32"/>
    <n v="6188.95"/>
    <x v="1"/>
  </r>
  <r>
    <s v="ORD101629"/>
    <x v="594"/>
    <x v="8"/>
    <x v="8"/>
    <x v="4"/>
    <x v="1"/>
    <s v="Shoes"/>
    <x v="2"/>
    <n v="1"/>
    <n v="2017.2"/>
    <n v="15.77"/>
    <n v="1699.09"/>
    <n v="123.72"/>
    <x v="2"/>
  </r>
  <r>
    <s v="ORD101630"/>
    <x v="594"/>
    <x v="2"/>
    <x v="9"/>
    <x v="3"/>
    <x v="0"/>
    <s v="Rice"/>
    <x v="1"/>
    <n v="4"/>
    <n v="1981.69"/>
    <n v="20.55"/>
    <n v="6297.81"/>
    <n v="1782.98"/>
    <x v="4"/>
  </r>
  <r>
    <s v="ORD101631"/>
    <x v="595"/>
    <x v="1"/>
    <x v="10"/>
    <x v="1"/>
    <x v="5"/>
    <s v="Laptop"/>
    <x v="2"/>
    <n v="7"/>
    <n v="14074.58"/>
    <n v="26"/>
    <n v="72906.320000000007"/>
    <n v="10831.08"/>
    <x v="4"/>
  </r>
  <r>
    <s v="ORD101632"/>
    <x v="595"/>
    <x v="2"/>
    <x v="11"/>
    <x v="1"/>
    <x v="3"/>
    <s v="Football"/>
    <x v="1"/>
    <n v="2"/>
    <n v="2779.57"/>
    <n v="21.31"/>
    <n v="4374.49"/>
    <n v="960.1"/>
    <x v="1"/>
  </r>
  <r>
    <s v="ORD101633"/>
    <x v="595"/>
    <x v="11"/>
    <x v="12"/>
    <x v="3"/>
    <x v="4"/>
    <s v="Dictionary"/>
    <x v="2"/>
    <n v="1"/>
    <n v="917.96"/>
    <n v="28.64"/>
    <n v="655.05999999999995"/>
    <n v="146.85"/>
    <x v="3"/>
  </r>
  <r>
    <s v="ORD101634"/>
    <x v="596"/>
    <x v="4"/>
    <x v="13"/>
    <x v="3"/>
    <x v="5"/>
    <s v="Headphones"/>
    <x v="1"/>
    <n v="4"/>
    <n v="24380.99"/>
    <n v="13.02"/>
    <n v="84826.34"/>
    <n v="5999.71"/>
    <x v="4"/>
  </r>
  <r>
    <s v="ORD101635"/>
    <x v="596"/>
    <x v="6"/>
    <x v="14"/>
    <x v="3"/>
    <x v="3"/>
    <s v="Yoga Mat"/>
    <x v="0"/>
    <n v="4"/>
    <n v="7093.13"/>
    <n v="8.9700000000000006"/>
    <n v="25827.5"/>
    <n v="6188.43"/>
    <x v="2"/>
  </r>
  <r>
    <s v="ORD101636"/>
    <x v="597"/>
    <x v="10"/>
    <x v="0"/>
    <x v="0"/>
    <x v="4"/>
    <s v="Textbook"/>
    <x v="0"/>
    <n v="10"/>
    <n v="552.64"/>
    <n v="16.850000000000001"/>
    <n v="4595.2"/>
    <n v="1025.6600000000001"/>
    <x v="1"/>
  </r>
  <r>
    <s v="ORD101637"/>
    <x v="597"/>
    <x v="7"/>
    <x v="1"/>
    <x v="2"/>
    <x v="4"/>
    <s v="Novel"/>
    <x v="2"/>
    <n v="8"/>
    <n v="1029.99"/>
    <n v="18.8"/>
    <n v="6690.82"/>
    <n v="1260.32"/>
    <x v="3"/>
  </r>
  <r>
    <s v="ORD101638"/>
    <x v="597"/>
    <x v="4"/>
    <x v="2"/>
    <x v="0"/>
    <x v="5"/>
    <s v="Smartphone"/>
    <x v="1"/>
    <n v="5"/>
    <n v="68006.36"/>
    <n v="7.07"/>
    <n v="315991.55"/>
    <n v="89675.4"/>
    <x v="3"/>
  </r>
  <r>
    <s v="ORD101639"/>
    <x v="598"/>
    <x v="9"/>
    <x v="3"/>
    <x v="0"/>
    <x v="3"/>
    <s v="Yoga Mat"/>
    <x v="1"/>
    <n v="6"/>
    <n v="993.95"/>
    <n v="9.5"/>
    <n v="5397.15"/>
    <n v="1573.7"/>
    <x v="2"/>
  </r>
  <r>
    <s v="ORD101640"/>
    <x v="598"/>
    <x v="3"/>
    <x v="4"/>
    <x v="0"/>
    <x v="5"/>
    <s v="Keyboard"/>
    <x v="2"/>
    <n v="1"/>
    <n v="8414.07"/>
    <n v="9.19"/>
    <n v="7640.82"/>
    <n v="1338.8"/>
    <x v="1"/>
  </r>
  <r>
    <s v="ORD101641"/>
    <x v="598"/>
    <x v="1"/>
    <x v="5"/>
    <x v="3"/>
    <x v="3"/>
    <s v="Tennis Ball"/>
    <x v="2"/>
    <n v="4"/>
    <n v="6816.41"/>
    <n v="5.1100000000000003"/>
    <n v="25872.37"/>
    <n v="2521.0300000000002"/>
    <x v="4"/>
  </r>
  <r>
    <s v="ORD101642"/>
    <x v="599"/>
    <x v="1"/>
    <x v="6"/>
    <x v="1"/>
    <x v="2"/>
    <s v="Bookshelf"/>
    <x v="2"/>
    <n v="4"/>
    <n v="8764.76"/>
    <n v="28.22"/>
    <n v="25165.38"/>
    <n v="6049.39"/>
    <x v="4"/>
  </r>
  <r>
    <s v="ORD101643"/>
    <x v="599"/>
    <x v="6"/>
    <x v="7"/>
    <x v="3"/>
    <x v="2"/>
    <s v="Desk"/>
    <x v="2"/>
    <n v="9"/>
    <n v="18111.73"/>
    <n v="7.02"/>
    <n v="151562.57999999999"/>
    <n v="23183.9"/>
    <x v="0"/>
  </r>
  <r>
    <s v="ORD101644"/>
    <x v="599"/>
    <x v="12"/>
    <x v="8"/>
    <x v="4"/>
    <x v="3"/>
    <s v="Tennis Ball"/>
    <x v="0"/>
    <n v="2"/>
    <n v="1627.69"/>
    <n v="21.79"/>
    <n v="2546.0300000000002"/>
    <n v="259.35000000000002"/>
    <x v="2"/>
  </r>
  <r>
    <s v="ORD101645"/>
    <x v="600"/>
    <x v="9"/>
    <x v="9"/>
    <x v="3"/>
    <x v="0"/>
    <s v="Cooking Oil"/>
    <x v="0"/>
    <n v="1"/>
    <n v="743.04"/>
    <n v="3.01"/>
    <n v="720.67"/>
    <n v="62.75"/>
    <x v="1"/>
  </r>
  <r>
    <s v="ORD101646"/>
    <x v="600"/>
    <x v="2"/>
    <x v="10"/>
    <x v="0"/>
    <x v="3"/>
    <s v="Tennis Ball"/>
    <x v="1"/>
    <n v="1"/>
    <n v="2871.78"/>
    <n v="15.23"/>
    <n v="2434.41"/>
    <n v="313.77999999999997"/>
    <x v="4"/>
  </r>
  <r>
    <s v="ORD101647"/>
    <x v="601"/>
    <x v="8"/>
    <x v="11"/>
    <x v="0"/>
    <x v="3"/>
    <s v="Yoga Mat"/>
    <x v="1"/>
    <n v="7"/>
    <n v="3599.2"/>
    <n v="1.1000000000000001"/>
    <n v="24917.26"/>
    <n v="2407.09"/>
    <x v="4"/>
  </r>
  <r>
    <s v="ORD101648"/>
    <x v="601"/>
    <x v="1"/>
    <x v="12"/>
    <x v="2"/>
    <x v="5"/>
    <s v="Monitor"/>
    <x v="2"/>
    <n v="6"/>
    <n v="76716.47"/>
    <n v="0.64"/>
    <n v="457352.91"/>
    <n v="107323.88"/>
    <x v="3"/>
  </r>
  <r>
    <s v="ORD101649"/>
    <x v="601"/>
    <x v="10"/>
    <x v="13"/>
    <x v="1"/>
    <x v="2"/>
    <s v="Bookshelf"/>
    <x v="2"/>
    <n v="7"/>
    <n v="37359.919999999998"/>
    <n v="18.04"/>
    <n v="214341.33"/>
    <n v="18402.310000000001"/>
    <x v="1"/>
  </r>
  <r>
    <s v="ORD101650"/>
    <x v="602"/>
    <x v="10"/>
    <x v="14"/>
    <x v="1"/>
    <x v="4"/>
    <s v="Dictionary"/>
    <x v="1"/>
    <n v="9"/>
    <n v="1590.7"/>
    <n v="7.06"/>
    <n v="13305.57"/>
    <n v="2519.8000000000002"/>
    <x v="1"/>
  </r>
  <r>
    <s v="ORD101651"/>
    <x v="602"/>
    <x v="10"/>
    <x v="0"/>
    <x v="3"/>
    <x v="5"/>
    <s v="Smartphone"/>
    <x v="0"/>
    <n v="2"/>
    <n v="75622.42"/>
    <n v="24.71"/>
    <n v="113872.24"/>
    <n v="23860.65"/>
    <x v="2"/>
  </r>
  <r>
    <s v="ORD101652"/>
    <x v="602"/>
    <x v="9"/>
    <x v="1"/>
    <x v="1"/>
    <x v="5"/>
    <s v="Smartphone"/>
    <x v="1"/>
    <n v="5"/>
    <n v="45823.21"/>
    <n v="19.45"/>
    <n v="184552.98"/>
    <n v="40509.15"/>
    <x v="0"/>
  </r>
  <r>
    <s v="ORD101653"/>
    <x v="603"/>
    <x v="7"/>
    <x v="2"/>
    <x v="2"/>
    <x v="0"/>
    <s v="Cooking Oil"/>
    <x v="0"/>
    <n v="4"/>
    <n v="465.89"/>
    <n v="20.37"/>
    <n v="1483.95"/>
    <n v="351.5"/>
    <x v="4"/>
  </r>
  <r>
    <s v="ORD101654"/>
    <x v="603"/>
    <x v="14"/>
    <x v="3"/>
    <x v="3"/>
    <x v="1"/>
    <s v="Jeans"/>
    <x v="0"/>
    <n v="9"/>
    <n v="3993.17"/>
    <n v="26.63"/>
    <n v="26368.1"/>
    <n v="5052.07"/>
    <x v="1"/>
  </r>
  <r>
    <s v="ORD101655"/>
    <x v="604"/>
    <x v="14"/>
    <x v="4"/>
    <x v="0"/>
    <x v="5"/>
    <s v="Smartphone"/>
    <x v="2"/>
    <n v="10"/>
    <n v="52900.83"/>
    <n v="1.52"/>
    <n v="520967.37"/>
    <n v="90296.7"/>
    <x v="2"/>
  </r>
  <r>
    <s v="ORD101656"/>
    <x v="604"/>
    <x v="5"/>
    <x v="5"/>
    <x v="4"/>
    <x v="1"/>
    <s v="Jeans"/>
    <x v="2"/>
    <n v="1"/>
    <n v="1712.31"/>
    <n v="26.81"/>
    <n v="1253.24"/>
    <n v="356.83"/>
    <x v="2"/>
  </r>
  <r>
    <s v="ORD101657"/>
    <x v="604"/>
    <x v="13"/>
    <x v="6"/>
    <x v="0"/>
    <x v="2"/>
    <s v="Bookshelf"/>
    <x v="0"/>
    <n v="9"/>
    <n v="2729.53"/>
    <n v="9.25"/>
    <n v="22293.439999999999"/>
    <n v="4901.26"/>
    <x v="1"/>
  </r>
  <r>
    <s v="ORD101658"/>
    <x v="605"/>
    <x v="0"/>
    <x v="7"/>
    <x v="1"/>
    <x v="2"/>
    <s v="Office Chair"/>
    <x v="0"/>
    <n v="4"/>
    <n v="20566.419999999998"/>
    <n v="27.04"/>
    <n v="60021.04"/>
    <n v="6914.95"/>
    <x v="3"/>
  </r>
  <r>
    <s v="ORD101659"/>
    <x v="605"/>
    <x v="0"/>
    <x v="8"/>
    <x v="3"/>
    <x v="3"/>
    <s v="Yoga Mat"/>
    <x v="0"/>
    <n v="5"/>
    <n v="9974.34"/>
    <n v="26.18"/>
    <n v="36815.29"/>
    <n v="4577.46"/>
    <x v="2"/>
  </r>
  <r>
    <s v="ORD101660"/>
    <x v="605"/>
    <x v="4"/>
    <x v="9"/>
    <x v="3"/>
    <x v="0"/>
    <s v="Cooking Oil"/>
    <x v="0"/>
    <n v="2"/>
    <n v="144.88"/>
    <n v="26.88"/>
    <n v="211.87"/>
    <n v="45.13"/>
    <x v="2"/>
  </r>
  <r>
    <s v="ORD101661"/>
    <x v="606"/>
    <x v="3"/>
    <x v="10"/>
    <x v="4"/>
    <x v="2"/>
    <s v="Sofa"/>
    <x v="0"/>
    <n v="2"/>
    <n v="1685.05"/>
    <n v="18.579999999999998"/>
    <n v="2743.94"/>
    <n v="451.32"/>
    <x v="4"/>
  </r>
  <r>
    <s v="ORD101662"/>
    <x v="606"/>
    <x v="13"/>
    <x v="11"/>
    <x v="0"/>
    <x v="3"/>
    <s v="Tennis Ball"/>
    <x v="0"/>
    <n v="5"/>
    <n v="3489.8"/>
    <n v="15.9"/>
    <n v="14674.61"/>
    <n v="3148.91"/>
    <x v="1"/>
  </r>
  <r>
    <s v="ORD101663"/>
    <x v="606"/>
    <x v="2"/>
    <x v="12"/>
    <x v="4"/>
    <x v="4"/>
    <s v="Comics"/>
    <x v="0"/>
    <n v="10"/>
    <n v="1604.6"/>
    <n v="5.21"/>
    <n v="15210"/>
    <n v="1003.2"/>
    <x v="0"/>
  </r>
  <r>
    <s v="ORD101664"/>
    <x v="607"/>
    <x v="1"/>
    <x v="13"/>
    <x v="2"/>
    <x v="1"/>
    <s v="T-Shirt"/>
    <x v="1"/>
    <n v="10"/>
    <n v="6232.18"/>
    <n v="11.13"/>
    <n v="55385.38"/>
    <n v="12883.56"/>
    <x v="3"/>
  </r>
  <r>
    <s v="ORD101665"/>
    <x v="607"/>
    <x v="6"/>
    <x v="14"/>
    <x v="4"/>
    <x v="2"/>
    <s v="Sofa"/>
    <x v="0"/>
    <n v="9"/>
    <n v="28068.58"/>
    <n v="23.03"/>
    <n v="194439.47"/>
    <n v="53255.58"/>
    <x v="4"/>
  </r>
  <r>
    <s v="ORD101666"/>
    <x v="608"/>
    <x v="14"/>
    <x v="0"/>
    <x v="1"/>
    <x v="3"/>
    <s v="Yoga Mat"/>
    <x v="1"/>
    <n v="5"/>
    <n v="7057.74"/>
    <n v="6.17"/>
    <n v="33111.39"/>
    <n v="2246.9299999999998"/>
    <x v="1"/>
  </r>
  <r>
    <s v="ORD101667"/>
    <x v="608"/>
    <x v="12"/>
    <x v="1"/>
    <x v="0"/>
    <x v="4"/>
    <s v="Textbook"/>
    <x v="1"/>
    <n v="9"/>
    <n v="1911.24"/>
    <n v="28"/>
    <n v="12384.84"/>
    <n v="1300.81"/>
    <x v="1"/>
  </r>
  <r>
    <s v="ORD101668"/>
    <x v="608"/>
    <x v="14"/>
    <x v="2"/>
    <x v="3"/>
    <x v="2"/>
    <s v="Table"/>
    <x v="2"/>
    <n v="10"/>
    <n v="14513.31"/>
    <n v="23.23"/>
    <n v="111418.68"/>
    <n v="12881.57"/>
    <x v="3"/>
  </r>
  <r>
    <s v="ORD101669"/>
    <x v="609"/>
    <x v="12"/>
    <x v="3"/>
    <x v="4"/>
    <x v="4"/>
    <s v="Dictionary"/>
    <x v="0"/>
    <n v="5"/>
    <n v="1039.2"/>
    <n v="28.8"/>
    <n v="3699.55"/>
    <n v="494.86"/>
    <x v="1"/>
  </r>
  <r>
    <s v="ORD101670"/>
    <x v="609"/>
    <x v="8"/>
    <x v="4"/>
    <x v="1"/>
    <x v="2"/>
    <s v="Desk"/>
    <x v="2"/>
    <n v="5"/>
    <n v="36602.94"/>
    <n v="22.65"/>
    <n v="141561.87"/>
    <n v="15116.2"/>
    <x v="4"/>
  </r>
  <r>
    <s v="ORD101671"/>
    <x v="609"/>
    <x v="3"/>
    <x v="5"/>
    <x v="3"/>
    <x v="2"/>
    <s v="Table"/>
    <x v="1"/>
    <n v="7"/>
    <n v="24250.35"/>
    <n v="26.8"/>
    <n v="124258.79"/>
    <n v="11555.15"/>
    <x v="1"/>
  </r>
  <r>
    <s v="ORD101672"/>
    <x v="610"/>
    <x v="3"/>
    <x v="6"/>
    <x v="1"/>
    <x v="0"/>
    <s v="Rice"/>
    <x v="1"/>
    <n v="8"/>
    <n v="1804.73"/>
    <n v="0.82"/>
    <n v="14319.45"/>
    <n v="947.59"/>
    <x v="3"/>
  </r>
  <r>
    <s v="ORD101673"/>
    <x v="610"/>
    <x v="5"/>
    <x v="7"/>
    <x v="2"/>
    <x v="2"/>
    <s v="Desk"/>
    <x v="0"/>
    <n v="4"/>
    <n v="10162.99"/>
    <n v="13.27"/>
    <n v="35257.440000000002"/>
    <n v="3133.08"/>
    <x v="4"/>
  </r>
  <r>
    <s v="ORD101674"/>
    <x v="610"/>
    <x v="6"/>
    <x v="8"/>
    <x v="0"/>
    <x v="5"/>
    <s v="Keyboard"/>
    <x v="2"/>
    <n v="5"/>
    <n v="7809.07"/>
    <n v="20.58"/>
    <n v="31009.82"/>
    <n v="4876.0600000000004"/>
    <x v="1"/>
  </r>
  <r>
    <s v="ORD101675"/>
    <x v="611"/>
    <x v="7"/>
    <x v="9"/>
    <x v="3"/>
    <x v="5"/>
    <s v="Monitor"/>
    <x v="1"/>
    <n v="3"/>
    <n v="19366.48"/>
    <n v="13.13"/>
    <n v="50470.98"/>
    <n v="13325.54"/>
    <x v="3"/>
  </r>
  <r>
    <s v="ORD101676"/>
    <x v="611"/>
    <x v="7"/>
    <x v="10"/>
    <x v="0"/>
    <x v="4"/>
    <s v="Novel"/>
    <x v="2"/>
    <n v="4"/>
    <n v="1002.12"/>
    <n v="27.83"/>
    <n v="2892.92"/>
    <n v="212.96"/>
    <x v="3"/>
  </r>
  <r>
    <s v="ORD101677"/>
    <x v="612"/>
    <x v="1"/>
    <x v="11"/>
    <x v="2"/>
    <x v="1"/>
    <s v="Dress"/>
    <x v="2"/>
    <n v="2"/>
    <n v="4568.07"/>
    <n v="20.010000000000002"/>
    <n v="7308"/>
    <n v="2064.77"/>
    <x v="4"/>
  </r>
  <r>
    <s v="ORD101678"/>
    <x v="612"/>
    <x v="12"/>
    <x v="12"/>
    <x v="0"/>
    <x v="0"/>
    <s v="Tea"/>
    <x v="0"/>
    <n v="4"/>
    <n v="2205.1"/>
    <n v="1.39"/>
    <n v="8697.7999999999993"/>
    <n v="1630.12"/>
    <x v="4"/>
  </r>
  <r>
    <s v="ORD101679"/>
    <x v="612"/>
    <x v="2"/>
    <x v="13"/>
    <x v="2"/>
    <x v="0"/>
    <s v="Coffee"/>
    <x v="1"/>
    <n v="3"/>
    <n v="2992.37"/>
    <n v="28.27"/>
    <n v="6439.28"/>
    <n v="1402.05"/>
    <x v="4"/>
  </r>
  <r>
    <s v="ORD101680"/>
    <x v="613"/>
    <x v="1"/>
    <x v="14"/>
    <x v="3"/>
    <x v="0"/>
    <s v="Tea"/>
    <x v="0"/>
    <n v="3"/>
    <n v="295.49"/>
    <n v="27.46"/>
    <n v="643.04999999999995"/>
    <n v="97.14"/>
    <x v="2"/>
  </r>
  <r>
    <s v="ORD101681"/>
    <x v="613"/>
    <x v="12"/>
    <x v="0"/>
    <x v="3"/>
    <x v="5"/>
    <s v="Smartphone"/>
    <x v="1"/>
    <n v="5"/>
    <n v="66823.31"/>
    <n v="9.1300000000000008"/>
    <n v="303611.71000000002"/>
    <n v="50780.15"/>
    <x v="3"/>
  </r>
  <r>
    <s v="ORD101682"/>
    <x v="613"/>
    <x v="6"/>
    <x v="1"/>
    <x v="3"/>
    <x v="5"/>
    <s v="Smartphone"/>
    <x v="0"/>
    <n v="4"/>
    <n v="46812.86"/>
    <n v="16.59"/>
    <n v="156186.43"/>
    <n v="41364.42"/>
    <x v="3"/>
  </r>
  <r>
    <s v="ORD101683"/>
    <x v="614"/>
    <x v="1"/>
    <x v="2"/>
    <x v="1"/>
    <x v="0"/>
    <s v="Cooking Oil"/>
    <x v="1"/>
    <n v="1"/>
    <n v="688.51"/>
    <n v="24.09"/>
    <n v="522.65"/>
    <n v="78.349999999999994"/>
    <x v="0"/>
  </r>
  <r>
    <s v="ORD101684"/>
    <x v="614"/>
    <x v="1"/>
    <x v="3"/>
    <x v="0"/>
    <x v="0"/>
    <s v="Cooking Oil"/>
    <x v="1"/>
    <n v="4"/>
    <n v="1773.28"/>
    <n v="22.14"/>
    <n v="5522.7"/>
    <n v="712.64"/>
    <x v="3"/>
  </r>
  <r>
    <s v="ORD101685"/>
    <x v="614"/>
    <x v="0"/>
    <x v="4"/>
    <x v="0"/>
    <x v="2"/>
    <s v="Sofa"/>
    <x v="1"/>
    <n v="6"/>
    <n v="34167.660000000003"/>
    <n v="4.3600000000000003"/>
    <n v="196067.7"/>
    <n v="11263.15"/>
    <x v="0"/>
  </r>
  <r>
    <s v="ORD101686"/>
    <x v="615"/>
    <x v="8"/>
    <x v="5"/>
    <x v="1"/>
    <x v="1"/>
    <s v="Dress"/>
    <x v="1"/>
    <n v="8"/>
    <n v="4010.69"/>
    <n v="29.06"/>
    <n v="22761.47"/>
    <n v="4962.8500000000004"/>
    <x v="4"/>
  </r>
  <r>
    <s v="ORD101687"/>
    <x v="615"/>
    <x v="0"/>
    <x v="6"/>
    <x v="0"/>
    <x v="0"/>
    <s v="Cooking Oil"/>
    <x v="1"/>
    <n v="2"/>
    <n v="1108.8599999999999"/>
    <n v="12.16"/>
    <n v="1948.05"/>
    <n v="538.42999999999995"/>
    <x v="0"/>
  </r>
  <r>
    <s v="ORD101688"/>
    <x v="616"/>
    <x v="6"/>
    <x v="7"/>
    <x v="2"/>
    <x v="1"/>
    <s v="Dress"/>
    <x v="0"/>
    <n v="7"/>
    <n v="1502.57"/>
    <n v="3.16"/>
    <n v="10185.620000000001"/>
    <n v="2249.54"/>
    <x v="1"/>
  </r>
  <r>
    <s v="ORD101689"/>
    <x v="616"/>
    <x v="6"/>
    <x v="8"/>
    <x v="4"/>
    <x v="2"/>
    <s v="Bookshelf"/>
    <x v="1"/>
    <n v="6"/>
    <n v="23234.7"/>
    <n v="3.39"/>
    <n v="134682.26"/>
    <n v="37337.620000000003"/>
    <x v="2"/>
  </r>
  <r>
    <s v="ORD101690"/>
    <x v="616"/>
    <x v="6"/>
    <x v="9"/>
    <x v="0"/>
    <x v="4"/>
    <s v="Notebook"/>
    <x v="2"/>
    <n v="2"/>
    <n v="842.2"/>
    <n v="26.57"/>
    <n v="1236.8499999999999"/>
    <n v="154.07"/>
    <x v="2"/>
  </r>
  <r>
    <s v="ORD101691"/>
    <x v="617"/>
    <x v="4"/>
    <x v="10"/>
    <x v="4"/>
    <x v="0"/>
    <s v="Coffee"/>
    <x v="0"/>
    <n v="1"/>
    <n v="374.09"/>
    <n v="12.74"/>
    <n v="326.43"/>
    <n v="17.77"/>
    <x v="1"/>
  </r>
  <r>
    <s v="ORD101692"/>
    <x v="617"/>
    <x v="8"/>
    <x v="11"/>
    <x v="2"/>
    <x v="2"/>
    <s v="Sofa"/>
    <x v="1"/>
    <n v="6"/>
    <n v="35074.660000000003"/>
    <n v="23.68"/>
    <n v="160613.88"/>
    <n v="35083.879999999997"/>
    <x v="3"/>
  </r>
  <r>
    <s v="ORD101693"/>
    <x v="617"/>
    <x v="0"/>
    <x v="12"/>
    <x v="3"/>
    <x v="1"/>
    <s v="Shoes"/>
    <x v="0"/>
    <n v="8"/>
    <n v="4483.24"/>
    <n v="17.32"/>
    <n v="29653.94"/>
    <n v="6709.33"/>
    <x v="2"/>
  </r>
  <r>
    <s v="ORD101694"/>
    <x v="618"/>
    <x v="1"/>
    <x v="13"/>
    <x v="3"/>
    <x v="1"/>
    <s v="Shoes"/>
    <x v="1"/>
    <n v="6"/>
    <n v="5267.25"/>
    <n v="16.72"/>
    <n v="26319.39"/>
    <n v="5553.01"/>
    <x v="4"/>
  </r>
  <r>
    <s v="ORD101695"/>
    <x v="618"/>
    <x v="11"/>
    <x v="14"/>
    <x v="1"/>
    <x v="5"/>
    <s v="Monitor"/>
    <x v="0"/>
    <n v="5"/>
    <n v="612.75"/>
    <n v="16.8"/>
    <n v="2549.04"/>
    <n v="503.85"/>
    <x v="4"/>
  </r>
  <r>
    <s v="ORD101696"/>
    <x v="618"/>
    <x v="13"/>
    <x v="0"/>
    <x v="3"/>
    <x v="1"/>
    <s v="Jacket"/>
    <x v="1"/>
    <n v="7"/>
    <n v="2222.54"/>
    <n v="18.27"/>
    <n v="12715.37"/>
    <n v="2822.09"/>
    <x v="0"/>
  </r>
  <r>
    <s v="ORD101697"/>
    <x v="619"/>
    <x v="2"/>
    <x v="1"/>
    <x v="4"/>
    <x v="2"/>
    <s v="Desk"/>
    <x v="1"/>
    <n v="7"/>
    <n v="3818.69"/>
    <n v="22.34"/>
    <n v="20759.16"/>
    <n v="4971.6899999999996"/>
    <x v="3"/>
  </r>
  <r>
    <s v="ORD101698"/>
    <x v="619"/>
    <x v="14"/>
    <x v="2"/>
    <x v="0"/>
    <x v="2"/>
    <s v="Sofa"/>
    <x v="2"/>
    <n v="6"/>
    <n v="22782.13"/>
    <n v="11.2"/>
    <n v="121383.19"/>
    <n v="33037.96"/>
    <x v="4"/>
  </r>
  <r>
    <s v="ORD101699"/>
    <x v="620"/>
    <x v="2"/>
    <x v="3"/>
    <x v="3"/>
    <x v="1"/>
    <s v="T-Shirt"/>
    <x v="0"/>
    <n v="2"/>
    <n v="6796.25"/>
    <n v="15.37"/>
    <n v="11503.33"/>
    <n v="2845.46"/>
    <x v="4"/>
  </r>
  <r>
    <s v="ORD101700"/>
    <x v="620"/>
    <x v="0"/>
    <x v="4"/>
    <x v="4"/>
    <x v="5"/>
    <s v="Laptop"/>
    <x v="0"/>
    <n v="1"/>
    <n v="61160.04"/>
    <n v="5.0599999999999996"/>
    <n v="58065.34"/>
    <n v="12069.95"/>
    <x v="2"/>
  </r>
  <r>
    <s v="ORD101701"/>
    <x v="620"/>
    <x v="8"/>
    <x v="5"/>
    <x v="3"/>
    <x v="0"/>
    <s v="Tea"/>
    <x v="1"/>
    <n v="5"/>
    <n v="2602.25"/>
    <n v="12.91"/>
    <n v="11331.5"/>
    <n v="2213.31"/>
    <x v="3"/>
  </r>
  <r>
    <s v="ORD101702"/>
    <x v="621"/>
    <x v="8"/>
    <x v="6"/>
    <x v="0"/>
    <x v="3"/>
    <s v="Badminton Racket"/>
    <x v="1"/>
    <n v="4"/>
    <n v="3248.24"/>
    <n v="9.34"/>
    <n v="11779.42"/>
    <n v="1260.6600000000001"/>
    <x v="0"/>
  </r>
  <r>
    <s v="ORD101703"/>
    <x v="621"/>
    <x v="5"/>
    <x v="7"/>
    <x v="2"/>
    <x v="2"/>
    <s v="Bookshelf"/>
    <x v="0"/>
    <n v="2"/>
    <n v="4986.24"/>
    <n v="4.29"/>
    <n v="9544.66"/>
    <n v="2534.15"/>
    <x v="2"/>
  </r>
  <r>
    <s v="ORD101704"/>
    <x v="621"/>
    <x v="9"/>
    <x v="8"/>
    <x v="3"/>
    <x v="3"/>
    <s v="Cricket Bat"/>
    <x v="0"/>
    <n v="8"/>
    <n v="9268.7900000000009"/>
    <n v="16.75"/>
    <n v="61730.14"/>
    <n v="6947.8"/>
    <x v="0"/>
  </r>
  <r>
    <s v="ORD101705"/>
    <x v="622"/>
    <x v="2"/>
    <x v="9"/>
    <x v="3"/>
    <x v="1"/>
    <s v="Jeans"/>
    <x v="2"/>
    <n v="2"/>
    <n v="6346.36"/>
    <n v="16.489999999999998"/>
    <n v="10599.69"/>
    <n v="2332.08"/>
    <x v="0"/>
  </r>
  <r>
    <s v="ORD101706"/>
    <x v="622"/>
    <x v="12"/>
    <x v="10"/>
    <x v="0"/>
    <x v="0"/>
    <s v="Snacks"/>
    <x v="2"/>
    <n v="8"/>
    <n v="435.62"/>
    <n v="9.77"/>
    <n v="3144.48"/>
    <n v="611.04"/>
    <x v="3"/>
  </r>
  <r>
    <s v="ORD101707"/>
    <x v="623"/>
    <x v="13"/>
    <x v="11"/>
    <x v="1"/>
    <x v="1"/>
    <s v="Jeans"/>
    <x v="0"/>
    <n v="10"/>
    <n v="4725.62"/>
    <n v="9.84"/>
    <n v="42606.19"/>
    <n v="10868.25"/>
    <x v="2"/>
  </r>
  <r>
    <s v="ORD101708"/>
    <x v="623"/>
    <x v="8"/>
    <x v="12"/>
    <x v="1"/>
    <x v="5"/>
    <s v="Smartphone"/>
    <x v="1"/>
    <n v="1"/>
    <n v="30370.32"/>
    <n v="8.4600000000000009"/>
    <n v="27800.99"/>
    <n v="7373.31"/>
    <x v="2"/>
  </r>
  <r>
    <s v="ORD101709"/>
    <x v="623"/>
    <x v="0"/>
    <x v="13"/>
    <x v="3"/>
    <x v="4"/>
    <s v="Novel"/>
    <x v="0"/>
    <n v="4"/>
    <n v="2245.09"/>
    <n v="7.7"/>
    <n v="8288.8700000000008"/>
    <n v="912.32"/>
    <x v="3"/>
  </r>
  <r>
    <s v="ORD101710"/>
    <x v="624"/>
    <x v="4"/>
    <x v="14"/>
    <x v="3"/>
    <x v="0"/>
    <s v="Tea"/>
    <x v="2"/>
    <n v="1"/>
    <n v="2106.56"/>
    <n v="29.87"/>
    <n v="1477.33"/>
    <n v="78.92"/>
    <x v="3"/>
  </r>
  <r>
    <s v="ORD101711"/>
    <x v="624"/>
    <x v="3"/>
    <x v="0"/>
    <x v="2"/>
    <x v="5"/>
    <s v="Laptop"/>
    <x v="0"/>
    <n v="5"/>
    <n v="74394.490000000005"/>
    <n v="22.7"/>
    <n v="287534.7"/>
    <n v="18108.3"/>
    <x v="0"/>
  </r>
  <r>
    <s v="ORD101712"/>
    <x v="624"/>
    <x v="11"/>
    <x v="1"/>
    <x v="3"/>
    <x v="5"/>
    <s v="Smartphone"/>
    <x v="2"/>
    <n v="7"/>
    <n v="70180.61"/>
    <n v="25.56"/>
    <n v="365697.12"/>
    <n v="106498.59"/>
    <x v="4"/>
  </r>
  <r>
    <s v="ORD101713"/>
    <x v="625"/>
    <x v="14"/>
    <x v="2"/>
    <x v="3"/>
    <x v="1"/>
    <s v="Shoes"/>
    <x v="1"/>
    <n v="9"/>
    <n v="368.41"/>
    <n v="1.1000000000000001"/>
    <n v="3279.22"/>
    <n v="653.16"/>
    <x v="2"/>
  </r>
  <r>
    <s v="ORD101714"/>
    <x v="625"/>
    <x v="6"/>
    <x v="3"/>
    <x v="4"/>
    <x v="4"/>
    <s v="Notebook"/>
    <x v="1"/>
    <n v="6"/>
    <n v="395.81"/>
    <n v="24.17"/>
    <n v="1800.86"/>
    <n v="94.2"/>
    <x v="4"/>
  </r>
  <r>
    <s v="ORD101715"/>
    <x v="625"/>
    <x v="11"/>
    <x v="4"/>
    <x v="4"/>
    <x v="0"/>
    <s v="Coffee"/>
    <x v="0"/>
    <n v="10"/>
    <n v="589.23"/>
    <n v="28.53"/>
    <n v="4211.2299999999996"/>
    <n v="1097.5"/>
    <x v="0"/>
  </r>
  <r>
    <s v="ORD101716"/>
    <x v="626"/>
    <x v="9"/>
    <x v="5"/>
    <x v="2"/>
    <x v="4"/>
    <s v="Textbook"/>
    <x v="0"/>
    <n v="3"/>
    <n v="183.38"/>
    <n v="14.06"/>
    <n v="472.79"/>
    <n v="70.760000000000005"/>
    <x v="3"/>
  </r>
  <r>
    <s v="ORD101717"/>
    <x v="626"/>
    <x v="6"/>
    <x v="6"/>
    <x v="4"/>
    <x v="3"/>
    <s v="Cricket Bat"/>
    <x v="1"/>
    <n v="1"/>
    <n v="6320.67"/>
    <n v="28.89"/>
    <n v="4494.63"/>
    <n v="1159.0899999999999"/>
    <x v="0"/>
  </r>
  <r>
    <s v="ORD101718"/>
    <x v="627"/>
    <x v="7"/>
    <x v="7"/>
    <x v="3"/>
    <x v="0"/>
    <s v="Tea"/>
    <x v="0"/>
    <n v="1"/>
    <n v="1165.52"/>
    <n v="0.77"/>
    <n v="1156.55"/>
    <n v="268.11"/>
    <x v="1"/>
  </r>
  <r>
    <s v="ORD101719"/>
    <x v="627"/>
    <x v="14"/>
    <x v="8"/>
    <x v="4"/>
    <x v="5"/>
    <s v="Keyboard"/>
    <x v="0"/>
    <n v="7"/>
    <n v="16459.22"/>
    <n v="12.35"/>
    <n v="100985.54"/>
    <n v="20218.38"/>
    <x v="1"/>
  </r>
  <r>
    <s v="ORD101720"/>
    <x v="627"/>
    <x v="8"/>
    <x v="9"/>
    <x v="0"/>
    <x v="2"/>
    <s v="Sofa"/>
    <x v="1"/>
    <n v="3"/>
    <n v="13077.54"/>
    <n v="8.91"/>
    <n v="35736.99"/>
    <n v="4518.97"/>
    <x v="2"/>
  </r>
  <r>
    <s v="ORD101721"/>
    <x v="628"/>
    <x v="4"/>
    <x v="10"/>
    <x v="1"/>
    <x v="4"/>
    <s v="Dictionary"/>
    <x v="0"/>
    <n v="10"/>
    <n v="717.08"/>
    <n v="18.54"/>
    <n v="5841.33"/>
    <n v="963.92"/>
    <x v="1"/>
  </r>
  <r>
    <s v="ORD101722"/>
    <x v="628"/>
    <x v="4"/>
    <x v="11"/>
    <x v="0"/>
    <x v="4"/>
    <s v="Dictionary"/>
    <x v="1"/>
    <n v="4"/>
    <n v="1338.52"/>
    <n v="10.38"/>
    <n v="4798.33"/>
    <n v="1046.31"/>
    <x v="0"/>
  </r>
  <r>
    <s v="ORD101723"/>
    <x v="628"/>
    <x v="9"/>
    <x v="12"/>
    <x v="4"/>
    <x v="3"/>
    <s v="Yoga Mat"/>
    <x v="2"/>
    <n v="7"/>
    <n v="7902.8"/>
    <n v="21.34"/>
    <n v="43514.400000000001"/>
    <n v="3781.79"/>
    <x v="0"/>
  </r>
  <r>
    <s v="ORD101724"/>
    <x v="629"/>
    <x v="9"/>
    <x v="13"/>
    <x v="0"/>
    <x v="3"/>
    <s v="Football"/>
    <x v="1"/>
    <n v="1"/>
    <n v="6896.94"/>
    <n v="21.73"/>
    <n v="5398.23"/>
    <n v="1478.31"/>
    <x v="1"/>
  </r>
  <r>
    <s v="ORD101725"/>
    <x v="629"/>
    <x v="5"/>
    <x v="14"/>
    <x v="1"/>
    <x v="2"/>
    <s v="Desk"/>
    <x v="2"/>
    <n v="9"/>
    <n v="10940.4"/>
    <n v="24.41"/>
    <n v="74428.639999999999"/>
    <n v="15231.76"/>
    <x v="1"/>
  </r>
  <r>
    <s v="ORD101726"/>
    <x v="629"/>
    <x v="4"/>
    <x v="0"/>
    <x v="1"/>
    <x v="2"/>
    <s v="Office Chair"/>
    <x v="1"/>
    <n v="3"/>
    <n v="34389.08"/>
    <n v="6.92"/>
    <n v="96028.07"/>
    <n v="25177.03"/>
    <x v="0"/>
  </r>
  <r>
    <s v="ORD101727"/>
    <x v="630"/>
    <x v="7"/>
    <x v="1"/>
    <x v="1"/>
    <x v="5"/>
    <s v="Headphones"/>
    <x v="1"/>
    <n v="9"/>
    <n v="59852.05"/>
    <n v="24.14"/>
    <n v="408633.89"/>
    <n v="95670.82"/>
    <x v="1"/>
  </r>
  <r>
    <s v="ORD101728"/>
    <x v="630"/>
    <x v="3"/>
    <x v="2"/>
    <x v="1"/>
    <x v="2"/>
    <s v="Office Chair"/>
    <x v="1"/>
    <n v="2"/>
    <n v="25417.01"/>
    <n v="12.47"/>
    <n v="44495.02"/>
    <n v="12956.42"/>
    <x v="4"/>
  </r>
  <r>
    <s v="ORD101729"/>
    <x v="631"/>
    <x v="14"/>
    <x v="3"/>
    <x v="2"/>
    <x v="5"/>
    <s v="Smartphone"/>
    <x v="0"/>
    <n v="6"/>
    <n v="25127.48"/>
    <n v="26.19"/>
    <n v="111279.56"/>
    <n v="14936.88"/>
    <x v="4"/>
  </r>
  <r>
    <s v="ORD101730"/>
    <x v="631"/>
    <x v="7"/>
    <x v="4"/>
    <x v="3"/>
    <x v="4"/>
    <s v="Notebook"/>
    <x v="2"/>
    <n v="5"/>
    <n v="769.21"/>
    <n v="2.8"/>
    <n v="3738.36"/>
    <n v="384"/>
    <x v="2"/>
  </r>
  <r>
    <s v="ORD101731"/>
    <x v="631"/>
    <x v="9"/>
    <x v="5"/>
    <x v="1"/>
    <x v="2"/>
    <s v="Sofa"/>
    <x v="1"/>
    <n v="1"/>
    <n v="34177.599999999999"/>
    <n v="21.09"/>
    <n v="26969.54"/>
    <n v="1933.33"/>
    <x v="2"/>
  </r>
  <r>
    <s v="ORD101732"/>
    <x v="632"/>
    <x v="2"/>
    <x v="6"/>
    <x v="0"/>
    <x v="5"/>
    <s v="Laptop"/>
    <x v="0"/>
    <n v="3"/>
    <n v="32452.65"/>
    <n v="19.399999999999999"/>
    <n v="78470.509999999995"/>
    <n v="10803.79"/>
    <x v="0"/>
  </r>
  <r>
    <s v="ORD101733"/>
    <x v="632"/>
    <x v="3"/>
    <x v="7"/>
    <x v="0"/>
    <x v="5"/>
    <s v="Smartphone"/>
    <x v="2"/>
    <n v="8"/>
    <n v="46969.46"/>
    <n v="13.38"/>
    <n v="325479.57"/>
    <n v="34401.089999999997"/>
    <x v="1"/>
  </r>
  <r>
    <s v="ORD101734"/>
    <x v="632"/>
    <x v="11"/>
    <x v="8"/>
    <x v="3"/>
    <x v="4"/>
    <s v="Dictionary"/>
    <x v="0"/>
    <n v="2"/>
    <n v="590.24"/>
    <n v="16.36"/>
    <n v="987.35"/>
    <n v="238.29"/>
    <x v="1"/>
  </r>
  <r>
    <s v="ORD101735"/>
    <x v="633"/>
    <x v="3"/>
    <x v="9"/>
    <x v="3"/>
    <x v="2"/>
    <s v="Desk"/>
    <x v="1"/>
    <n v="6"/>
    <n v="24726.98"/>
    <n v="1.21"/>
    <n v="146566.70000000001"/>
    <n v="35245.47"/>
    <x v="2"/>
  </r>
  <r>
    <s v="ORD101736"/>
    <x v="633"/>
    <x v="5"/>
    <x v="10"/>
    <x v="1"/>
    <x v="2"/>
    <s v="Office Chair"/>
    <x v="1"/>
    <n v="7"/>
    <n v="1373.84"/>
    <n v="8.52"/>
    <n v="8797.52"/>
    <n v="702.26"/>
    <x v="2"/>
  </r>
  <r>
    <s v="ORD101737"/>
    <x v="633"/>
    <x v="12"/>
    <x v="11"/>
    <x v="3"/>
    <x v="0"/>
    <s v="Tea"/>
    <x v="0"/>
    <n v="4"/>
    <n v="264.04000000000002"/>
    <n v="10.64"/>
    <n v="943.78"/>
    <n v="53.61"/>
    <x v="4"/>
  </r>
  <r>
    <s v="ORD101738"/>
    <x v="634"/>
    <x v="10"/>
    <x v="12"/>
    <x v="1"/>
    <x v="0"/>
    <s v="Cooking Oil"/>
    <x v="0"/>
    <n v="3"/>
    <n v="1973.32"/>
    <n v="14.61"/>
    <n v="5055.05"/>
    <n v="1251.6500000000001"/>
    <x v="0"/>
  </r>
  <r>
    <s v="ORD101739"/>
    <x v="634"/>
    <x v="14"/>
    <x v="13"/>
    <x v="3"/>
    <x v="1"/>
    <s v="Jeans"/>
    <x v="1"/>
    <n v="5"/>
    <n v="7473.54"/>
    <n v="22.11"/>
    <n v="29105.7"/>
    <n v="6505.03"/>
    <x v="3"/>
  </r>
  <r>
    <s v="ORD101740"/>
    <x v="635"/>
    <x v="4"/>
    <x v="14"/>
    <x v="1"/>
    <x v="3"/>
    <s v="Badminton Racket"/>
    <x v="0"/>
    <n v="7"/>
    <n v="9531.93"/>
    <n v="13.28"/>
    <n v="57862.63"/>
    <n v="12886.12"/>
    <x v="2"/>
  </r>
  <r>
    <s v="ORD101741"/>
    <x v="635"/>
    <x v="9"/>
    <x v="0"/>
    <x v="0"/>
    <x v="1"/>
    <s v="Jacket"/>
    <x v="0"/>
    <n v="6"/>
    <n v="4808.46"/>
    <n v="10.44"/>
    <n v="25838.74"/>
    <n v="5538.49"/>
    <x v="4"/>
  </r>
  <r>
    <s v="ORD101742"/>
    <x v="635"/>
    <x v="9"/>
    <x v="1"/>
    <x v="4"/>
    <x v="1"/>
    <s v="Shoes"/>
    <x v="0"/>
    <n v="9"/>
    <n v="896.89"/>
    <n v="5.72"/>
    <n v="7610.29"/>
    <n v="991.19"/>
    <x v="1"/>
  </r>
  <r>
    <s v="ORD101743"/>
    <x v="636"/>
    <x v="14"/>
    <x v="2"/>
    <x v="0"/>
    <x v="3"/>
    <s v="Football"/>
    <x v="0"/>
    <n v="2"/>
    <n v="1521.77"/>
    <n v="0.78"/>
    <n v="3019.8"/>
    <n v="266.35000000000002"/>
    <x v="1"/>
  </r>
  <r>
    <s v="ORD101744"/>
    <x v="636"/>
    <x v="8"/>
    <x v="3"/>
    <x v="4"/>
    <x v="0"/>
    <s v="Snacks"/>
    <x v="0"/>
    <n v="6"/>
    <n v="615.51"/>
    <n v="27.34"/>
    <n v="2683.38"/>
    <n v="147.12"/>
    <x v="2"/>
  </r>
  <r>
    <s v="ORD101745"/>
    <x v="636"/>
    <x v="10"/>
    <x v="4"/>
    <x v="4"/>
    <x v="5"/>
    <s v="Laptop"/>
    <x v="0"/>
    <n v="7"/>
    <n v="18268.150000000001"/>
    <n v="25.42"/>
    <n v="95370.7"/>
    <n v="16497.71"/>
    <x v="4"/>
  </r>
  <r>
    <s v="ORD101746"/>
    <x v="637"/>
    <x v="5"/>
    <x v="5"/>
    <x v="0"/>
    <x v="3"/>
    <s v="Football"/>
    <x v="2"/>
    <n v="2"/>
    <n v="8935.17"/>
    <n v="13.49"/>
    <n v="15459.63"/>
    <n v="2897.93"/>
    <x v="1"/>
  </r>
  <r>
    <s v="ORD101747"/>
    <x v="637"/>
    <x v="3"/>
    <x v="6"/>
    <x v="1"/>
    <x v="5"/>
    <s v="Laptop"/>
    <x v="2"/>
    <n v="6"/>
    <n v="42463.59"/>
    <n v="8.26"/>
    <n v="233736.58"/>
    <n v="62202.54"/>
    <x v="3"/>
  </r>
  <r>
    <s v="ORD101748"/>
    <x v="637"/>
    <x v="8"/>
    <x v="7"/>
    <x v="4"/>
    <x v="0"/>
    <s v="Coffee"/>
    <x v="1"/>
    <n v="9"/>
    <n v="406.18"/>
    <n v="9.7799999999999994"/>
    <n v="3298.1"/>
    <n v="629.1"/>
    <x v="1"/>
  </r>
  <r>
    <s v="ORD101749"/>
    <x v="638"/>
    <x v="5"/>
    <x v="8"/>
    <x v="4"/>
    <x v="3"/>
    <s v="Football"/>
    <x v="2"/>
    <n v="10"/>
    <n v="2652.03"/>
    <n v="21.73"/>
    <n v="20757.439999999999"/>
    <n v="4021.89"/>
    <x v="3"/>
  </r>
  <r>
    <s v="ORD101750"/>
    <x v="638"/>
    <x v="10"/>
    <x v="9"/>
    <x v="0"/>
    <x v="4"/>
    <s v="Comics"/>
    <x v="1"/>
    <n v="8"/>
    <n v="1424.09"/>
    <n v="9.5"/>
    <n v="10310.41"/>
    <n v="841.19"/>
    <x v="0"/>
  </r>
  <r>
    <s v="ORD101751"/>
    <x v="639"/>
    <x v="11"/>
    <x v="10"/>
    <x v="2"/>
    <x v="4"/>
    <s v="Novel"/>
    <x v="2"/>
    <n v="9"/>
    <n v="2248.08"/>
    <n v="20.98"/>
    <n v="15987.9"/>
    <n v="3737.63"/>
    <x v="1"/>
  </r>
  <r>
    <s v="ORD101752"/>
    <x v="639"/>
    <x v="1"/>
    <x v="11"/>
    <x v="0"/>
    <x v="0"/>
    <s v="Snacks"/>
    <x v="0"/>
    <n v="2"/>
    <n v="785.59"/>
    <n v="24.51"/>
    <n v="1186.08"/>
    <n v="92.07"/>
    <x v="0"/>
  </r>
  <r>
    <s v="ORD101753"/>
    <x v="639"/>
    <x v="5"/>
    <x v="12"/>
    <x v="3"/>
    <x v="3"/>
    <s v="Cricket Bat"/>
    <x v="0"/>
    <n v="6"/>
    <n v="3369.98"/>
    <n v="10.55"/>
    <n v="18086.68"/>
    <n v="1190.6400000000001"/>
    <x v="1"/>
  </r>
  <r>
    <s v="ORD101754"/>
    <x v="640"/>
    <x v="9"/>
    <x v="13"/>
    <x v="1"/>
    <x v="1"/>
    <s v="Shoes"/>
    <x v="0"/>
    <n v="4"/>
    <n v="5487.88"/>
    <n v="21.88"/>
    <n v="17148.53"/>
    <n v="3817.92"/>
    <x v="0"/>
  </r>
  <r>
    <s v="ORD101755"/>
    <x v="640"/>
    <x v="13"/>
    <x v="14"/>
    <x v="1"/>
    <x v="3"/>
    <s v="Cricket Bat"/>
    <x v="2"/>
    <n v="6"/>
    <n v="4265.34"/>
    <n v="13.01"/>
    <n v="22262.52"/>
    <n v="3713.24"/>
    <x v="0"/>
  </r>
  <r>
    <s v="ORD101756"/>
    <x v="640"/>
    <x v="4"/>
    <x v="0"/>
    <x v="0"/>
    <x v="1"/>
    <s v="Dress"/>
    <x v="1"/>
    <n v="2"/>
    <n v="4619.1400000000003"/>
    <n v="6.73"/>
    <n v="8616.5400000000009"/>
    <n v="1529.92"/>
    <x v="2"/>
  </r>
  <r>
    <s v="ORD101757"/>
    <x v="641"/>
    <x v="14"/>
    <x v="1"/>
    <x v="2"/>
    <x v="2"/>
    <s v="Office Chair"/>
    <x v="2"/>
    <n v="8"/>
    <n v="25936.240000000002"/>
    <n v="26.19"/>
    <n v="153148.31"/>
    <n v="23335.83"/>
    <x v="3"/>
  </r>
  <r>
    <s v="ORD101758"/>
    <x v="641"/>
    <x v="8"/>
    <x v="2"/>
    <x v="1"/>
    <x v="1"/>
    <s v="Jacket"/>
    <x v="2"/>
    <n v="2"/>
    <n v="6927.61"/>
    <n v="0.46"/>
    <n v="13791.49"/>
    <n v="1059.31"/>
    <x v="1"/>
  </r>
  <r>
    <s v="ORD101759"/>
    <x v="641"/>
    <x v="7"/>
    <x v="3"/>
    <x v="1"/>
    <x v="5"/>
    <s v="Smartphone"/>
    <x v="1"/>
    <n v="1"/>
    <n v="26939.59"/>
    <n v="28.35"/>
    <n v="19302.22"/>
    <n v="1030.6500000000001"/>
    <x v="0"/>
  </r>
  <r>
    <s v="ORD101760"/>
    <x v="642"/>
    <x v="10"/>
    <x v="4"/>
    <x v="1"/>
    <x v="0"/>
    <s v="Tea"/>
    <x v="1"/>
    <n v="9"/>
    <n v="2800.19"/>
    <n v="26.29"/>
    <n v="18576.18"/>
    <n v="2412.04"/>
    <x v="3"/>
  </r>
  <r>
    <s v="ORD101761"/>
    <x v="642"/>
    <x v="2"/>
    <x v="5"/>
    <x v="2"/>
    <x v="0"/>
    <s v="Coffee"/>
    <x v="1"/>
    <n v="8"/>
    <n v="2631.8"/>
    <n v="10.42"/>
    <n v="18860.53"/>
    <n v="3592.45"/>
    <x v="0"/>
  </r>
  <r>
    <s v="ORD101762"/>
    <x v="643"/>
    <x v="11"/>
    <x v="6"/>
    <x v="0"/>
    <x v="4"/>
    <s v="Comics"/>
    <x v="2"/>
    <n v="1"/>
    <n v="143.69"/>
    <n v="3.86"/>
    <n v="138.13999999999999"/>
    <n v="24.04"/>
    <x v="1"/>
  </r>
  <r>
    <s v="ORD101763"/>
    <x v="643"/>
    <x v="8"/>
    <x v="7"/>
    <x v="4"/>
    <x v="1"/>
    <s v="Jacket"/>
    <x v="2"/>
    <n v="1"/>
    <n v="5046.05"/>
    <n v="7.01"/>
    <n v="4692.32"/>
    <n v="870.89"/>
    <x v="4"/>
  </r>
  <r>
    <s v="ORD101764"/>
    <x v="643"/>
    <x v="14"/>
    <x v="8"/>
    <x v="3"/>
    <x v="3"/>
    <s v="Yoga Mat"/>
    <x v="1"/>
    <n v="2"/>
    <n v="4688.54"/>
    <n v="25.94"/>
    <n v="6944.67"/>
    <n v="1954.94"/>
    <x v="0"/>
  </r>
  <r>
    <s v="ORD101765"/>
    <x v="644"/>
    <x v="6"/>
    <x v="9"/>
    <x v="2"/>
    <x v="3"/>
    <s v="Cricket Bat"/>
    <x v="0"/>
    <n v="3"/>
    <n v="4010.19"/>
    <n v="3.57"/>
    <n v="11601.08"/>
    <n v="813.36"/>
    <x v="1"/>
  </r>
  <r>
    <s v="ORD101766"/>
    <x v="644"/>
    <x v="6"/>
    <x v="10"/>
    <x v="0"/>
    <x v="4"/>
    <s v="Novel"/>
    <x v="2"/>
    <n v="1"/>
    <n v="2454.2800000000002"/>
    <n v="19.350000000000001"/>
    <n v="1979.38"/>
    <n v="531.66"/>
    <x v="4"/>
  </r>
  <r>
    <s v="ORD101767"/>
    <x v="644"/>
    <x v="0"/>
    <x v="11"/>
    <x v="1"/>
    <x v="5"/>
    <s v="Laptop"/>
    <x v="2"/>
    <n v="6"/>
    <n v="8264.4699999999993"/>
    <n v="3.05"/>
    <n v="48074.42"/>
    <n v="10875.6"/>
    <x v="3"/>
  </r>
  <r>
    <s v="ORD101768"/>
    <x v="645"/>
    <x v="2"/>
    <x v="12"/>
    <x v="2"/>
    <x v="1"/>
    <s v="Jeans"/>
    <x v="1"/>
    <n v="4"/>
    <n v="2393.54"/>
    <n v="15.29"/>
    <n v="8110.27"/>
    <n v="761.26"/>
    <x v="0"/>
  </r>
  <r>
    <s v="ORD101769"/>
    <x v="645"/>
    <x v="6"/>
    <x v="13"/>
    <x v="3"/>
    <x v="3"/>
    <s v="Yoga Mat"/>
    <x v="0"/>
    <n v="9"/>
    <n v="7635"/>
    <n v="2.93"/>
    <n v="66701.649999999994"/>
    <n v="4006.18"/>
    <x v="0"/>
  </r>
  <r>
    <s v="ORD101770"/>
    <x v="646"/>
    <x v="8"/>
    <x v="14"/>
    <x v="2"/>
    <x v="2"/>
    <s v="Bookshelf"/>
    <x v="2"/>
    <n v="10"/>
    <n v="19719.34"/>
    <n v="24.81"/>
    <n v="148269.72"/>
    <n v="37702.29"/>
    <x v="0"/>
  </r>
  <r>
    <s v="ORD101771"/>
    <x v="646"/>
    <x v="0"/>
    <x v="0"/>
    <x v="3"/>
    <x v="2"/>
    <s v="Desk"/>
    <x v="0"/>
    <n v="8"/>
    <n v="4196.78"/>
    <n v="12.95"/>
    <n v="29226.38"/>
    <n v="7513.54"/>
    <x v="1"/>
  </r>
  <r>
    <s v="ORD101772"/>
    <x v="646"/>
    <x v="14"/>
    <x v="1"/>
    <x v="2"/>
    <x v="1"/>
    <s v="Jacket"/>
    <x v="2"/>
    <n v="7"/>
    <n v="768.01"/>
    <n v="26.95"/>
    <n v="3927.22"/>
    <n v="495.27"/>
    <x v="2"/>
  </r>
  <r>
    <s v="ORD101773"/>
    <x v="647"/>
    <x v="3"/>
    <x v="2"/>
    <x v="0"/>
    <x v="4"/>
    <s v="Comics"/>
    <x v="2"/>
    <n v="7"/>
    <n v="1777.01"/>
    <n v="20.77"/>
    <n v="9855.48"/>
    <n v="1740.08"/>
    <x v="3"/>
  </r>
  <r>
    <s v="ORD101774"/>
    <x v="647"/>
    <x v="12"/>
    <x v="3"/>
    <x v="3"/>
    <x v="5"/>
    <s v="Monitor"/>
    <x v="1"/>
    <n v="4"/>
    <n v="51105.29"/>
    <n v="20.68"/>
    <n v="162146.85999999999"/>
    <n v="35169.949999999997"/>
    <x v="3"/>
  </r>
  <r>
    <s v="ORD101775"/>
    <x v="647"/>
    <x v="9"/>
    <x v="4"/>
    <x v="0"/>
    <x v="4"/>
    <s v="Novel"/>
    <x v="2"/>
    <n v="3"/>
    <n v="196.59"/>
    <n v="7.08"/>
    <n v="548.01"/>
    <n v="78.66"/>
    <x v="3"/>
  </r>
  <r>
    <s v="ORD101776"/>
    <x v="648"/>
    <x v="14"/>
    <x v="5"/>
    <x v="3"/>
    <x v="4"/>
    <s v="Notebook"/>
    <x v="2"/>
    <n v="1"/>
    <n v="1957.65"/>
    <n v="1.29"/>
    <n v="1932.4"/>
    <n v="303.38"/>
    <x v="2"/>
  </r>
  <r>
    <s v="ORD101777"/>
    <x v="648"/>
    <x v="14"/>
    <x v="6"/>
    <x v="1"/>
    <x v="4"/>
    <s v="Notebook"/>
    <x v="0"/>
    <n v="8"/>
    <n v="1628.13"/>
    <n v="26.56"/>
    <n v="9565.59"/>
    <n v="2100.77"/>
    <x v="4"/>
  </r>
  <r>
    <s v="ORD101778"/>
    <x v="648"/>
    <x v="5"/>
    <x v="7"/>
    <x v="1"/>
    <x v="3"/>
    <s v="Badminton Racket"/>
    <x v="2"/>
    <n v="4"/>
    <n v="9358.2800000000007"/>
    <n v="21.42"/>
    <n v="29414.95"/>
    <n v="1741.32"/>
    <x v="2"/>
  </r>
  <r>
    <s v="ORD101779"/>
    <x v="649"/>
    <x v="5"/>
    <x v="8"/>
    <x v="3"/>
    <x v="2"/>
    <s v="Table"/>
    <x v="1"/>
    <n v="4"/>
    <n v="33806.57"/>
    <n v="25.91"/>
    <n v="100189.15"/>
    <n v="8097.45"/>
    <x v="4"/>
  </r>
  <r>
    <s v="ORD101780"/>
    <x v="649"/>
    <x v="10"/>
    <x v="9"/>
    <x v="4"/>
    <x v="4"/>
    <s v="Comics"/>
    <x v="2"/>
    <n v="7"/>
    <n v="1158.1099999999999"/>
    <n v="26.65"/>
    <n v="5946.32"/>
    <n v="1500.7"/>
    <x v="4"/>
  </r>
  <r>
    <s v="ORD101781"/>
    <x v="650"/>
    <x v="8"/>
    <x v="10"/>
    <x v="3"/>
    <x v="3"/>
    <s v="Yoga Mat"/>
    <x v="2"/>
    <n v="7"/>
    <n v="1603.01"/>
    <n v="28.35"/>
    <n v="8039.9"/>
    <n v="2385.46"/>
    <x v="4"/>
  </r>
  <r>
    <s v="ORD101782"/>
    <x v="650"/>
    <x v="0"/>
    <x v="11"/>
    <x v="0"/>
    <x v="0"/>
    <s v="Snacks"/>
    <x v="0"/>
    <n v="4"/>
    <n v="2104.2199999999998"/>
    <n v="23.14"/>
    <n v="6469.21"/>
    <n v="1605.15"/>
    <x v="1"/>
  </r>
  <r>
    <s v="ORD101783"/>
    <x v="650"/>
    <x v="9"/>
    <x v="12"/>
    <x v="2"/>
    <x v="4"/>
    <s v="Textbook"/>
    <x v="2"/>
    <n v="5"/>
    <n v="152.88999999999999"/>
    <n v="1.21"/>
    <n v="755.2"/>
    <n v="193.92"/>
    <x v="3"/>
  </r>
  <r>
    <s v="ORD101784"/>
    <x v="651"/>
    <x v="8"/>
    <x v="13"/>
    <x v="1"/>
    <x v="1"/>
    <s v="Jacket"/>
    <x v="1"/>
    <n v="5"/>
    <n v="6303.18"/>
    <n v="26.25"/>
    <n v="23242.98"/>
    <n v="5267.61"/>
    <x v="4"/>
  </r>
  <r>
    <s v="ORD101785"/>
    <x v="651"/>
    <x v="9"/>
    <x v="14"/>
    <x v="0"/>
    <x v="4"/>
    <s v="Textbook"/>
    <x v="1"/>
    <n v="3"/>
    <n v="1715.22"/>
    <n v="9.14"/>
    <n v="4675.3500000000004"/>
    <n v="275.41000000000003"/>
    <x v="2"/>
  </r>
  <r>
    <s v="ORD101786"/>
    <x v="651"/>
    <x v="4"/>
    <x v="0"/>
    <x v="0"/>
    <x v="2"/>
    <s v="Office Chair"/>
    <x v="1"/>
    <n v="7"/>
    <n v="32765.81"/>
    <n v="19.350000000000001"/>
    <n v="184979.38"/>
    <n v="26175.29"/>
    <x v="0"/>
  </r>
  <r>
    <s v="ORD101787"/>
    <x v="652"/>
    <x v="2"/>
    <x v="1"/>
    <x v="2"/>
    <x v="0"/>
    <s v="Rice"/>
    <x v="0"/>
    <n v="3"/>
    <n v="394.77"/>
    <n v="18.170000000000002"/>
    <n v="969.12"/>
    <n v="286.74"/>
    <x v="0"/>
  </r>
  <r>
    <s v="ORD101788"/>
    <x v="652"/>
    <x v="0"/>
    <x v="2"/>
    <x v="3"/>
    <x v="5"/>
    <s v="Laptop"/>
    <x v="0"/>
    <n v="1"/>
    <n v="47684.59"/>
    <n v="6.22"/>
    <n v="44718.61"/>
    <n v="5166.46"/>
    <x v="0"/>
  </r>
  <r>
    <s v="ORD101789"/>
    <x v="652"/>
    <x v="6"/>
    <x v="3"/>
    <x v="4"/>
    <x v="3"/>
    <s v="Yoga Mat"/>
    <x v="0"/>
    <n v="9"/>
    <n v="6182.96"/>
    <n v="6.74"/>
    <n v="51896.06"/>
    <n v="10548.55"/>
    <x v="4"/>
  </r>
  <r>
    <s v="ORD101790"/>
    <x v="653"/>
    <x v="13"/>
    <x v="4"/>
    <x v="3"/>
    <x v="4"/>
    <s v="Notebook"/>
    <x v="0"/>
    <n v="10"/>
    <n v="1436.72"/>
    <n v="4"/>
    <n v="13792.51"/>
    <n v="1680.81"/>
    <x v="2"/>
  </r>
  <r>
    <s v="ORD101791"/>
    <x v="653"/>
    <x v="12"/>
    <x v="5"/>
    <x v="2"/>
    <x v="0"/>
    <s v="Coffee"/>
    <x v="1"/>
    <n v="3"/>
    <n v="1474.47"/>
    <n v="5.53"/>
    <n v="4178.8"/>
    <n v="723.11"/>
    <x v="1"/>
  </r>
  <r>
    <s v="ORD101792"/>
    <x v="654"/>
    <x v="0"/>
    <x v="6"/>
    <x v="4"/>
    <x v="3"/>
    <s v="Cricket Bat"/>
    <x v="2"/>
    <n v="2"/>
    <n v="1874.87"/>
    <n v="12.98"/>
    <n v="3263.02"/>
    <n v="453.8"/>
    <x v="1"/>
  </r>
  <r>
    <s v="ORD101793"/>
    <x v="654"/>
    <x v="8"/>
    <x v="7"/>
    <x v="0"/>
    <x v="4"/>
    <s v="Comics"/>
    <x v="2"/>
    <n v="10"/>
    <n v="936.87"/>
    <n v="12"/>
    <n v="8244.4599999999991"/>
    <n v="2254.9699999999998"/>
    <x v="3"/>
  </r>
  <r>
    <s v="ORD101794"/>
    <x v="654"/>
    <x v="11"/>
    <x v="8"/>
    <x v="3"/>
    <x v="4"/>
    <s v="Novel"/>
    <x v="0"/>
    <n v="6"/>
    <n v="510.54"/>
    <n v="25.81"/>
    <n v="2272.62"/>
    <n v="415.9"/>
    <x v="3"/>
  </r>
  <r>
    <s v="ORD101795"/>
    <x v="655"/>
    <x v="12"/>
    <x v="9"/>
    <x v="0"/>
    <x v="0"/>
    <s v="Cooking Oil"/>
    <x v="0"/>
    <n v="6"/>
    <n v="1123.56"/>
    <n v="1.85"/>
    <n v="6616.64"/>
    <n v="1740.71"/>
    <x v="2"/>
  </r>
  <r>
    <s v="ORD101796"/>
    <x v="655"/>
    <x v="1"/>
    <x v="10"/>
    <x v="2"/>
    <x v="4"/>
    <s v="Dictionary"/>
    <x v="2"/>
    <n v="6"/>
    <n v="1940.14"/>
    <n v="20.12"/>
    <n v="9298.7000000000007"/>
    <n v="580.20000000000005"/>
    <x v="1"/>
  </r>
  <r>
    <s v="ORD101797"/>
    <x v="655"/>
    <x v="7"/>
    <x v="11"/>
    <x v="4"/>
    <x v="2"/>
    <s v="Table"/>
    <x v="2"/>
    <n v="2"/>
    <n v="32405.87"/>
    <n v="4.18"/>
    <n v="62102.61"/>
    <n v="9605.17"/>
    <x v="4"/>
  </r>
  <r>
    <s v="ORD101798"/>
    <x v="656"/>
    <x v="10"/>
    <x v="12"/>
    <x v="1"/>
    <x v="0"/>
    <s v="Tea"/>
    <x v="0"/>
    <n v="5"/>
    <n v="1245.42"/>
    <n v="1.2"/>
    <n v="6152.37"/>
    <n v="1592.26"/>
    <x v="0"/>
  </r>
  <r>
    <s v="ORD101799"/>
    <x v="656"/>
    <x v="6"/>
    <x v="13"/>
    <x v="2"/>
    <x v="3"/>
    <s v="Football"/>
    <x v="1"/>
    <n v="3"/>
    <n v="6243.95"/>
    <n v="9.56"/>
    <n v="16941.09"/>
    <n v="3715.02"/>
    <x v="4"/>
  </r>
  <r>
    <s v="ORD101800"/>
    <x v="656"/>
    <x v="2"/>
    <x v="14"/>
    <x v="0"/>
    <x v="4"/>
    <s v="Novel"/>
    <x v="0"/>
    <n v="3"/>
    <n v="776.94"/>
    <n v="20.69"/>
    <n v="1848.57"/>
    <n v="511.45"/>
    <x v="1"/>
  </r>
  <r>
    <s v="ORD101801"/>
    <x v="657"/>
    <x v="12"/>
    <x v="0"/>
    <x v="2"/>
    <x v="5"/>
    <s v="Laptop"/>
    <x v="0"/>
    <n v="6"/>
    <n v="8723.1"/>
    <n v="6.93"/>
    <n v="48711.54"/>
    <n v="7235.74"/>
    <x v="1"/>
  </r>
  <r>
    <s v="ORD101802"/>
    <x v="657"/>
    <x v="1"/>
    <x v="1"/>
    <x v="4"/>
    <x v="1"/>
    <s v="Shoes"/>
    <x v="0"/>
    <n v="4"/>
    <n v="396.62"/>
    <n v="21.82"/>
    <n v="1240.31"/>
    <n v="157.88999999999999"/>
    <x v="2"/>
  </r>
  <r>
    <s v="ORD101803"/>
    <x v="658"/>
    <x v="11"/>
    <x v="2"/>
    <x v="1"/>
    <x v="3"/>
    <s v="Yoga Mat"/>
    <x v="1"/>
    <n v="3"/>
    <n v="3735.91"/>
    <n v="24.79"/>
    <n v="8429.33"/>
    <n v="1374.27"/>
    <x v="3"/>
  </r>
  <r>
    <s v="ORD101804"/>
    <x v="658"/>
    <x v="14"/>
    <x v="3"/>
    <x v="1"/>
    <x v="3"/>
    <s v="Cricket Bat"/>
    <x v="0"/>
    <n v="1"/>
    <n v="6193.01"/>
    <n v="7.18"/>
    <n v="5748.35"/>
    <n v="1533.95"/>
    <x v="4"/>
  </r>
  <r>
    <s v="ORD101805"/>
    <x v="658"/>
    <x v="11"/>
    <x v="4"/>
    <x v="4"/>
    <x v="1"/>
    <s v="Shoes"/>
    <x v="2"/>
    <n v="4"/>
    <n v="4917.2299999999996"/>
    <n v="17"/>
    <n v="16325.2"/>
    <n v="3486.12"/>
    <x v="2"/>
  </r>
  <r>
    <s v="ORD101806"/>
    <x v="659"/>
    <x v="2"/>
    <x v="5"/>
    <x v="4"/>
    <x v="5"/>
    <s v="Monitor"/>
    <x v="0"/>
    <n v="10"/>
    <n v="45873.45"/>
    <n v="13.28"/>
    <n v="397814.56"/>
    <n v="74748.11"/>
    <x v="4"/>
  </r>
  <r>
    <s v="ORD101807"/>
    <x v="659"/>
    <x v="8"/>
    <x v="6"/>
    <x v="4"/>
    <x v="2"/>
    <s v="Office Chair"/>
    <x v="2"/>
    <n v="8"/>
    <n v="6814.5"/>
    <n v="29.55"/>
    <n v="38406.519999999997"/>
    <n v="10458.92"/>
    <x v="3"/>
  </r>
  <r>
    <s v="ORD101808"/>
    <x v="659"/>
    <x v="3"/>
    <x v="7"/>
    <x v="4"/>
    <x v="3"/>
    <s v="Yoga Mat"/>
    <x v="0"/>
    <n v="4"/>
    <n v="7053.84"/>
    <n v="10.25"/>
    <n v="25323.29"/>
    <n v="4008.53"/>
    <x v="1"/>
  </r>
  <r>
    <s v="ORD101809"/>
    <x v="660"/>
    <x v="4"/>
    <x v="8"/>
    <x v="2"/>
    <x v="2"/>
    <s v="Desk"/>
    <x v="0"/>
    <n v="6"/>
    <n v="2656.37"/>
    <n v="13.88"/>
    <n v="13726"/>
    <n v="2123.9"/>
    <x v="1"/>
  </r>
  <r>
    <s v="ORD101810"/>
    <x v="660"/>
    <x v="5"/>
    <x v="9"/>
    <x v="3"/>
    <x v="3"/>
    <s v="Football"/>
    <x v="1"/>
    <n v="9"/>
    <n v="5991.67"/>
    <n v="2.69"/>
    <n v="52474.45"/>
    <n v="12251"/>
    <x v="0"/>
  </r>
  <r>
    <s v="ORD101811"/>
    <x v="660"/>
    <x v="8"/>
    <x v="10"/>
    <x v="0"/>
    <x v="1"/>
    <s v="Jacket"/>
    <x v="0"/>
    <n v="8"/>
    <n v="1941.36"/>
    <n v="3.5"/>
    <n v="14987.3"/>
    <n v="2305.77"/>
    <x v="0"/>
  </r>
  <r>
    <s v="ORD101812"/>
    <x v="661"/>
    <x v="4"/>
    <x v="11"/>
    <x v="3"/>
    <x v="5"/>
    <s v="Laptop"/>
    <x v="2"/>
    <n v="1"/>
    <n v="61551.040000000001"/>
    <n v="25.59"/>
    <n v="45800.13"/>
    <n v="11208.35"/>
    <x v="1"/>
  </r>
  <r>
    <s v="ORD101813"/>
    <x v="661"/>
    <x v="5"/>
    <x v="12"/>
    <x v="1"/>
    <x v="2"/>
    <s v="Sofa"/>
    <x v="0"/>
    <n v="4"/>
    <n v="14697.1"/>
    <n v="0.62"/>
    <n v="58423.91"/>
    <n v="17190.18"/>
    <x v="1"/>
  </r>
  <r>
    <s v="ORD101814"/>
    <x v="662"/>
    <x v="14"/>
    <x v="13"/>
    <x v="0"/>
    <x v="0"/>
    <s v="Snacks"/>
    <x v="0"/>
    <n v="3"/>
    <n v="1419.89"/>
    <n v="15.48"/>
    <n v="3600.27"/>
    <n v="479.52"/>
    <x v="3"/>
  </r>
  <r>
    <s v="ORD101815"/>
    <x v="662"/>
    <x v="5"/>
    <x v="14"/>
    <x v="3"/>
    <x v="5"/>
    <s v="Monitor"/>
    <x v="2"/>
    <n v="7"/>
    <n v="46175.75"/>
    <n v="9.4600000000000009"/>
    <n v="292652.67"/>
    <n v="52162.47"/>
    <x v="1"/>
  </r>
  <r>
    <s v="ORD101816"/>
    <x v="662"/>
    <x v="4"/>
    <x v="0"/>
    <x v="3"/>
    <x v="0"/>
    <s v="Rice"/>
    <x v="2"/>
    <n v="8"/>
    <n v="101.9"/>
    <n v="8.0399999999999991"/>
    <n v="749.66"/>
    <n v="107.84"/>
    <x v="2"/>
  </r>
  <r>
    <s v="ORD101817"/>
    <x v="663"/>
    <x v="2"/>
    <x v="1"/>
    <x v="2"/>
    <x v="4"/>
    <s v="Textbook"/>
    <x v="0"/>
    <n v="5"/>
    <n v="624.25"/>
    <n v="16.27"/>
    <n v="2613.42"/>
    <n v="373.14"/>
    <x v="2"/>
  </r>
  <r>
    <s v="ORD101818"/>
    <x v="663"/>
    <x v="14"/>
    <x v="2"/>
    <x v="4"/>
    <x v="3"/>
    <s v="Badminton Racket"/>
    <x v="1"/>
    <n v="4"/>
    <n v="5261.82"/>
    <n v="14.53"/>
    <n v="17989.11"/>
    <n v="2891.71"/>
    <x v="0"/>
  </r>
  <r>
    <s v="ORD101819"/>
    <x v="663"/>
    <x v="11"/>
    <x v="3"/>
    <x v="0"/>
    <x v="0"/>
    <s v="Snacks"/>
    <x v="1"/>
    <n v="7"/>
    <n v="454.45"/>
    <n v="16.149999999999999"/>
    <n v="2667.39"/>
    <n v="230.66"/>
    <x v="4"/>
  </r>
  <r>
    <s v="ORD101820"/>
    <x v="664"/>
    <x v="5"/>
    <x v="4"/>
    <x v="3"/>
    <x v="2"/>
    <s v="Desk"/>
    <x v="1"/>
    <n v="4"/>
    <n v="25435.31"/>
    <n v="2.44"/>
    <n v="99258.75"/>
    <n v="26809.03"/>
    <x v="4"/>
  </r>
  <r>
    <s v="ORD101821"/>
    <x v="664"/>
    <x v="9"/>
    <x v="5"/>
    <x v="0"/>
    <x v="0"/>
    <s v="Coffee"/>
    <x v="2"/>
    <n v="1"/>
    <n v="2623.94"/>
    <n v="15.74"/>
    <n v="2210.9299999999998"/>
    <n v="122.84"/>
    <x v="1"/>
  </r>
  <r>
    <s v="ORD101822"/>
    <x v="664"/>
    <x v="6"/>
    <x v="6"/>
    <x v="2"/>
    <x v="3"/>
    <s v="Yoga Mat"/>
    <x v="1"/>
    <n v="4"/>
    <n v="9551.4699999999993"/>
    <n v="11.14"/>
    <n v="33949.74"/>
    <n v="8736.9699999999993"/>
    <x v="2"/>
  </r>
  <r>
    <s v="ORD101823"/>
    <x v="665"/>
    <x v="13"/>
    <x v="7"/>
    <x v="2"/>
    <x v="3"/>
    <s v="Tennis Ball"/>
    <x v="2"/>
    <n v="4"/>
    <n v="3953.08"/>
    <n v="6.11"/>
    <n v="14846.19"/>
    <n v="3132.54"/>
    <x v="3"/>
  </r>
  <r>
    <s v="ORD101824"/>
    <x v="665"/>
    <x v="13"/>
    <x v="8"/>
    <x v="2"/>
    <x v="3"/>
    <s v="Tennis Ball"/>
    <x v="1"/>
    <n v="1"/>
    <n v="5158.8500000000004"/>
    <n v="16.309999999999999"/>
    <n v="4317.4399999999996"/>
    <n v="724.96"/>
    <x v="1"/>
  </r>
  <r>
    <s v="ORD101825"/>
    <x v="666"/>
    <x v="9"/>
    <x v="9"/>
    <x v="0"/>
    <x v="4"/>
    <s v="Dictionary"/>
    <x v="2"/>
    <n v="8"/>
    <n v="837.5"/>
    <n v="16.010000000000002"/>
    <n v="5627.33"/>
    <n v="470.3"/>
    <x v="2"/>
  </r>
  <r>
    <s v="ORD101826"/>
    <x v="666"/>
    <x v="10"/>
    <x v="10"/>
    <x v="4"/>
    <x v="4"/>
    <s v="Textbook"/>
    <x v="2"/>
    <n v="2"/>
    <n v="702.67"/>
    <n v="27.47"/>
    <n v="1019.29"/>
    <n v="268.2"/>
    <x v="4"/>
  </r>
  <r>
    <s v="ORD101827"/>
    <x v="666"/>
    <x v="14"/>
    <x v="11"/>
    <x v="1"/>
    <x v="1"/>
    <s v="Jeans"/>
    <x v="1"/>
    <n v="5"/>
    <n v="1121.24"/>
    <n v="28.93"/>
    <n v="3984.33"/>
    <n v="770.26"/>
    <x v="4"/>
  </r>
  <r>
    <s v="ORD101828"/>
    <x v="667"/>
    <x v="11"/>
    <x v="12"/>
    <x v="2"/>
    <x v="3"/>
    <s v="Football"/>
    <x v="1"/>
    <n v="1"/>
    <n v="3506.66"/>
    <n v="19.68"/>
    <n v="2816.55"/>
    <n v="792.33"/>
    <x v="2"/>
  </r>
  <r>
    <s v="ORD101829"/>
    <x v="667"/>
    <x v="8"/>
    <x v="13"/>
    <x v="2"/>
    <x v="3"/>
    <s v="Badminton Racket"/>
    <x v="1"/>
    <n v="8"/>
    <n v="6016.16"/>
    <n v="12.3"/>
    <n v="42209.38"/>
    <n v="7298.93"/>
    <x v="0"/>
  </r>
  <r>
    <s v="ORD101830"/>
    <x v="667"/>
    <x v="14"/>
    <x v="14"/>
    <x v="0"/>
    <x v="3"/>
    <s v="Tennis Ball"/>
    <x v="2"/>
    <n v="10"/>
    <n v="7292.71"/>
    <n v="0.75"/>
    <n v="72380.149999999994"/>
    <n v="13944.84"/>
    <x v="2"/>
  </r>
  <r>
    <s v="ORD101831"/>
    <x v="668"/>
    <x v="13"/>
    <x v="0"/>
    <x v="2"/>
    <x v="1"/>
    <s v="Jacket"/>
    <x v="2"/>
    <n v="2"/>
    <n v="802.46"/>
    <n v="25.78"/>
    <n v="1191.17"/>
    <n v="318.18"/>
    <x v="3"/>
  </r>
  <r>
    <s v="ORD101832"/>
    <x v="668"/>
    <x v="12"/>
    <x v="1"/>
    <x v="0"/>
    <x v="3"/>
    <s v="Cricket Bat"/>
    <x v="1"/>
    <n v="2"/>
    <n v="365.55"/>
    <n v="14.39"/>
    <n v="625.89"/>
    <n v="165.69"/>
    <x v="2"/>
  </r>
  <r>
    <s v="ORD101833"/>
    <x v="669"/>
    <x v="5"/>
    <x v="2"/>
    <x v="3"/>
    <x v="5"/>
    <s v="Laptop"/>
    <x v="0"/>
    <n v="8"/>
    <n v="11085.67"/>
    <n v="11.57"/>
    <n v="78424.460000000006"/>
    <n v="22408.92"/>
    <x v="1"/>
  </r>
  <r>
    <s v="ORD101834"/>
    <x v="669"/>
    <x v="0"/>
    <x v="3"/>
    <x v="2"/>
    <x v="4"/>
    <s v="Novel"/>
    <x v="0"/>
    <n v="9"/>
    <n v="972"/>
    <n v="18.89"/>
    <n v="7095.5"/>
    <n v="1550.08"/>
    <x v="1"/>
  </r>
  <r>
    <s v="ORD101835"/>
    <x v="669"/>
    <x v="0"/>
    <x v="4"/>
    <x v="2"/>
    <x v="5"/>
    <s v="Smartphone"/>
    <x v="2"/>
    <n v="7"/>
    <n v="18431.54"/>
    <n v="5.68"/>
    <n v="121692.4"/>
    <n v="24852.66"/>
    <x v="2"/>
  </r>
  <r>
    <s v="ORD101836"/>
    <x v="670"/>
    <x v="11"/>
    <x v="5"/>
    <x v="0"/>
    <x v="5"/>
    <s v="Smartphone"/>
    <x v="1"/>
    <n v="7"/>
    <n v="66330.37"/>
    <n v="20.16"/>
    <n v="370707.17"/>
    <n v="108499.33"/>
    <x v="4"/>
  </r>
  <r>
    <s v="ORD101837"/>
    <x v="670"/>
    <x v="1"/>
    <x v="6"/>
    <x v="2"/>
    <x v="0"/>
    <s v="Snacks"/>
    <x v="0"/>
    <n v="7"/>
    <n v="2722.1"/>
    <n v="8.81"/>
    <n v="17375.98"/>
    <n v="4140.71"/>
    <x v="0"/>
  </r>
  <r>
    <s v="ORD101838"/>
    <x v="670"/>
    <x v="8"/>
    <x v="7"/>
    <x v="3"/>
    <x v="0"/>
    <s v="Snacks"/>
    <x v="2"/>
    <n v="6"/>
    <n v="2480.02"/>
    <n v="6.34"/>
    <n v="13936.72"/>
    <n v="2376.96"/>
    <x v="3"/>
  </r>
  <r>
    <s v="ORD101839"/>
    <x v="671"/>
    <x v="11"/>
    <x v="8"/>
    <x v="1"/>
    <x v="4"/>
    <s v="Novel"/>
    <x v="2"/>
    <n v="1"/>
    <n v="1181.9100000000001"/>
    <n v="20.09"/>
    <n v="944.46"/>
    <n v="110.71"/>
    <x v="1"/>
  </r>
  <r>
    <s v="ORD101840"/>
    <x v="671"/>
    <x v="11"/>
    <x v="9"/>
    <x v="1"/>
    <x v="2"/>
    <s v="Bookshelf"/>
    <x v="2"/>
    <n v="2"/>
    <n v="14204.85"/>
    <n v="6.73"/>
    <n v="26497.73"/>
    <n v="3703.79"/>
    <x v="3"/>
  </r>
  <r>
    <s v="ORD101841"/>
    <x v="671"/>
    <x v="14"/>
    <x v="10"/>
    <x v="0"/>
    <x v="3"/>
    <s v="Tennis Ball"/>
    <x v="2"/>
    <n v="5"/>
    <n v="2311.7600000000002"/>
    <n v="17.809999999999999"/>
    <n v="9500.18"/>
    <n v="634.61"/>
    <x v="2"/>
  </r>
  <r>
    <s v="ORD101842"/>
    <x v="672"/>
    <x v="1"/>
    <x v="11"/>
    <x v="4"/>
    <x v="5"/>
    <s v="Headphones"/>
    <x v="1"/>
    <n v="6"/>
    <n v="51838.31"/>
    <n v="6.29"/>
    <n v="291466.08"/>
    <n v="44983.44"/>
    <x v="2"/>
  </r>
  <r>
    <s v="ORD101843"/>
    <x v="672"/>
    <x v="2"/>
    <x v="12"/>
    <x v="0"/>
    <x v="4"/>
    <s v="Dictionary"/>
    <x v="1"/>
    <n v="10"/>
    <n v="1856.72"/>
    <n v="1.29"/>
    <n v="18327.68"/>
    <n v="4012.8"/>
    <x v="0"/>
  </r>
  <r>
    <s v="ORD101844"/>
    <x v="673"/>
    <x v="6"/>
    <x v="13"/>
    <x v="1"/>
    <x v="5"/>
    <s v="Keyboard"/>
    <x v="1"/>
    <n v="10"/>
    <n v="31054.95"/>
    <n v="22.15"/>
    <n v="241762.79"/>
    <n v="58882.27"/>
    <x v="4"/>
  </r>
  <r>
    <s v="ORD101845"/>
    <x v="673"/>
    <x v="11"/>
    <x v="14"/>
    <x v="4"/>
    <x v="3"/>
    <s v="Yoga Mat"/>
    <x v="1"/>
    <n v="8"/>
    <n v="6044.33"/>
    <n v="10.33"/>
    <n v="43359.61"/>
    <n v="5219.91"/>
    <x v="4"/>
  </r>
  <r>
    <s v="ORD101846"/>
    <x v="673"/>
    <x v="14"/>
    <x v="0"/>
    <x v="1"/>
    <x v="2"/>
    <s v="Sofa"/>
    <x v="0"/>
    <n v="7"/>
    <n v="3938.42"/>
    <n v="28.4"/>
    <n v="19739.36"/>
    <n v="5529.66"/>
    <x v="1"/>
  </r>
  <r>
    <s v="ORD101847"/>
    <x v="674"/>
    <x v="1"/>
    <x v="1"/>
    <x v="2"/>
    <x v="3"/>
    <s v="Yoga Mat"/>
    <x v="0"/>
    <n v="10"/>
    <n v="4082"/>
    <n v="17.59"/>
    <n v="33639.760000000002"/>
    <n v="9412.86"/>
    <x v="0"/>
  </r>
  <r>
    <s v="ORD101848"/>
    <x v="674"/>
    <x v="11"/>
    <x v="2"/>
    <x v="1"/>
    <x v="5"/>
    <s v="Headphones"/>
    <x v="2"/>
    <n v="7"/>
    <n v="57380.99"/>
    <n v="24.27"/>
    <n v="304182.37"/>
    <n v="49622.31"/>
    <x v="0"/>
  </r>
  <r>
    <s v="ORD101849"/>
    <x v="674"/>
    <x v="11"/>
    <x v="3"/>
    <x v="1"/>
    <x v="2"/>
    <s v="Desk"/>
    <x v="0"/>
    <n v="7"/>
    <n v="16292.99"/>
    <n v="3.55"/>
    <n v="110002.12"/>
    <n v="26971.78"/>
    <x v="2"/>
  </r>
  <r>
    <s v="ORD101850"/>
    <x v="675"/>
    <x v="10"/>
    <x v="4"/>
    <x v="3"/>
    <x v="0"/>
    <s v="Snacks"/>
    <x v="2"/>
    <n v="7"/>
    <n v="1628.57"/>
    <n v="15.35"/>
    <n v="9650.09"/>
    <n v="1123.46"/>
    <x v="0"/>
  </r>
  <r>
    <s v="ORD101851"/>
    <x v="675"/>
    <x v="6"/>
    <x v="5"/>
    <x v="3"/>
    <x v="1"/>
    <s v="Shoes"/>
    <x v="2"/>
    <n v="9"/>
    <n v="7299.28"/>
    <n v="11.58"/>
    <n v="58086.21"/>
    <n v="16359.67"/>
    <x v="0"/>
  </r>
  <r>
    <s v="ORD101852"/>
    <x v="675"/>
    <x v="9"/>
    <x v="6"/>
    <x v="2"/>
    <x v="4"/>
    <s v="Dictionary"/>
    <x v="0"/>
    <n v="3"/>
    <n v="954.65"/>
    <n v="7.23"/>
    <n v="2656.89"/>
    <n v="280.56"/>
    <x v="3"/>
  </r>
  <r>
    <s v="ORD101853"/>
    <x v="676"/>
    <x v="11"/>
    <x v="7"/>
    <x v="1"/>
    <x v="4"/>
    <s v="Dictionary"/>
    <x v="1"/>
    <n v="10"/>
    <n v="1105.01"/>
    <n v="12.55"/>
    <n v="9663.31"/>
    <n v="576"/>
    <x v="2"/>
  </r>
  <r>
    <s v="ORD101854"/>
    <x v="676"/>
    <x v="1"/>
    <x v="8"/>
    <x v="0"/>
    <x v="3"/>
    <s v="Tennis Ball"/>
    <x v="0"/>
    <n v="3"/>
    <n v="8153.28"/>
    <n v="20.22"/>
    <n v="19514.060000000001"/>
    <n v="2155.42"/>
    <x v="2"/>
  </r>
  <r>
    <s v="ORD101855"/>
    <x v="677"/>
    <x v="2"/>
    <x v="9"/>
    <x v="4"/>
    <x v="4"/>
    <s v="Notebook"/>
    <x v="0"/>
    <n v="5"/>
    <n v="1711.59"/>
    <n v="25.27"/>
    <n v="6395.36"/>
    <n v="720.12"/>
    <x v="4"/>
  </r>
  <r>
    <s v="ORD101856"/>
    <x v="677"/>
    <x v="3"/>
    <x v="10"/>
    <x v="1"/>
    <x v="0"/>
    <s v="Cooking Oil"/>
    <x v="2"/>
    <n v="10"/>
    <n v="1656.49"/>
    <n v="6.16"/>
    <n v="15544.5"/>
    <n v="3479.36"/>
    <x v="1"/>
  </r>
  <r>
    <s v="ORD101857"/>
    <x v="677"/>
    <x v="9"/>
    <x v="11"/>
    <x v="4"/>
    <x v="0"/>
    <s v="Rice"/>
    <x v="0"/>
    <n v="9"/>
    <n v="2390.37"/>
    <n v="23.07"/>
    <n v="16550.2"/>
    <n v="3590.38"/>
    <x v="1"/>
  </r>
  <r>
    <s v="ORD101858"/>
    <x v="678"/>
    <x v="6"/>
    <x v="12"/>
    <x v="3"/>
    <x v="0"/>
    <s v="Tea"/>
    <x v="2"/>
    <n v="1"/>
    <n v="1225.96"/>
    <n v="22.75"/>
    <n v="947.05"/>
    <n v="201.46"/>
    <x v="4"/>
  </r>
  <r>
    <s v="ORD101859"/>
    <x v="678"/>
    <x v="6"/>
    <x v="13"/>
    <x v="0"/>
    <x v="0"/>
    <s v="Snacks"/>
    <x v="1"/>
    <n v="4"/>
    <n v="295.74"/>
    <n v="5.57"/>
    <n v="1117.07"/>
    <n v="117.1"/>
    <x v="3"/>
  </r>
  <r>
    <s v="ORD101860"/>
    <x v="678"/>
    <x v="1"/>
    <x v="14"/>
    <x v="2"/>
    <x v="5"/>
    <s v="Keyboard"/>
    <x v="0"/>
    <n v="1"/>
    <n v="5870.61"/>
    <n v="5.14"/>
    <n v="5568.86"/>
    <n v="1648.91"/>
    <x v="1"/>
  </r>
  <r>
    <s v="ORD101861"/>
    <x v="679"/>
    <x v="5"/>
    <x v="0"/>
    <x v="4"/>
    <x v="5"/>
    <s v="Headphones"/>
    <x v="2"/>
    <n v="1"/>
    <n v="15823.78"/>
    <n v="20.65"/>
    <n v="12556.17"/>
    <n v="1482.84"/>
    <x v="4"/>
  </r>
  <r>
    <s v="ORD101862"/>
    <x v="679"/>
    <x v="13"/>
    <x v="1"/>
    <x v="0"/>
    <x v="2"/>
    <s v="Sofa"/>
    <x v="0"/>
    <n v="8"/>
    <n v="13246.31"/>
    <n v="8.14"/>
    <n v="97344.48"/>
    <n v="20584.34"/>
    <x v="3"/>
  </r>
  <r>
    <s v="ORD101863"/>
    <x v="679"/>
    <x v="4"/>
    <x v="2"/>
    <x v="4"/>
    <x v="4"/>
    <s v="Dictionary"/>
    <x v="1"/>
    <n v="3"/>
    <n v="1846.61"/>
    <n v="20.49"/>
    <n v="4404.72"/>
    <n v="1215.04"/>
    <x v="3"/>
  </r>
  <r>
    <s v="ORD101864"/>
    <x v="680"/>
    <x v="5"/>
    <x v="3"/>
    <x v="0"/>
    <x v="5"/>
    <s v="Headphones"/>
    <x v="2"/>
    <n v="3"/>
    <n v="43005.440000000002"/>
    <n v="0.61"/>
    <n v="128229.32"/>
    <n v="11495.69"/>
    <x v="1"/>
  </r>
  <r>
    <s v="ORD101865"/>
    <x v="680"/>
    <x v="4"/>
    <x v="4"/>
    <x v="2"/>
    <x v="4"/>
    <s v="Novel"/>
    <x v="1"/>
    <n v="7"/>
    <n v="1224.42"/>
    <n v="19.88"/>
    <n v="6867.04"/>
    <n v="1658.32"/>
    <x v="0"/>
  </r>
  <r>
    <s v="ORD101866"/>
    <x v="681"/>
    <x v="6"/>
    <x v="5"/>
    <x v="3"/>
    <x v="4"/>
    <s v="Notebook"/>
    <x v="0"/>
    <n v="3"/>
    <n v="1232.24"/>
    <n v="22.32"/>
    <n v="2871.61"/>
    <n v="244.12"/>
    <x v="4"/>
  </r>
  <r>
    <s v="ORD101867"/>
    <x v="681"/>
    <x v="13"/>
    <x v="6"/>
    <x v="1"/>
    <x v="5"/>
    <s v="Headphones"/>
    <x v="0"/>
    <n v="7"/>
    <n v="7820.4"/>
    <n v="7.19"/>
    <n v="50806.79"/>
    <n v="3810.74"/>
    <x v="4"/>
  </r>
  <r>
    <s v="ORD101868"/>
    <x v="681"/>
    <x v="1"/>
    <x v="7"/>
    <x v="3"/>
    <x v="5"/>
    <s v="Laptop"/>
    <x v="2"/>
    <n v="1"/>
    <n v="75640.34"/>
    <n v="27.99"/>
    <n v="54468.61"/>
    <n v="5794.14"/>
    <x v="0"/>
  </r>
  <r>
    <s v="ORD101869"/>
    <x v="682"/>
    <x v="8"/>
    <x v="8"/>
    <x v="2"/>
    <x v="2"/>
    <s v="Desk"/>
    <x v="2"/>
    <n v="9"/>
    <n v="16324.83"/>
    <n v="20.100000000000001"/>
    <n v="117391.85"/>
    <n v="19659.900000000001"/>
    <x v="0"/>
  </r>
  <r>
    <s v="ORD101870"/>
    <x v="682"/>
    <x v="8"/>
    <x v="9"/>
    <x v="3"/>
    <x v="3"/>
    <s v="Football"/>
    <x v="1"/>
    <n v="4"/>
    <n v="8113.49"/>
    <n v="4.0599999999999996"/>
    <n v="31136.33"/>
    <n v="6191.25"/>
    <x v="1"/>
  </r>
  <r>
    <s v="ORD101871"/>
    <x v="682"/>
    <x v="7"/>
    <x v="10"/>
    <x v="0"/>
    <x v="3"/>
    <s v="Football"/>
    <x v="1"/>
    <n v="5"/>
    <n v="6009.95"/>
    <n v="14.74"/>
    <n v="25620.42"/>
    <n v="3224.87"/>
    <x v="2"/>
  </r>
  <r>
    <s v="ORD101872"/>
    <x v="683"/>
    <x v="1"/>
    <x v="11"/>
    <x v="2"/>
    <x v="5"/>
    <s v="Headphones"/>
    <x v="0"/>
    <n v="10"/>
    <n v="65062.09"/>
    <n v="6.77"/>
    <n v="606573.87"/>
    <n v="110119.74"/>
    <x v="1"/>
  </r>
  <r>
    <s v="ORD101873"/>
    <x v="683"/>
    <x v="1"/>
    <x v="12"/>
    <x v="1"/>
    <x v="3"/>
    <s v="Football"/>
    <x v="0"/>
    <n v="1"/>
    <n v="9052.74"/>
    <n v="0.25"/>
    <n v="9030.11"/>
    <n v="940.68"/>
    <x v="4"/>
  </r>
  <r>
    <s v="ORD101874"/>
    <x v="683"/>
    <x v="11"/>
    <x v="13"/>
    <x v="3"/>
    <x v="2"/>
    <s v="Table"/>
    <x v="2"/>
    <n v="9"/>
    <n v="24281.59"/>
    <n v="17.07"/>
    <n v="181230.5"/>
    <n v="10677.85"/>
    <x v="3"/>
  </r>
  <r>
    <s v="ORD101875"/>
    <x v="684"/>
    <x v="2"/>
    <x v="14"/>
    <x v="4"/>
    <x v="0"/>
    <s v="Cooking Oil"/>
    <x v="2"/>
    <n v="10"/>
    <n v="1431.49"/>
    <n v="25.74"/>
    <n v="10630.24"/>
    <n v="1441.41"/>
    <x v="4"/>
  </r>
  <r>
    <s v="ORD101876"/>
    <x v="684"/>
    <x v="13"/>
    <x v="0"/>
    <x v="0"/>
    <x v="1"/>
    <s v="Jeans"/>
    <x v="2"/>
    <n v="7"/>
    <n v="1149.58"/>
    <n v="0.82"/>
    <n v="7981.07"/>
    <n v="945.15"/>
    <x v="4"/>
  </r>
  <r>
    <s v="ORD101877"/>
    <x v="685"/>
    <x v="9"/>
    <x v="1"/>
    <x v="1"/>
    <x v="4"/>
    <s v="Comics"/>
    <x v="2"/>
    <n v="1"/>
    <n v="2314.1"/>
    <n v="2.44"/>
    <n v="2257.64"/>
    <n v="501.43"/>
    <x v="4"/>
  </r>
  <r>
    <s v="ORD101878"/>
    <x v="685"/>
    <x v="6"/>
    <x v="2"/>
    <x v="2"/>
    <x v="2"/>
    <s v="Table"/>
    <x v="0"/>
    <n v="6"/>
    <n v="24268.93"/>
    <n v="19.420000000000002"/>
    <n v="117335.42"/>
    <n v="16822.04"/>
    <x v="3"/>
  </r>
  <r>
    <s v="ORD101879"/>
    <x v="685"/>
    <x v="8"/>
    <x v="3"/>
    <x v="1"/>
    <x v="5"/>
    <s v="Laptop"/>
    <x v="2"/>
    <n v="7"/>
    <n v="20977.51"/>
    <n v="10"/>
    <n v="132158.31"/>
    <n v="21195.51"/>
    <x v="2"/>
  </r>
  <r>
    <s v="ORD101880"/>
    <x v="686"/>
    <x v="4"/>
    <x v="4"/>
    <x v="0"/>
    <x v="2"/>
    <s v="Bookshelf"/>
    <x v="0"/>
    <n v="3"/>
    <n v="2846.65"/>
    <n v="5.88"/>
    <n v="8037.8"/>
    <n v="1571.28"/>
    <x v="0"/>
  </r>
  <r>
    <s v="ORD101881"/>
    <x v="686"/>
    <x v="2"/>
    <x v="5"/>
    <x v="2"/>
    <x v="0"/>
    <s v="Cooking Oil"/>
    <x v="0"/>
    <n v="7"/>
    <n v="300.44"/>
    <n v="8.14"/>
    <n v="1931.89"/>
    <n v="467.4"/>
    <x v="2"/>
  </r>
  <r>
    <s v="ORD101882"/>
    <x v="686"/>
    <x v="2"/>
    <x v="6"/>
    <x v="1"/>
    <x v="0"/>
    <s v="Tea"/>
    <x v="2"/>
    <n v="7"/>
    <n v="1565.88"/>
    <n v="0.32"/>
    <n v="10926.08"/>
    <n v="2386.0300000000002"/>
    <x v="3"/>
  </r>
  <r>
    <s v="ORD101883"/>
    <x v="687"/>
    <x v="8"/>
    <x v="7"/>
    <x v="1"/>
    <x v="1"/>
    <s v="Shoes"/>
    <x v="1"/>
    <n v="6"/>
    <n v="6639.02"/>
    <n v="23.55"/>
    <n v="30453.18"/>
    <n v="8310.52"/>
    <x v="0"/>
  </r>
  <r>
    <s v="ORD101884"/>
    <x v="687"/>
    <x v="6"/>
    <x v="8"/>
    <x v="4"/>
    <x v="2"/>
    <s v="Bookshelf"/>
    <x v="0"/>
    <n v="4"/>
    <n v="16647.38"/>
    <n v="23.87"/>
    <n v="50694.6"/>
    <n v="12212.38"/>
    <x v="0"/>
  </r>
  <r>
    <s v="ORD101885"/>
    <x v="688"/>
    <x v="8"/>
    <x v="9"/>
    <x v="3"/>
    <x v="4"/>
    <s v="Notebook"/>
    <x v="1"/>
    <n v="4"/>
    <n v="2158.7199999999998"/>
    <n v="1.74"/>
    <n v="8484.6299999999992"/>
    <n v="1541.05"/>
    <x v="0"/>
  </r>
  <r>
    <s v="ORD101886"/>
    <x v="688"/>
    <x v="2"/>
    <x v="10"/>
    <x v="3"/>
    <x v="2"/>
    <s v="Desk"/>
    <x v="2"/>
    <n v="4"/>
    <n v="34767.82"/>
    <n v="28.17"/>
    <n v="99894.9"/>
    <n v="29786.78"/>
    <x v="2"/>
  </r>
  <r>
    <s v="ORD101887"/>
    <x v="688"/>
    <x v="13"/>
    <x v="11"/>
    <x v="0"/>
    <x v="1"/>
    <s v="Jacket"/>
    <x v="2"/>
    <n v="7"/>
    <n v="7363.69"/>
    <n v="13.91"/>
    <n v="44375.81"/>
    <n v="3367.5"/>
    <x v="2"/>
  </r>
  <r>
    <s v="ORD101888"/>
    <x v="689"/>
    <x v="3"/>
    <x v="12"/>
    <x v="1"/>
    <x v="5"/>
    <s v="Keyboard"/>
    <x v="0"/>
    <n v="5"/>
    <n v="79522.820000000007"/>
    <n v="16.309999999999999"/>
    <n v="332763.24"/>
    <n v="56039.89"/>
    <x v="4"/>
  </r>
  <r>
    <s v="ORD101889"/>
    <x v="689"/>
    <x v="9"/>
    <x v="13"/>
    <x v="1"/>
    <x v="5"/>
    <s v="Headphones"/>
    <x v="0"/>
    <n v="4"/>
    <n v="3138.42"/>
    <n v="15.51"/>
    <n v="10606.6"/>
    <n v="1051.8699999999999"/>
    <x v="4"/>
  </r>
  <r>
    <s v="ORD101890"/>
    <x v="689"/>
    <x v="10"/>
    <x v="14"/>
    <x v="2"/>
    <x v="2"/>
    <s v="Bookshelf"/>
    <x v="0"/>
    <n v="2"/>
    <n v="32206.17"/>
    <n v="19.25"/>
    <n v="52012.959999999999"/>
    <n v="11299.19"/>
    <x v="4"/>
  </r>
  <r>
    <s v="ORD101891"/>
    <x v="690"/>
    <x v="6"/>
    <x v="0"/>
    <x v="3"/>
    <x v="5"/>
    <s v="Monitor"/>
    <x v="1"/>
    <n v="9"/>
    <n v="15016.47"/>
    <n v="18.5"/>
    <n v="110145.81"/>
    <n v="11946.65"/>
    <x v="1"/>
  </r>
  <r>
    <s v="ORD101892"/>
    <x v="690"/>
    <x v="11"/>
    <x v="1"/>
    <x v="4"/>
    <x v="3"/>
    <s v="Football"/>
    <x v="2"/>
    <n v="9"/>
    <n v="7851.91"/>
    <n v="18.68"/>
    <n v="57466.559999999998"/>
    <n v="5088.99"/>
    <x v="2"/>
  </r>
  <r>
    <s v="ORD101893"/>
    <x v="690"/>
    <x v="10"/>
    <x v="2"/>
    <x v="4"/>
    <x v="2"/>
    <s v="Desk"/>
    <x v="0"/>
    <n v="1"/>
    <n v="21920.79"/>
    <n v="22.26"/>
    <n v="17041.22"/>
    <n v="3817.85"/>
    <x v="3"/>
  </r>
  <r>
    <s v="ORD101894"/>
    <x v="691"/>
    <x v="5"/>
    <x v="3"/>
    <x v="2"/>
    <x v="4"/>
    <s v="Comics"/>
    <x v="2"/>
    <n v="1"/>
    <n v="1759.33"/>
    <n v="9.7799999999999994"/>
    <n v="1587.27"/>
    <n v="391.1"/>
    <x v="2"/>
  </r>
  <r>
    <s v="ORD101895"/>
    <x v="691"/>
    <x v="7"/>
    <x v="4"/>
    <x v="4"/>
    <x v="4"/>
    <s v="Notebook"/>
    <x v="0"/>
    <n v="9"/>
    <n v="864.24"/>
    <n v="18.98"/>
    <n v="6301.87"/>
    <n v="1864.71"/>
    <x v="0"/>
  </r>
  <r>
    <s v="ORD101896"/>
    <x v="692"/>
    <x v="6"/>
    <x v="5"/>
    <x v="0"/>
    <x v="4"/>
    <s v="Textbook"/>
    <x v="2"/>
    <n v="10"/>
    <n v="2140.87"/>
    <n v="2.0299999999999998"/>
    <n v="20974.1"/>
    <n v="6257.57"/>
    <x v="3"/>
  </r>
  <r>
    <s v="ORD101897"/>
    <x v="692"/>
    <x v="14"/>
    <x v="6"/>
    <x v="2"/>
    <x v="0"/>
    <s v="Rice"/>
    <x v="1"/>
    <n v="4"/>
    <n v="113.84"/>
    <n v="6.99"/>
    <n v="423.53"/>
    <n v="101.36"/>
    <x v="3"/>
  </r>
  <r>
    <s v="ORD101898"/>
    <x v="692"/>
    <x v="1"/>
    <x v="7"/>
    <x v="4"/>
    <x v="0"/>
    <s v="Cooking Oil"/>
    <x v="0"/>
    <n v="1"/>
    <n v="678.75"/>
    <n v="26.55"/>
    <n v="498.54"/>
    <n v="147.19999999999999"/>
    <x v="4"/>
  </r>
  <r>
    <s v="ORD101899"/>
    <x v="693"/>
    <x v="12"/>
    <x v="8"/>
    <x v="4"/>
    <x v="2"/>
    <s v="Office Chair"/>
    <x v="1"/>
    <n v="1"/>
    <n v="8437.92"/>
    <n v="27.39"/>
    <n v="6126.77"/>
    <n v="1020.28"/>
    <x v="3"/>
  </r>
  <r>
    <s v="ORD101900"/>
    <x v="693"/>
    <x v="0"/>
    <x v="9"/>
    <x v="3"/>
    <x v="4"/>
    <s v="Comics"/>
    <x v="2"/>
    <n v="7"/>
    <n v="1794.18"/>
    <n v="11.81"/>
    <n v="11076.01"/>
    <n v="1308.82"/>
    <x v="2"/>
  </r>
  <r>
    <s v="ORD101901"/>
    <x v="693"/>
    <x v="5"/>
    <x v="10"/>
    <x v="3"/>
    <x v="2"/>
    <s v="Bookshelf"/>
    <x v="2"/>
    <n v="3"/>
    <n v="25265.71"/>
    <n v="0.36"/>
    <n v="75524.259999999995"/>
    <n v="13002.33"/>
    <x v="3"/>
  </r>
  <r>
    <s v="ORD101902"/>
    <x v="694"/>
    <x v="14"/>
    <x v="11"/>
    <x v="4"/>
    <x v="0"/>
    <s v="Cooking Oil"/>
    <x v="1"/>
    <n v="9"/>
    <n v="991.33"/>
    <n v="26.61"/>
    <n v="6547.83"/>
    <n v="408"/>
    <x v="3"/>
  </r>
  <r>
    <s v="ORD101903"/>
    <x v="694"/>
    <x v="10"/>
    <x v="12"/>
    <x v="1"/>
    <x v="2"/>
    <s v="Table"/>
    <x v="1"/>
    <n v="3"/>
    <n v="16664.16"/>
    <n v="5.6"/>
    <n v="47192.9"/>
    <n v="9726.4599999999991"/>
    <x v="3"/>
  </r>
  <r>
    <s v="ORD101904"/>
    <x v="694"/>
    <x v="14"/>
    <x v="13"/>
    <x v="4"/>
    <x v="5"/>
    <s v="Smartphone"/>
    <x v="0"/>
    <n v="3"/>
    <n v="57765.78"/>
    <n v="24.9"/>
    <n v="130146.3"/>
    <n v="13031.21"/>
    <x v="3"/>
  </r>
  <r>
    <s v="ORD101905"/>
    <x v="695"/>
    <x v="7"/>
    <x v="14"/>
    <x v="1"/>
    <x v="1"/>
    <s v="Jacket"/>
    <x v="0"/>
    <n v="1"/>
    <n v="2082.06"/>
    <n v="7.55"/>
    <n v="1924.86"/>
    <n v="320.77"/>
    <x v="3"/>
  </r>
  <r>
    <s v="ORD101906"/>
    <x v="695"/>
    <x v="10"/>
    <x v="0"/>
    <x v="3"/>
    <x v="4"/>
    <s v="Dictionary"/>
    <x v="0"/>
    <n v="8"/>
    <n v="2040.61"/>
    <n v="27.61"/>
    <n v="11817.58"/>
    <n v="1853.86"/>
    <x v="2"/>
  </r>
  <r>
    <s v="ORD101907"/>
    <x v="696"/>
    <x v="2"/>
    <x v="1"/>
    <x v="2"/>
    <x v="1"/>
    <s v="Jacket"/>
    <x v="0"/>
    <n v="7"/>
    <n v="1200.1500000000001"/>
    <n v="14.97"/>
    <n v="7143.41"/>
    <n v="1775.79"/>
    <x v="4"/>
  </r>
  <r>
    <s v="ORD101908"/>
    <x v="696"/>
    <x v="7"/>
    <x v="2"/>
    <x v="0"/>
    <x v="2"/>
    <s v="Bookshelf"/>
    <x v="1"/>
    <n v="6"/>
    <n v="13090.07"/>
    <n v="22.44"/>
    <n v="60915.95"/>
    <n v="11525.53"/>
    <x v="0"/>
  </r>
  <r>
    <s v="ORD101909"/>
    <x v="696"/>
    <x v="12"/>
    <x v="3"/>
    <x v="1"/>
    <x v="3"/>
    <s v="Cricket Bat"/>
    <x v="1"/>
    <n v="10"/>
    <n v="3685.74"/>
    <n v="9.66"/>
    <n v="33296.980000000003"/>
    <n v="7378.78"/>
    <x v="0"/>
  </r>
  <r>
    <s v="ORD101910"/>
    <x v="697"/>
    <x v="9"/>
    <x v="4"/>
    <x v="0"/>
    <x v="0"/>
    <s v="Cooking Oil"/>
    <x v="2"/>
    <n v="8"/>
    <n v="2008.79"/>
    <n v="27.36"/>
    <n v="11673.48"/>
    <n v="1927.86"/>
    <x v="2"/>
  </r>
  <r>
    <s v="ORD101911"/>
    <x v="697"/>
    <x v="6"/>
    <x v="5"/>
    <x v="4"/>
    <x v="5"/>
    <s v="Keyboard"/>
    <x v="2"/>
    <n v="9"/>
    <n v="31649.64"/>
    <n v="10.96"/>
    <n v="253627.56"/>
    <n v="47098.47"/>
    <x v="0"/>
  </r>
  <r>
    <s v="ORD101912"/>
    <x v="697"/>
    <x v="4"/>
    <x v="6"/>
    <x v="0"/>
    <x v="3"/>
    <s v="Yoga Mat"/>
    <x v="0"/>
    <n v="6"/>
    <n v="6052.08"/>
    <n v="13.73"/>
    <n v="31326.78"/>
    <n v="4235.09"/>
    <x v="1"/>
  </r>
  <r>
    <s v="ORD101913"/>
    <x v="698"/>
    <x v="13"/>
    <x v="7"/>
    <x v="4"/>
    <x v="2"/>
    <s v="Sofa"/>
    <x v="2"/>
    <n v="2"/>
    <n v="8856.17"/>
    <n v="29.81"/>
    <n v="12432.29"/>
    <n v="2153.35"/>
    <x v="4"/>
  </r>
  <r>
    <s v="ORD101914"/>
    <x v="698"/>
    <x v="8"/>
    <x v="8"/>
    <x v="2"/>
    <x v="5"/>
    <s v="Laptop"/>
    <x v="1"/>
    <n v="10"/>
    <n v="73609.929999999993"/>
    <n v="21.09"/>
    <n v="580855.96"/>
    <n v="140653.75"/>
    <x v="3"/>
  </r>
  <r>
    <s v="ORD101915"/>
    <x v="698"/>
    <x v="7"/>
    <x v="9"/>
    <x v="2"/>
    <x v="4"/>
    <s v="Textbook"/>
    <x v="0"/>
    <n v="7"/>
    <n v="978.87"/>
    <n v="18.329999999999998"/>
    <n v="5596.1"/>
    <n v="1552.82"/>
    <x v="4"/>
  </r>
  <r>
    <s v="ORD101916"/>
    <x v="699"/>
    <x v="1"/>
    <x v="10"/>
    <x v="2"/>
    <x v="2"/>
    <s v="Sofa"/>
    <x v="1"/>
    <n v="10"/>
    <n v="20834.54"/>
    <n v="2.4700000000000002"/>
    <n v="203199.27"/>
    <n v="47545.95"/>
    <x v="2"/>
  </r>
  <r>
    <s v="ORD101917"/>
    <x v="699"/>
    <x v="4"/>
    <x v="11"/>
    <x v="3"/>
    <x v="5"/>
    <s v="Monitor"/>
    <x v="2"/>
    <n v="2"/>
    <n v="7597.85"/>
    <n v="11.62"/>
    <n v="13429.96"/>
    <n v="988.67"/>
    <x v="3"/>
  </r>
  <r>
    <s v="ORD101918"/>
    <x v="700"/>
    <x v="14"/>
    <x v="12"/>
    <x v="2"/>
    <x v="0"/>
    <s v="Cooking Oil"/>
    <x v="2"/>
    <n v="8"/>
    <n v="2077.0100000000002"/>
    <n v="14.96"/>
    <n v="14130.31"/>
    <n v="1380.09"/>
    <x v="2"/>
  </r>
  <r>
    <s v="ORD101919"/>
    <x v="700"/>
    <x v="4"/>
    <x v="13"/>
    <x v="0"/>
    <x v="4"/>
    <s v="Dictionary"/>
    <x v="1"/>
    <n v="5"/>
    <n v="1122.54"/>
    <n v="26.68"/>
    <n v="4115.2299999999996"/>
    <n v="447.37"/>
    <x v="4"/>
  </r>
  <r>
    <s v="ORD101920"/>
    <x v="700"/>
    <x v="14"/>
    <x v="14"/>
    <x v="4"/>
    <x v="5"/>
    <s v="Keyboard"/>
    <x v="1"/>
    <n v="8"/>
    <n v="61385.26"/>
    <n v="11.37"/>
    <n v="435246.05"/>
    <n v="73850.61"/>
    <x v="3"/>
  </r>
  <r>
    <s v="ORD101921"/>
    <x v="701"/>
    <x v="11"/>
    <x v="0"/>
    <x v="1"/>
    <x v="5"/>
    <s v="Monitor"/>
    <x v="2"/>
    <n v="1"/>
    <n v="7377.49"/>
    <n v="1.71"/>
    <n v="7251.33"/>
    <n v="1041.1600000000001"/>
    <x v="1"/>
  </r>
  <r>
    <s v="ORD101922"/>
    <x v="701"/>
    <x v="11"/>
    <x v="1"/>
    <x v="1"/>
    <x v="5"/>
    <s v="Laptop"/>
    <x v="2"/>
    <n v="8"/>
    <n v="29433.14"/>
    <n v="25.44"/>
    <n v="175562.79"/>
    <n v="32258.2"/>
    <x v="1"/>
  </r>
  <r>
    <s v="ORD101923"/>
    <x v="701"/>
    <x v="11"/>
    <x v="2"/>
    <x v="1"/>
    <x v="0"/>
    <s v="Coffee"/>
    <x v="1"/>
    <n v="9"/>
    <n v="1396.23"/>
    <n v="6.16"/>
    <n v="11792"/>
    <n v="1203.02"/>
    <x v="4"/>
  </r>
  <r>
    <s v="ORD101924"/>
    <x v="702"/>
    <x v="14"/>
    <x v="3"/>
    <x v="3"/>
    <x v="3"/>
    <s v="Tennis Ball"/>
    <x v="2"/>
    <n v="4"/>
    <n v="7493.95"/>
    <n v="22.38"/>
    <n v="23267.22"/>
    <n v="5064.84"/>
    <x v="2"/>
  </r>
  <r>
    <s v="ORD101925"/>
    <x v="702"/>
    <x v="9"/>
    <x v="4"/>
    <x v="2"/>
    <x v="5"/>
    <s v="Headphones"/>
    <x v="0"/>
    <n v="1"/>
    <n v="34472.720000000001"/>
    <n v="23.22"/>
    <n v="26468.15"/>
    <n v="4436.1099999999997"/>
    <x v="0"/>
  </r>
  <r>
    <s v="ORD101926"/>
    <x v="702"/>
    <x v="1"/>
    <x v="5"/>
    <x v="3"/>
    <x v="4"/>
    <s v="Dictionary"/>
    <x v="1"/>
    <n v="6"/>
    <n v="1287.46"/>
    <n v="5.6"/>
    <n v="7292.17"/>
    <n v="2057.91"/>
    <x v="3"/>
  </r>
  <r>
    <s v="ORD101927"/>
    <x v="703"/>
    <x v="6"/>
    <x v="6"/>
    <x v="1"/>
    <x v="1"/>
    <s v="Shoes"/>
    <x v="2"/>
    <n v="6"/>
    <n v="7029.09"/>
    <n v="17.12"/>
    <n v="34954.26"/>
    <n v="9423.11"/>
    <x v="3"/>
  </r>
  <r>
    <s v="ORD101928"/>
    <x v="703"/>
    <x v="14"/>
    <x v="7"/>
    <x v="4"/>
    <x v="0"/>
    <s v="Tea"/>
    <x v="0"/>
    <n v="9"/>
    <n v="196.36"/>
    <n v="14.99"/>
    <n v="1502.33"/>
    <n v="169.86"/>
    <x v="4"/>
  </r>
  <r>
    <s v="ORD101929"/>
    <x v="704"/>
    <x v="11"/>
    <x v="8"/>
    <x v="4"/>
    <x v="5"/>
    <s v="Keyboard"/>
    <x v="2"/>
    <n v="6"/>
    <n v="78703.5"/>
    <n v="15.11"/>
    <n v="400868.41"/>
    <n v="65718.14"/>
    <x v="0"/>
  </r>
  <r>
    <s v="ORD101930"/>
    <x v="704"/>
    <x v="6"/>
    <x v="9"/>
    <x v="0"/>
    <x v="1"/>
    <s v="Jeans"/>
    <x v="0"/>
    <n v="3"/>
    <n v="3228.92"/>
    <n v="0.11"/>
    <n v="9676.1"/>
    <n v="1972.06"/>
    <x v="3"/>
  </r>
  <r>
    <s v="ORD101931"/>
    <x v="704"/>
    <x v="5"/>
    <x v="10"/>
    <x v="3"/>
    <x v="2"/>
    <s v="Bookshelf"/>
    <x v="2"/>
    <n v="2"/>
    <n v="19031.099999999999"/>
    <n v="24.12"/>
    <n v="28881.599999999999"/>
    <n v="2255.94"/>
    <x v="2"/>
  </r>
  <r>
    <s v="ORD101932"/>
    <x v="705"/>
    <x v="4"/>
    <x v="11"/>
    <x v="4"/>
    <x v="5"/>
    <s v="Headphones"/>
    <x v="0"/>
    <n v="7"/>
    <n v="78993.89"/>
    <n v="21.52"/>
    <n v="433960.83"/>
    <n v="93027.46"/>
    <x v="4"/>
  </r>
  <r>
    <s v="ORD101933"/>
    <x v="705"/>
    <x v="14"/>
    <x v="12"/>
    <x v="3"/>
    <x v="5"/>
    <s v="Monitor"/>
    <x v="2"/>
    <n v="3"/>
    <n v="36687.08"/>
    <n v="13.86"/>
    <n v="94806.75"/>
    <n v="14892.77"/>
    <x v="4"/>
  </r>
  <r>
    <s v="ORD101934"/>
    <x v="705"/>
    <x v="5"/>
    <x v="13"/>
    <x v="0"/>
    <x v="1"/>
    <s v="Shoes"/>
    <x v="2"/>
    <n v="3"/>
    <n v="3866.87"/>
    <n v="9.7200000000000006"/>
    <n v="10473.030000000001"/>
    <n v="2117.46"/>
    <x v="2"/>
  </r>
  <r>
    <s v="ORD101935"/>
    <x v="706"/>
    <x v="3"/>
    <x v="14"/>
    <x v="2"/>
    <x v="0"/>
    <s v="Coffee"/>
    <x v="2"/>
    <n v="9"/>
    <n v="382.5"/>
    <n v="14.61"/>
    <n v="2939.55"/>
    <n v="289.82"/>
    <x v="1"/>
  </r>
  <r>
    <s v="ORD101936"/>
    <x v="706"/>
    <x v="1"/>
    <x v="0"/>
    <x v="3"/>
    <x v="2"/>
    <s v="Office Chair"/>
    <x v="1"/>
    <n v="7"/>
    <n v="36074.93"/>
    <n v="4.9800000000000004"/>
    <n v="239948.79"/>
    <n v="51780.7"/>
    <x v="2"/>
  </r>
  <r>
    <s v="ORD101937"/>
    <x v="706"/>
    <x v="14"/>
    <x v="1"/>
    <x v="0"/>
    <x v="5"/>
    <s v="Headphones"/>
    <x v="0"/>
    <n v="7"/>
    <n v="48399.65"/>
    <n v="19.2"/>
    <n v="273748.42"/>
    <n v="32286.48"/>
    <x v="2"/>
  </r>
  <r>
    <s v="ORD101938"/>
    <x v="707"/>
    <x v="1"/>
    <x v="2"/>
    <x v="1"/>
    <x v="5"/>
    <s v="Headphones"/>
    <x v="0"/>
    <n v="2"/>
    <n v="16514.8"/>
    <n v="1.26"/>
    <n v="32613.43"/>
    <n v="9542.56"/>
    <x v="2"/>
  </r>
  <r>
    <s v="ORD101939"/>
    <x v="707"/>
    <x v="11"/>
    <x v="3"/>
    <x v="3"/>
    <x v="5"/>
    <s v="Headphones"/>
    <x v="0"/>
    <n v="6"/>
    <n v="39446.58"/>
    <n v="11.36"/>
    <n v="209792.69"/>
    <n v="46935.19"/>
    <x v="4"/>
  </r>
  <r>
    <s v="ORD101940"/>
    <x v="708"/>
    <x v="14"/>
    <x v="4"/>
    <x v="4"/>
    <x v="1"/>
    <s v="Jeans"/>
    <x v="0"/>
    <n v="3"/>
    <n v="3317.58"/>
    <n v="12.09"/>
    <n v="8749.4500000000007"/>
    <n v="1860.95"/>
    <x v="1"/>
  </r>
  <r>
    <s v="ORD101941"/>
    <x v="708"/>
    <x v="3"/>
    <x v="5"/>
    <x v="0"/>
    <x v="5"/>
    <s v="Smartphone"/>
    <x v="2"/>
    <n v="10"/>
    <n v="25992.85"/>
    <n v="24.6"/>
    <n v="195986.09"/>
    <n v="10263.549999999999"/>
    <x v="2"/>
  </r>
  <r>
    <s v="ORD101942"/>
    <x v="708"/>
    <x v="9"/>
    <x v="6"/>
    <x v="0"/>
    <x v="1"/>
    <s v="Jacket"/>
    <x v="2"/>
    <n v="8"/>
    <n v="2528.21"/>
    <n v="18.440000000000001"/>
    <n v="16496.060000000001"/>
    <n v="3091.17"/>
    <x v="0"/>
  </r>
  <r>
    <s v="ORD101943"/>
    <x v="709"/>
    <x v="7"/>
    <x v="7"/>
    <x v="0"/>
    <x v="3"/>
    <s v="Football"/>
    <x v="1"/>
    <n v="8"/>
    <n v="1394.02"/>
    <n v="16.46"/>
    <n v="9316.51"/>
    <n v="493.63"/>
    <x v="4"/>
  </r>
  <r>
    <s v="ORD101944"/>
    <x v="709"/>
    <x v="4"/>
    <x v="8"/>
    <x v="0"/>
    <x v="5"/>
    <s v="Smartphone"/>
    <x v="1"/>
    <n v="6"/>
    <n v="75104.09"/>
    <n v="3.22"/>
    <n v="436114.43"/>
    <n v="125372.28"/>
    <x v="1"/>
  </r>
  <r>
    <s v="ORD101945"/>
    <x v="709"/>
    <x v="8"/>
    <x v="9"/>
    <x v="2"/>
    <x v="4"/>
    <s v="Comics"/>
    <x v="0"/>
    <n v="9"/>
    <n v="183.48"/>
    <n v="23.79"/>
    <n v="1258.47"/>
    <n v="250.4"/>
    <x v="3"/>
  </r>
  <r>
    <s v="ORD101946"/>
    <x v="710"/>
    <x v="14"/>
    <x v="10"/>
    <x v="4"/>
    <x v="2"/>
    <s v="Sofa"/>
    <x v="2"/>
    <n v="10"/>
    <n v="29790.46"/>
    <n v="12.05"/>
    <n v="262007.1"/>
    <n v="17744.95"/>
    <x v="1"/>
  </r>
  <r>
    <s v="ORD101947"/>
    <x v="710"/>
    <x v="13"/>
    <x v="11"/>
    <x v="3"/>
    <x v="5"/>
    <s v="Monitor"/>
    <x v="2"/>
    <n v="1"/>
    <n v="46178.07"/>
    <n v="1.45"/>
    <n v="45508.49"/>
    <n v="6887.05"/>
    <x v="1"/>
  </r>
  <r>
    <s v="ORD101948"/>
    <x v="711"/>
    <x v="3"/>
    <x v="12"/>
    <x v="3"/>
    <x v="2"/>
    <s v="Office Chair"/>
    <x v="0"/>
    <n v="2"/>
    <n v="15162.01"/>
    <n v="7.71"/>
    <n v="27986.04"/>
    <n v="6653.91"/>
    <x v="4"/>
  </r>
  <r>
    <s v="ORD101949"/>
    <x v="711"/>
    <x v="14"/>
    <x v="13"/>
    <x v="2"/>
    <x v="3"/>
    <s v="Yoga Mat"/>
    <x v="1"/>
    <n v="8"/>
    <n v="6853.27"/>
    <n v="18.36"/>
    <n v="44760.08"/>
    <n v="3874.35"/>
    <x v="4"/>
  </r>
  <r>
    <s v="ORD101950"/>
    <x v="711"/>
    <x v="14"/>
    <x v="14"/>
    <x v="0"/>
    <x v="5"/>
    <s v="Laptop"/>
    <x v="0"/>
    <n v="4"/>
    <n v="49628.86"/>
    <n v="19.96"/>
    <n v="158891.76"/>
    <n v="46187.33"/>
    <x v="0"/>
  </r>
  <r>
    <s v="ORD101951"/>
    <x v="712"/>
    <x v="13"/>
    <x v="0"/>
    <x v="4"/>
    <x v="0"/>
    <s v="Tea"/>
    <x v="2"/>
    <n v="3"/>
    <n v="2670.17"/>
    <n v="20.83"/>
    <n v="6341.92"/>
    <n v="869.98"/>
    <x v="1"/>
  </r>
  <r>
    <s v="ORD101952"/>
    <x v="712"/>
    <x v="13"/>
    <x v="1"/>
    <x v="4"/>
    <x v="0"/>
    <s v="Snacks"/>
    <x v="0"/>
    <n v="5"/>
    <n v="1389.12"/>
    <n v="2.5"/>
    <n v="6771.96"/>
    <n v="1644.64"/>
    <x v="3"/>
  </r>
  <r>
    <s v="ORD101953"/>
    <x v="712"/>
    <x v="12"/>
    <x v="2"/>
    <x v="3"/>
    <x v="1"/>
    <s v="Jeans"/>
    <x v="2"/>
    <n v="4"/>
    <n v="5249.11"/>
    <n v="1"/>
    <n v="20786.48"/>
    <n v="6219.12"/>
    <x v="3"/>
  </r>
  <r>
    <s v="ORD101954"/>
    <x v="713"/>
    <x v="9"/>
    <x v="3"/>
    <x v="3"/>
    <x v="1"/>
    <s v="Dress"/>
    <x v="1"/>
    <n v="9"/>
    <n v="2229.1999999999998"/>
    <n v="10.029999999999999"/>
    <n v="18050.5"/>
    <n v="2443.8000000000002"/>
    <x v="3"/>
  </r>
  <r>
    <s v="ORD101955"/>
    <x v="713"/>
    <x v="3"/>
    <x v="4"/>
    <x v="0"/>
    <x v="0"/>
    <s v="Cooking Oil"/>
    <x v="0"/>
    <n v="9"/>
    <n v="513.69000000000005"/>
    <n v="6.31"/>
    <n v="4331.49"/>
    <n v="612.91999999999996"/>
    <x v="2"/>
  </r>
  <r>
    <s v="ORD101956"/>
    <x v="713"/>
    <x v="12"/>
    <x v="5"/>
    <x v="2"/>
    <x v="0"/>
    <s v="Snacks"/>
    <x v="1"/>
    <n v="1"/>
    <n v="865.41"/>
    <n v="17.059999999999999"/>
    <n v="717.77"/>
    <n v="116.93"/>
    <x v="3"/>
  </r>
  <r>
    <s v="ORD101957"/>
    <x v="714"/>
    <x v="11"/>
    <x v="6"/>
    <x v="2"/>
    <x v="3"/>
    <s v="Badminton Racket"/>
    <x v="0"/>
    <n v="8"/>
    <n v="1311.91"/>
    <n v="1.6"/>
    <n v="10327.36"/>
    <n v="2086.9"/>
    <x v="3"/>
  </r>
  <r>
    <s v="ORD101958"/>
    <x v="714"/>
    <x v="10"/>
    <x v="7"/>
    <x v="4"/>
    <x v="3"/>
    <s v="Football"/>
    <x v="2"/>
    <n v="6"/>
    <n v="9366.35"/>
    <n v="1.95"/>
    <n v="55102.239999999998"/>
    <n v="5404.04"/>
    <x v="0"/>
  </r>
  <r>
    <s v="ORD101959"/>
    <x v="715"/>
    <x v="5"/>
    <x v="8"/>
    <x v="2"/>
    <x v="3"/>
    <s v="Tennis Ball"/>
    <x v="0"/>
    <n v="4"/>
    <n v="3117.65"/>
    <n v="16.82"/>
    <n v="10373.049999999999"/>
    <n v="1187.83"/>
    <x v="0"/>
  </r>
  <r>
    <s v="ORD101960"/>
    <x v="715"/>
    <x v="3"/>
    <x v="9"/>
    <x v="0"/>
    <x v="2"/>
    <s v="Sofa"/>
    <x v="0"/>
    <n v="1"/>
    <n v="10591.55"/>
    <n v="20.66"/>
    <n v="8403.34"/>
    <n v="2293.85"/>
    <x v="2"/>
  </r>
  <r>
    <s v="ORD101961"/>
    <x v="715"/>
    <x v="8"/>
    <x v="10"/>
    <x v="1"/>
    <x v="4"/>
    <s v="Notebook"/>
    <x v="1"/>
    <n v="3"/>
    <n v="1483.5"/>
    <n v="28.02"/>
    <n v="3203.47"/>
    <n v="418.92"/>
    <x v="3"/>
  </r>
  <r>
    <s v="ORD101962"/>
    <x v="716"/>
    <x v="9"/>
    <x v="11"/>
    <x v="3"/>
    <x v="1"/>
    <s v="Jacket"/>
    <x v="2"/>
    <n v="10"/>
    <n v="2445.9499999999998"/>
    <n v="15.92"/>
    <n v="20565.55"/>
    <n v="3888.8"/>
    <x v="3"/>
  </r>
  <r>
    <s v="ORD101963"/>
    <x v="716"/>
    <x v="10"/>
    <x v="12"/>
    <x v="0"/>
    <x v="0"/>
    <s v="Cooking Oil"/>
    <x v="0"/>
    <n v="3"/>
    <n v="390.01"/>
    <n v="9"/>
    <n v="1064.73"/>
    <n v="318.18"/>
    <x v="4"/>
  </r>
  <r>
    <s v="ORD101964"/>
    <x v="716"/>
    <x v="1"/>
    <x v="13"/>
    <x v="3"/>
    <x v="1"/>
    <s v="Jeans"/>
    <x v="1"/>
    <n v="8"/>
    <n v="2275.3000000000002"/>
    <n v="16.91"/>
    <n v="15124.37"/>
    <n v="1046.8599999999999"/>
    <x v="2"/>
  </r>
  <r>
    <s v="ORD101965"/>
    <x v="717"/>
    <x v="13"/>
    <x v="14"/>
    <x v="2"/>
    <x v="2"/>
    <s v="Bookshelf"/>
    <x v="2"/>
    <n v="6"/>
    <n v="2368.42"/>
    <n v="19.54"/>
    <n v="11433.78"/>
    <n v="2100.6799999999998"/>
    <x v="0"/>
  </r>
  <r>
    <s v="ORD101966"/>
    <x v="717"/>
    <x v="0"/>
    <x v="0"/>
    <x v="2"/>
    <x v="2"/>
    <s v="Office Chair"/>
    <x v="0"/>
    <n v="4"/>
    <n v="2298.14"/>
    <n v="15.09"/>
    <n v="7805.4"/>
    <n v="1003.17"/>
    <x v="3"/>
  </r>
  <r>
    <s v="ORD101967"/>
    <x v="717"/>
    <x v="2"/>
    <x v="1"/>
    <x v="0"/>
    <x v="4"/>
    <s v="Dictionary"/>
    <x v="2"/>
    <n v="2"/>
    <n v="938.24"/>
    <n v="15.35"/>
    <n v="1588.44"/>
    <n v="450.27"/>
    <x v="2"/>
  </r>
  <r>
    <s v="ORD101968"/>
    <x v="718"/>
    <x v="8"/>
    <x v="2"/>
    <x v="4"/>
    <x v="4"/>
    <s v="Dictionary"/>
    <x v="1"/>
    <n v="5"/>
    <n v="1054.43"/>
    <n v="20.41"/>
    <n v="4196.1000000000004"/>
    <n v="1144.29"/>
    <x v="0"/>
  </r>
  <r>
    <s v="ORD101969"/>
    <x v="718"/>
    <x v="5"/>
    <x v="3"/>
    <x v="4"/>
    <x v="2"/>
    <s v="Desk"/>
    <x v="2"/>
    <n v="2"/>
    <n v="11332.3"/>
    <n v="6.64"/>
    <n v="21159.67"/>
    <n v="2093.88"/>
    <x v="3"/>
  </r>
  <r>
    <s v="ORD101970"/>
    <x v="719"/>
    <x v="14"/>
    <x v="4"/>
    <x v="2"/>
    <x v="0"/>
    <s v="Rice"/>
    <x v="1"/>
    <n v="2"/>
    <n v="2802.39"/>
    <n v="22.67"/>
    <n v="4334.18"/>
    <n v="1072.3800000000001"/>
    <x v="2"/>
  </r>
  <r>
    <s v="ORD101971"/>
    <x v="719"/>
    <x v="8"/>
    <x v="5"/>
    <x v="1"/>
    <x v="4"/>
    <s v="Comics"/>
    <x v="1"/>
    <n v="1"/>
    <n v="1587.01"/>
    <n v="1.1299999999999999"/>
    <n v="1569.08"/>
    <n v="192.47"/>
    <x v="2"/>
  </r>
  <r>
    <s v="ORD101972"/>
    <x v="719"/>
    <x v="0"/>
    <x v="6"/>
    <x v="2"/>
    <x v="4"/>
    <s v="Dictionary"/>
    <x v="2"/>
    <n v="9"/>
    <n v="2167.54"/>
    <n v="9.8800000000000008"/>
    <n v="17580.48"/>
    <n v="2497.02"/>
    <x v="4"/>
  </r>
  <r>
    <s v="ORD101973"/>
    <x v="720"/>
    <x v="14"/>
    <x v="7"/>
    <x v="4"/>
    <x v="1"/>
    <s v="T-Shirt"/>
    <x v="2"/>
    <n v="9"/>
    <n v="2273.61"/>
    <n v="29.21"/>
    <n v="14485.4"/>
    <n v="2100.81"/>
    <x v="1"/>
  </r>
  <r>
    <s v="ORD101974"/>
    <x v="720"/>
    <x v="4"/>
    <x v="8"/>
    <x v="3"/>
    <x v="0"/>
    <s v="Tea"/>
    <x v="2"/>
    <n v="5"/>
    <n v="1788.55"/>
    <n v="4.26"/>
    <n v="8561.7900000000009"/>
    <n v="983.3"/>
    <x v="0"/>
  </r>
  <r>
    <s v="ORD101975"/>
    <x v="720"/>
    <x v="1"/>
    <x v="9"/>
    <x v="4"/>
    <x v="4"/>
    <s v="Dictionary"/>
    <x v="1"/>
    <n v="7"/>
    <n v="515.4"/>
    <n v="4.1900000000000004"/>
    <n v="3456.63"/>
    <n v="415.85"/>
    <x v="4"/>
  </r>
  <r>
    <s v="ORD101976"/>
    <x v="721"/>
    <x v="3"/>
    <x v="10"/>
    <x v="3"/>
    <x v="2"/>
    <s v="Desk"/>
    <x v="2"/>
    <n v="4"/>
    <n v="21973.06"/>
    <n v="1.79"/>
    <n v="86318.97"/>
    <n v="16303.65"/>
    <x v="4"/>
  </r>
  <r>
    <s v="ORD101977"/>
    <x v="721"/>
    <x v="12"/>
    <x v="11"/>
    <x v="0"/>
    <x v="3"/>
    <s v="Tennis Ball"/>
    <x v="1"/>
    <n v="5"/>
    <n v="4541.79"/>
    <n v="23.05"/>
    <n v="17474.54"/>
    <n v="2030.23"/>
    <x v="4"/>
  </r>
  <r>
    <s v="ORD101978"/>
    <x v="721"/>
    <x v="4"/>
    <x v="12"/>
    <x v="1"/>
    <x v="0"/>
    <s v="Cooking Oil"/>
    <x v="2"/>
    <n v="6"/>
    <n v="1558.97"/>
    <n v="21.02"/>
    <n v="7387.65"/>
    <n v="1949.65"/>
    <x v="3"/>
  </r>
  <r>
    <s v="ORD101979"/>
    <x v="722"/>
    <x v="3"/>
    <x v="13"/>
    <x v="1"/>
    <x v="3"/>
    <s v="Cricket Bat"/>
    <x v="2"/>
    <n v="5"/>
    <n v="2554.41"/>
    <n v="28.7"/>
    <n v="9106.4699999999993"/>
    <n v="2151.5700000000002"/>
    <x v="2"/>
  </r>
  <r>
    <s v="ORD101980"/>
    <x v="722"/>
    <x v="13"/>
    <x v="14"/>
    <x v="3"/>
    <x v="3"/>
    <s v="Badminton Racket"/>
    <x v="1"/>
    <n v="9"/>
    <n v="4056.11"/>
    <n v="28.94"/>
    <n v="25940.45"/>
    <n v="5004.45"/>
    <x v="1"/>
  </r>
  <r>
    <s v="ORD101981"/>
    <x v="723"/>
    <x v="2"/>
    <x v="0"/>
    <x v="2"/>
    <x v="5"/>
    <s v="Headphones"/>
    <x v="1"/>
    <n v="9"/>
    <n v="59733.87"/>
    <n v="27.15"/>
    <n v="391645.12"/>
    <n v="20013.22"/>
    <x v="4"/>
  </r>
  <r>
    <s v="ORD101982"/>
    <x v="723"/>
    <x v="13"/>
    <x v="1"/>
    <x v="2"/>
    <x v="3"/>
    <s v="Tennis Ball"/>
    <x v="2"/>
    <n v="5"/>
    <n v="2109.7199999999998"/>
    <n v="2.4300000000000002"/>
    <n v="10292.27"/>
    <n v="2561.61"/>
    <x v="3"/>
  </r>
  <r>
    <s v="ORD101983"/>
    <x v="723"/>
    <x v="14"/>
    <x v="2"/>
    <x v="1"/>
    <x v="1"/>
    <s v="T-Shirt"/>
    <x v="0"/>
    <n v="10"/>
    <n v="2545.89"/>
    <n v="13.72"/>
    <n v="21965.94"/>
    <n v="3362.53"/>
    <x v="3"/>
  </r>
  <r>
    <s v="ORD101984"/>
    <x v="724"/>
    <x v="8"/>
    <x v="3"/>
    <x v="4"/>
    <x v="3"/>
    <s v="Tennis Ball"/>
    <x v="1"/>
    <n v="6"/>
    <n v="4997.49"/>
    <n v="20.89"/>
    <n v="23721.09"/>
    <n v="1841.01"/>
    <x v="4"/>
  </r>
  <r>
    <s v="ORD101985"/>
    <x v="724"/>
    <x v="2"/>
    <x v="4"/>
    <x v="2"/>
    <x v="2"/>
    <s v="Bookshelf"/>
    <x v="0"/>
    <n v="3"/>
    <n v="10973.56"/>
    <n v="7.42"/>
    <n v="30477.97"/>
    <n v="8839.1200000000008"/>
    <x v="4"/>
  </r>
  <r>
    <s v="ORD101986"/>
    <x v="724"/>
    <x v="5"/>
    <x v="5"/>
    <x v="2"/>
    <x v="0"/>
    <s v="Cooking Oil"/>
    <x v="2"/>
    <n v="6"/>
    <n v="963.48"/>
    <n v="0.92"/>
    <n v="5727.7"/>
    <n v="501.2"/>
    <x v="2"/>
  </r>
  <r>
    <s v="ORD101987"/>
    <x v="725"/>
    <x v="10"/>
    <x v="6"/>
    <x v="3"/>
    <x v="5"/>
    <s v="Headphones"/>
    <x v="2"/>
    <n v="3"/>
    <n v="12560.68"/>
    <n v="17.010000000000002"/>
    <n v="31272.32"/>
    <n v="7540.01"/>
    <x v="3"/>
  </r>
  <r>
    <s v="ORD101988"/>
    <x v="725"/>
    <x v="14"/>
    <x v="7"/>
    <x v="0"/>
    <x v="2"/>
    <s v="Office Chair"/>
    <x v="2"/>
    <n v="8"/>
    <n v="33800.080000000002"/>
    <n v="22.85"/>
    <n v="208614.09"/>
    <n v="28893.31"/>
    <x v="4"/>
  </r>
  <r>
    <s v="ORD101989"/>
    <x v="725"/>
    <x v="12"/>
    <x v="8"/>
    <x v="1"/>
    <x v="0"/>
    <s v="Coffee"/>
    <x v="0"/>
    <n v="1"/>
    <n v="1159.46"/>
    <n v="25.2"/>
    <n v="867.28"/>
    <n v="252.69"/>
    <x v="3"/>
  </r>
  <r>
    <s v="ORD101990"/>
    <x v="726"/>
    <x v="1"/>
    <x v="9"/>
    <x v="0"/>
    <x v="2"/>
    <s v="Bookshelf"/>
    <x v="2"/>
    <n v="2"/>
    <n v="8928.2900000000009"/>
    <n v="2.79"/>
    <n v="17358.38"/>
    <n v="1142.04"/>
    <x v="4"/>
  </r>
  <r>
    <s v="ORD101991"/>
    <x v="726"/>
    <x v="0"/>
    <x v="10"/>
    <x v="1"/>
    <x v="1"/>
    <s v="Dress"/>
    <x v="2"/>
    <n v="5"/>
    <n v="1655.72"/>
    <n v="7.95"/>
    <n v="7620.45"/>
    <n v="526.55999999999995"/>
    <x v="0"/>
  </r>
  <r>
    <s v="ORD101992"/>
    <x v="727"/>
    <x v="3"/>
    <x v="11"/>
    <x v="1"/>
    <x v="5"/>
    <s v="Monitor"/>
    <x v="0"/>
    <n v="10"/>
    <n v="11949.62"/>
    <n v="26.73"/>
    <n v="87554.87"/>
    <n v="26003.97"/>
    <x v="2"/>
  </r>
  <r>
    <s v="ORD101993"/>
    <x v="727"/>
    <x v="3"/>
    <x v="12"/>
    <x v="0"/>
    <x v="2"/>
    <s v="Table"/>
    <x v="2"/>
    <n v="6"/>
    <n v="26174.13"/>
    <n v="28.39"/>
    <n v="112459.77"/>
    <n v="13532.81"/>
    <x v="0"/>
  </r>
  <r>
    <s v="ORD101994"/>
    <x v="727"/>
    <x v="2"/>
    <x v="13"/>
    <x v="2"/>
    <x v="1"/>
    <s v="Jacket"/>
    <x v="0"/>
    <n v="9"/>
    <n v="4102.03"/>
    <n v="11.72"/>
    <n v="32591.45"/>
    <n v="5474.86"/>
    <x v="3"/>
  </r>
  <r>
    <s v="ORD101995"/>
    <x v="728"/>
    <x v="0"/>
    <x v="14"/>
    <x v="0"/>
    <x v="5"/>
    <s v="Keyboard"/>
    <x v="1"/>
    <n v="5"/>
    <n v="26600.83"/>
    <n v="14.16"/>
    <n v="114170.76"/>
    <n v="28504.959999999999"/>
    <x v="0"/>
  </r>
  <r>
    <s v="ORD101996"/>
    <x v="728"/>
    <x v="10"/>
    <x v="0"/>
    <x v="2"/>
    <x v="2"/>
    <s v="Bookshelf"/>
    <x v="0"/>
    <n v="4"/>
    <n v="26564.1"/>
    <n v="14.01"/>
    <n v="91369.88"/>
    <n v="15294.28"/>
    <x v="2"/>
  </r>
  <r>
    <s v="ORD101997"/>
    <x v="728"/>
    <x v="8"/>
    <x v="1"/>
    <x v="2"/>
    <x v="5"/>
    <s v="Laptop"/>
    <x v="0"/>
    <n v="9"/>
    <n v="54524.37"/>
    <n v="7.09"/>
    <n v="455927.33"/>
    <n v="65766.81"/>
    <x v="3"/>
  </r>
  <r>
    <s v="ORD101998"/>
    <x v="729"/>
    <x v="5"/>
    <x v="2"/>
    <x v="1"/>
    <x v="4"/>
    <s v="Textbook"/>
    <x v="2"/>
    <n v="2"/>
    <n v="481.66"/>
    <n v="19.559999999999999"/>
    <n v="774.89"/>
    <n v="95.04"/>
    <x v="1"/>
  </r>
  <r>
    <s v="ORD101999"/>
    <x v="729"/>
    <x v="12"/>
    <x v="3"/>
    <x v="4"/>
    <x v="1"/>
    <s v="Jeans"/>
    <x v="0"/>
    <n v="7"/>
    <n v="1444.12"/>
    <n v="12.68"/>
    <n v="8827.0400000000009"/>
    <n v="2569.16"/>
    <x v="1"/>
  </r>
  <r>
    <s v="ORD102000"/>
    <x v="730"/>
    <x v="4"/>
    <x v="15"/>
    <x v="4"/>
    <x v="5"/>
    <s v="TV"/>
    <x v="0"/>
    <n v="2"/>
    <n v="481.66"/>
    <n v="19.559999999999999"/>
    <n v="774.89"/>
    <n v="95.04"/>
    <x v="3"/>
  </r>
  <r>
    <m/>
    <x v="731"/>
    <x v="15"/>
    <x v="16"/>
    <x v="5"/>
    <x v="6"/>
    <m/>
    <x v="3"/>
    <m/>
    <m/>
    <m/>
    <m/>
    <m/>
    <x v="5"/>
  </r>
  <r>
    <m/>
    <x v="731"/>
    <x v="15"/>
    <x v="16"/>
    <x v="5"/>
    <x v="6"/>
    <m/>
    <x v="3"/>
    <m/>
    <m/>
    <m/>
    <m/>
    <m/>
    <x v="5"/>
  </r>
  <r>
    <m/>
    <x v="731"/>
    <x v="15"/>
    <x v="16"/>
    <x v="5"/>
    <x v="6"/>
    <m/>
    <x v="3"/>
    <m/>
    <m/>
    <m/>
    <m/>
    <m/>
    <x v="5"/>
  </r>
  <r>
    <m/>
    <x v="731"/>
    <x v="15"/>
    <x v="16"/>
    <x v="5"/>
    <x v="6"/>
    <m/>
    <x v="3"/>
    <m/>
    <m/>
    <m/>
    <m/>
    <m/>
    <x v="5"/>
  </r>
  <r>
    <m/>
    <x v="731"/>
    <x v="15"/>
    <x v="16"/>
    <x v="5"/>
    <x v="6"/>
    <m/>
    <x v="3"/>
    <m/>
    <m/>
    <m/>
    <m/>
    <m/>
    <x v="5"/>
  </r>
  <r>
    <m/>
    <x v="731"/>
    <x v="15"/>
    <x v="16"/>
    <x v="5"/>
    <x v="6"/>
    <m/>
    <x v="3"/>
    <m/>
    <m/>
    <m/>
    <m/>
    <m/>
    <x v="5"/>
  </r>
  <r>
    <m/>
    <x v="731"/>
    <x v="15"/>
    <x v="16"/>
    <x v="5"/>
    <x v="6"/>
    <m/>
    <x v="3"/>
    <m/>
    <m/>
    <m/>
    <m/>
    <m/>
    <x v="5"/>
  </r>
  <r>
    <s v="ORD1020001"/>
    <x v="732"/>
    <x v="9"/>
    <x v="17"/>
    <x v="0"/>
    <x v="2"/>
    <s v="Sofa"/>
    <x v="0"/>
    <n v="214"/>
    <n v="2"/>
    <n v="10"/>
    <n v="45"/>
    <n v="3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H17:I22" firstHeaderRow="1" firstDataRow="1" firstDataCol="1"/>
  <pivotFields count="14">
    <pivotField showAll="0"/>
    <pivotField showAll="0">
      <items count="15">
        <item x="0"/>
        <item x="1"/>
        <item x="2"/>
        <item x="3"/>
        <item x="4"/>
        <item x="5"/>
        <item x="6"/>
        <item x="7"/>
        <item x="8"/>
        <item x="9"/>
        <item x="10"/>
        <item x="11"/>
        <item x="12"/>
        <item x="13"/>
        <item t="default"/>
      </items>
    </pivotField>
    <pivotField showAll="0"/>
    <pivotField showAll="0"/>
    <pivotField showAll="0">
      <items count="7">
        <item x="1"/>
        <item x="0"/>
        <item x="4"/>
        <item x="3"/>
        <item x="2"/>
        <item x="5"/>
        <item t="default"/>
      </items>
    </pivotField>
    <pivotField showAll="0">
      <items count="8">
        <item x="4"/>
        <item x="1"/>
        <item x="5"/>
        <item x="2"/>
        <item x="0"/>
        <item x="3"/>
        <item x="6"/>
        <item t="default"/>
      </items>
    </pivotField>
    <pivotField showAll="0"/>
    <pivotField axis="axisRow" showAll="0">
      <items count="5">
        <item x="0"/>
        <item x="2"/>
        <item x="1"/>
        <item x="3"/>
        <item t="default"/>
      </items>
    </pivotField>
    <pivotField showAll="0"/>
    <pivotField showAll="0"/>
    <pivotField showAll="0"/>
    <pivotField dataField="1" showAll="0"/>
    <pivotField showAll="0"/>
    <pivotField showAll="0">
      <items count="7">
        <item x="0"/>
        <item x="4"/>
        <item x="1"/>
        <item x="2"/>
        <item x="3"/>
        <item x="5"/>
        <item t="default"/>
      </items>
    </pivotField>
  </pivotFields>
  <rowFields count="1">
    <field x="7"/>
  </rowFields>
  <rowItems count="5">
    <i>
      <x/>
    </i>
    <i>
      <x v="1"/>
    </i>
    <i>
      <x v="2"/>
    </i>
    <i>
      <x v="3"/>
    </i>
    <i t="grand">
      <x/>
    </i>
  </rowItems>
  <colItems count="1">
    <i/>
  </colItems>
  <dataFields count="1">
    <dataField name="Sum of Sales" fld="11" baseField="0" baseItem="0"/>
  </dataFields>
  <chartFormats count="7">
    <chartFormat chart="3" format="0"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7" count="1" selected="0">
            <x v="0"/>
          </reference>
        </references>
      </pivotArea>
    </chartFormat>
    <chartFormat chart="5" format="8">
      <pivotArea type="data" outline="0" fieldPosition="0">
        <references count="2">
          <reference field="4294967294" count="1" selected="0">
            <x v="0"/>
          </reference>
          <reference field="7" count="1" selected="0">
            <x v="1"/>
          </reference>
        </references>
      </pivotArea>
    </chartFormat>
    <chartFormat chart="5" format="9">
      <pivotArea type="data" outline="0" fieldPosition="0">
        <references count="2">
          <reference field="4294967294" count="1" selected="0">
            <x v="0"/>
          </reference>
          <reference field="7" count="1" selected="0">
            <x v="2"/>
          </reference>
        </references>
      </pivotArea>
    </chartFormat>
    <chartFormat chart="5" format="10">
      <pivotArea type="data" outline="0" fieldPosition="0">
        <references count="2">
          <reference field="4294967294" count="1" selected="0">
            <x v="0"/>
          </reference>
          <reference field="7" count="1" selected="0">
            <x v="3"/>
          </reference>
        </references>
      </pivotArea>
    </chartFormat>
    <chartFormat chart="5" format="1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H9:I15" firstHeaderRow="1" firstDataRow="1" firstDataCol="1"/>
  <pivotFields count="14">
    <pivotField showAll="0"/>
    <pivotField showAll="0">
      <items count="15">
        <item x="0"/>
        <item x="1"/>
        <item x="2"/>
        <item x="3"/>
        <item x="4"/>
        <item x="5"/>
        <item x="6"/>
        <item x="7"/>
        <item x="8"/>
        <item x="9"/>
        <item x="10"/>
        <item x="11"/>
        <item x="12"/>
        <item x="13"/>
        <item t="default"/>
      </items>
    </pivotField>
    <pivotField showAll="0"/>
    <pivotField axis="axisRow" showAll="0" measureFilter="1">
      <items count="20">
        <item x="6"/>
        <item x="0"/>
        <item x="12"/>
        <item x="13"/>
        <item x="2"/>
        <item x="14"/>
        <item x="4"/>
        <item x="11"/>
        <item x="7"/>
        <item x="3"/>
        <item x="9"/>
        <item x="10"/>
        <item x="1"/>
        <item x="8"/>
        <item x="15"/>
        <item x="5"/>
        <item x="16"/>
        <item m="1" x="18"/>
        <item x="17"/>
        <item t="default"/>
      </items>
    </pivotField>
    <pivotField showAll="0">
      <items count="7">
        <item x="1"/>
        <item x="0"/>
        <item x="4"/>
        <item x="3"/>
        <item x="2"/>
        <item x="5"/>
        <item t="default"/>
      </items>
    </pivotField>
    <pivotField showAll="0">
      <items count="8">
        <item x="4"/>
        <item x="1"/>
        <item x="5"/>
        <item x="2"/>
        <item x="0"/>
        <item x="3"/>
        <item x="6"/>
        <item t="default"/>
      </items>
    </pivotField>
    <pivotField showAll="0"/>
    <pivotField showAll="0">
      <items count="5">
        <item x="0"/>
        <item x="2"/>
        <item x="1"/>
        <item x="3"/>
        <item t="default"/>
      </items>
    </pivotField>
    <pivotField showAll="0"/>
    <pivotField showAll="0"/>
    <pivotField showAll="0"/>
    <pivotField dataField="1" showAll="0"/>
    <pivotField showAll="0"/>
    <pivotField showAll="0">
      <items count="7">
        <item x="0"/>
        <item x="4"/>
        <item x="1"/>
        <item x="2"/>
        <item x="3"/>
        <item x="5"/>
        <item t="default"/>
      </items>
    </pivotField>
  </pivotFields>
  <rowFields count="1">
    <field x="3"/>
  </rowFields>
  <rowItems count="6">
    <i>
      <x v="2"/>
    </i>
    <i>
      <x v="6"/>
    </i>
    <i>
      <x v="7"/>
    </i>
    <i>
      <x v="12"/>
    </i>
    <i>
      <x v="15"/>
    </i>
    <i t="grand">
      <x/>
    </i>
  </rowItems>
  <colItems count="1">
    <i/>
  </colItems>
  <dataFields count="1">
    <dataField name="Sum of Sales" fld="11"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H1:I7" firstHeaderRow="1" firstDataRow="1" firstDataCol="1"/>
  <pivotFields count="14">
    <pivotField showAll="0"/>
    <pivotField showAll="0">
      <items count="15">
        <item x="0"/>
        <item x="1"/>
        <item x="2"/>
        <item x="3"/>
        <item x="4"/>
        <item x="5"/>
        <item x="6"/>
        <item x="7"/>
        <item x="8"/>
        <item x="9"/>
        <item x="10"/>
        <item x="11"/>
        <item x="12"/>
        <item x="13"/>
        <item t="default"/>
      </items>
    </pivotField>
    <pivotField axis="axisRow" showAll="0" measureFilter="1" sortType="descending">
      <items count="17">
        <item x="4"/>
        <item x="14"/>
        <item x="2"/>
        <item x="3"/>
        <item x="9"/>
        <item x="11"/>
        <item x="1"/>
        <item x="12"/>
        <item x="5"/>
        <item x="10"/>
        <item x="8"/>
        <item x="6"/>
        <item x="7"/>
        <item x="0"/>
        <item x="13"/>
        <item x="15"/>
        <item t="default"/>
      </items>
      <autoSortScope>
        <pivotArea dataOnly="0" outline="0" fieldPosition="0">
          <references count="1">
            <reference field="4294967294" count="1" selected="0">
              <x v="0"/>
            </reference>
          </references>
        </pivotArea>
      </autoSortScope>
    </pivotField>
    <pivotField showAll="0"/>
    <pivotField showAll="0">
      <items count="7">
        <item x="1"/>
        <item x="0"/>
        <item x="4"/>
        <item x="3"/>
        <item x="2"/>
        <item x="5"/>
        <item t="default"/>
      </items>
    </pivotField>
    <pivotField showAll="0">
      <items count="8">
        <item x="4"/>
        <item x="1"/>
        <item x="5"/>
        <item x="2"/>
        <item x="0"/>
        <item x="3"/>
        <item x="6"/>
        <item t="default"/>
      </items>
    </pivotField>
    <pivotField showAll="0"/>
    <pivotField showAll="0">
      <items count="5">
        <item x="0"/>
        <item x="2"/>
        <item x="1"/>
        <item x="3"/>
        <item t="default"/>
      </items>
    </pivotField>
    <pivotField showAll="0"/>
    <pivotField showAll="0"/>
    <pivotField showAll="0"/>
    <pivotField dataField="1" showAll="0"/>
    <pivotField showAll="0"/>
    <pivotField showAll="0">
      <items count="7">
        <item x="0"/>
        <item x="4"/>
        <item x="1"/>
        <item x="2"/>
        <item x="3"/>
        <item x="5"/>
        <item t="default"/>
      </items>
    </pivotField>
  </pivotFields>
  <rowFields count="1">
    <field x="2"/>
  </rowFields>
  <rowItems count="6">
    <i>
      <x v="1"/>
    </i>
    <i>
      <x v="10"/>
    </i>
    <i>
      <x v="11"/>
    </i>
    <i>
      <x v="2"/>
    </i>
    <i>
      <x v="5"/>
    </i>
    <i t="grand">
      <x/>
    </i>
  </rowItems>
  <colItems count="1">
    <i/>
  </colItems>
  <dataFields count="1">
    <dataField name="Sum of Sales" fld="1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E1:F9" firstHeaderRow="1" firstDataRow="1" firstDataCol="1"/>
  <pivotFields count="14">
    <pivotField showAll="0"/>
    <pivotField showAll="0">
      <items count="15">
        <item x="0"/>
        <item x="1"/>
        <item x="2"/>
        <item x="3"/>
        <item x="4"/>
        <item x="5"/>
        <item x="6"/>
        <item x="7"/>
        <item x="8"/>
        <item x="9"/>
        <item x="10"/>
        <item x="11"/>
        <item x="12"/>
        <item x="13"/>
        <item t="default"/>
      </items>
    </pivotField>
    <pivotField showAll="0"/>
    <pivotField showAll="0"/>
    <pivotField showAll="0">
      <items count="7">
        <item x="1"/>
        <item x="0"/>
        <item x="4"/>
        <item x="3"/>
        <item x="2"/>
        <item x="5"/>
        <item t="default"/>
      </items>
    </pivotField>
    <pivotField axis="axisRow" showAll="0">
      <items count="8">
        <item x="4"/>
        <item x="1"/>
        <item x="5"/>
        <item x="2"/>
        <item x="0"/>
        <item x="3"/>
        <item x="6"/>
        <item t="default"/>
      </items>
    </pivotField>
    <pivotField showAll="0"/>
    <pivotField showAll="0">
      <items count="5">
        <item x="0"/>
        <item x="2"/>
        <item x="1"/>
        <item x="3"/>
        <item t="default"/>
      </items>
    </pivotField>
    <pivotField showAll="0"/>
    <pivotField showAll="0"/>
    <pivotField showAll="0"/>
    <pivotField dataField="1" showAll="0"/>
    <pivotField showAll="0"/>
    <pivotField showAll="0">
      <items count="7">
        <item x="0"/>
        <item x="4"/>
        <item x="1"/>
        <item x="2"/>
        <item x="3"/>
        <item x="5"/>
        <item t="default"/>
      </items>
    </pivotField>
  </pivotFields>
  <rowFields count="1">
    <field x="5"/>
  </rowFields>
  <rowItems count="8">
    <i>
      <x/>
    </i>
    <i>
      <x v="1"/>
    </i>
    <i>
      <x v="2"/>
    </i>
    <i>
      <x v="3"/>
    </i>
    <i>
      <x v="4"/>
    </i>
    <i>
      <x v="5"/>
    </i>
    <i>
      <x v="6"/>
    </i>
    <i t="grand">
      <x/>
    </i>
  </rowItems>
  <colItems count="1">
    <i/>
  </colItems>
  <dataFields count="1">
    <dataField name="Sum of Sales" fld="11" baseField="0" baseItem="0"/>
  </dataFields>
  <chartFormats count="10">
    <chartFormat chart="2" format="0"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5" count="1" selected="0">
            <x v="0"/>
          </reference>
        </references>
      </pivotArea>
    </chartFormat>
    <chartFormat chart="4" format="11">
      <pivotArea type="data" outline="0" fieldPosition="0">
        <references count="2">
          <reference field="4294967294" count="1" selected="0">
            <x v="0"/>
          </reference>
          <reference field="5" count="1" selected="0">
            <x v="1"/>
          </reference>
        </references>
      </pivotArea>
    </chartFormat>
    <chartFormat chart="4" format="12">
      <pivotArea type="data" outline="0" fieldPosition="0">
        <references count="2">
          <reference field="4294967294" count="1" selected="0">
            <x v="0"/>
          </reference>
          <reference field="5" count="1" selected="0">
            <x v="2"/>
          </reference>
        </references>
      </pivotArea>
    </chartFormat>
    <chartFormat chart="4" format="13">
      <pivotArea type="data" outline="0" fieldPosition="0">
        <references count="2">
          <reference field="4294967294" count="1" selected="0">
            <x v="0"/>
          </reference>
          <reference field="5" count="1" selected="0">
            <x v="3"/>
          </reference>
        </references>
      </pivotArea>
    </chartFormat>
    <chartFormat chart="4" format="14">
      <pivotArea type="data" outline="0" fieldPosition="0">
        <references count="2">
          <reference field="4294967294" count="1" selected="0">
            <x v="0"/>
          </reference>
          <reference field="5" count="1" selected="0">
            <x v="4"/>
          </reference>
        </references>
      </pivotArea>
    </chartFormat>
    <chartFormat chart="4" format="15">
      <pivotArea type="data" outline="0" fieldPosition="0">
        <references count="2">
          <reference field="4294967294" count="1" selected="0">
            <x v="0"/>
          </reference>
          <reference field="5" count="1" selected="0">
            <x v="5"/>
          </reference>
        </references>
      </pivotArea>
    </chartFormat>
    <chartFormat chart="4" format="16">
      <pivotArea type="data" outline="0" fieldPosition="0">
        <references count="2">
          <reference field="4294967294" count="1" selected="0">
            <x v="0"/>
          </reference>
          <reference field="5" count="1" selected="0">
            <x v="6"/>
          </reference>
        </references>
      </pivotArea>
    </chartFormat>
    <chartFormat chart="4" format="17">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1:C15" firstHeaderRow="0" firstDataRow="1" firstDataCol="1"/>
  <pivotFields count="14">
    <pivotField showAll="0"/>
    <pivotField axis="axisRow" showAll="0">
      <items count="15">
        <item x="0"/>
        <item x="1"/>
        <item x="2"/>
        <item x="3"/>
        <item x="4"/>
        <item x="5"/>
        <item x="6"/>
        <item x="7"/>
        <item x="8"/>
        <item x="9"/>
        <item x="10"/>
        <item x="11"/>
        <item x="12"/>
        <item x="13"/>
        <item t="default"/>
      </items>
    </pivotField>
    <pivotField showAll="0"/>
    <pivotField showAll="0"/>
    <pivotField showAll="0">
      <items count="7">
        <item x="1"/>
        <item x="0"/>
        <item x="4"/>
        <item x="3"/>
        <item x="2"/>
        <item x="5"/>
        <item t="default"/>
      </items>
    </pivotField>
    <pivotField showAll="0">
      <items count="8">
        <item x="4"/>
        <item x="1"/>
        <item x="5"/>
        <item x="2"/>
        <item x="0"/>
        <item x="3"/>
        <item x="6"/>
        <item t="default"/>
      </items>
    </pivotField>
    <pivotField showAll="0"/>
    <pivotField showAll="0">
      <items count="5">
        <item x="0"/>
        <item x="2"/>
        <item x="1"/>
        <item x="3"/>
        <item t="default"/>
      </items>
    </pivotField>
    <pivotField showAll="0"/>
    <pivotField showAll="0"/>
    <pivotField showAll="0"/>
    <pivotField dataField="1" showAll="0"/>
    <pivotField dataField="1" showAll="0"/>
    <pivotField showAll="0">
      <items count="7">
        <item x="0"/>
        <item x="4"/>
        <item x="1"/>
        <item x="2"/>
        <item x="3"/>
        <item x="5"/>
        <item t="default"/>
      </items>
    </pivotField>
  </pivotFields>
  <rowFields count="1">
    <field x="1"/>
  </rowFields>
  <rowItems count="14">
    <i>
      <x/>
    </i>
    <i>
      <x v="1"/>
    </i>
    <i>
      <x v="2"/>
    </i>
    <i>
      <x v="3"/>
    </i>
    <i>
      <x v="4"/>
    </i>
    <i>
      <x v="5"/>
    </i>
    <i>
      <x v="6"/>
    </i>
    <i>
      <x v="7"/>
    </i>
    <i>
      <x v="8"/>
    </i>
    <i>
      <x v="9"/>
    </i>
    <i>
      <x v="10"/>
    </i>
    <i>
      <x v="11"/>
    </i>
    <i>
      <x v="12"/>
    </i>
    <i t="grand">
      <x/>
    </i>
  </rowItems>
  <colFields count="1">
    <field x="-2"/>
  </colFields>
  <colItems count="2">
    <i>
      <x/>
    </i>
    <i i="1">
      <x v="1"/>
    </i>
  </colItems>
  <dataFields count="2">
    <dataField name="Sum of Sales" fld="11" baseField="0" baseItem="0"/>
    <dataField name="Sum of Profit" fld="12"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19:B26" firstHeaderRow="1" firstDataRow="1" firstDataCol="1"/>
  <pivotFields count="14">
    <pivotField showAll="0"/>
    <pivotField showAll="0">
      <items count="15">
        <item x="0"/>
        <item x="1"/>
        <item x="2"/>
        <item x="3"/>
        <item x="4"/>
        <item x="5"/>
        <item x="6"/>
        <item x="7"/>
        <item x="8"/>
        <item x="9"/>
        <item x="10"/>
        <item x="11"/>
        <item x="12"/>
        <item x="13"/>
        <item t="default"/>
      </items>
    </pivotField>
    <pivotField showAll="0"/>
    <pivotField showAll="0"/>
    <pivotField showAll="0">
      <items count="7">
        <item x="1"/>
        <item x="0"/>
        <item x="4"/>
        <item x="3"/>
        <item x="2"/>
        <item x="5"/>
        <item t="default"/>
      </items>
    </pivotField>
    <pivotField showAll="0">
      <items count="8">
        <item x="4"/>
        <item x="1"/>
        <item x="5"/>
        <item x="2"/>
        <item x="0"/>
        <item x="3"/>
        <item x="6"/>
        <item t="default"/>
      </items>
    </pivotField>
    <pivotField showAll="0"/>
    <pivotField showAll="0">
      <items count="5">
        <item x="0"/>
        <item x="2"/>
        <item x="1"/>
        <item x="3"/>
        <item t="default"/>
      </items>
    </pivotField>
    <pivotField showAll="0"/>
    <pivotField showAll="0"/>
    <pivotField showAll="0"/>
    <pivotField dataField="1" showAll="0"/>
    <pivotField showAll="0"/>
    <pivotField axis="axisRow" showAll="0">
      <items count="7">
        <item x="0"/>
        <item x="4"/>
        <item x="1"/>
        <item x="2"/>
        <item x="3"/>
        <item x="5"/>
        <item t="default"/>
      </items>
    </pivotField>
  </pivotFields>
  <rowFields count="1">
    <field x="13"/>
  </rowFields>
  <rowItems count="7">
    <i>
      <x/>
    </i>
    <i>
      <x v="1"/>
    </i>
    <i>
      <x v="2"/>
    </i>
    <i>
      <x v="3"/>
    </i>
    <i>
      <x v="4"/>
    </i>
    <i>
      <x v="5"/>
    </i>
    <i t="grand">
      <x/>
    </i>
  </rowItems>
  <colItems count="1">
    <i/>
  </colItems>
  <dataFields count="1">
    <dataField name="Sum of Sales" fld="11" baseField="0" baseItem="0"/>
  </dataFields>
  <chartFormats count="16">
    <chartFormat chart="2"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13" count="1" selected="0">
            <x v="0"/>
          </reference>
        </references>
      </pivotArea>
    </chartFormat>
    <chartFormat chart="3" format="3">
      <pivotArea type="data" outline="0" fieldPosition="0">
        <references count="2">
          <reference field="4294967294" count="1" selected="0">
            <x v="0"/>
          </reference>
          <reference field="13" count="1" selected="0">
            <x v="1"/>
          </reference>
        </references>
      </pivotArea>
    </chartFormat>
    <chartFormat chart="3" format="4">
      <pivotArea type="data" outline="0" fieldPosition="0">
        <references count="2">
          <reference field="4294967294" count="1" selected="0">
            <x v="0"/>
          </reference>
          <reference field="13" count="1" selected="0">
            <x v="2"/>
          </reference>
        </references>
      </pivotArea>
    </chartFormat>
    <chartFormat chart="3" format="5">
      <pivotArea type="data" outline="0" fieldPosition="0">
        <references count="2">
          <reference field="4294967294" count="1" selected="0">
            <x v="0"/>
          </reference>
          <reference field="13" count="1" selected="0">
            <x v="3"/>
          </reference>
        </references>
      </pivotArea>
    </chartFormat>
    <chartFormat chart="3" format="6">
      <pivotArea type="data" outline="0" fieldPosition="0">
        <references count="2">
          <reference field="4294967294" count="1" selected="0">
            <x v="0"/>
          </reference>
          <reference field="13" count="1" selected="0">
            <x v="4"/>
          </reference>
        </references>
      </pivotArea>
    </chartFormat>
    <chartFormat chart="3" format="7">
      <pivotArea type="data" outline="0" fieldPosition="0">
        <references count="2">
          <reference field="4294967294" count="1" selected="0">
            <x v="0"/>
          </reference>
          <reference field="13" count="1" selected="0">
            <x v="5"/>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13" count="1" selected="0">
            <x v="0"/>
          </reference>
        </references>
      </pivotArea>
    </chartFormat>
    <chartFormat chart="4" format="10">
      <pivotArea type="data" outline="0" fieldPosition="0">
        <references count="2">
          <reference field="4294967294" count="1" selected="0">
            <x v="0"/>
          </reference>
          <reference field="13" count="1" selected="0">
            <x v="1"/>
          </reference>
        </references>
      </pivotArea>
    </chartFormat>
    <chartFormat chart="4" format="11">
      <pivotArea type="data" outline="0" fieldPosition="0">
        <references count="2">
          <reference field="4294967294" count="1" selected="0">
            <x v="0"/>
          </reference>
          <reference field="13" count="1" selected="0">
            <x v="2"/>
          </reference>
        </references>
      </pivotArea>
    </chartFormat>
    <chartFormat chart="4" format="12">
      <pivotArea type="data" outline="0" fieldPosition="0">
        <references count="2">
          <reference field="4294967294" count="1" selected="0">
            <x v="0"/>
          </reference>
          <reference field="13" count="1" selected="0">
            <x v="3"/>
          </reference>
        </references>
      </pivotArea>
    </chartFormat>
    <chartFormat chart="4" format="13">
      <pivotArea type="data" outline="0" fieldPosition="0">
        <references count="2">
          <reference field="4294967294" count="1" selected="0">
            <x v="0"/>
          </reference>
          <reference field="13" count="1" selected="0">
            <x v="4"/>
          </reference>
        </references>
      </pivotArea>
    </chartFormat>
    <chartFormat chart="4" format="14">
      <pivotArea type="data" outline="0" fieldPosition="0">
        <references count="2">
          <reference field="4294967294" count="1" selected="0">
            <x v="0"/>
          </reference>
          <reference field="13" count="1" selected="0">
            <x v="5"/>
          </reference>
        </references>
      </pivotArea>
    </chartFormat>
    <chartFormat chart="4" format="15">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E11:F18" firstHeaderRow="1" firstDataRow="1" firstDataCol="1"/>
  <pivotFields count="14">
    <pivotField showAll="0"/>
    <pivotField showAll="0">
      <items count="15">
        <item x="0"/>
        <item x="1"/>
        <item x="2"/>
        <item x="3"/>
        <item x="4"/>
        <item x="5"/>
        <item x="6"/>
        <item x="7"/>
        <item x="8"/>
        <item x="9"/>
        <item x="10"/>
        <item x="11"/>
        <item x="12"/>
        <item x="13"/>
        <item t="default"/>
      </items>
    </pivotField>
    <pivotField showAll="0"/>
    <pivotField showAll="0"/>
    <pivotField axis="axisRow" showAll="0">
      <items count="7">
        <item x="1"/>
        <item x="0"/>
        <item x="4"/>
        <item x="3"/>
        <item x="2"/>
        <item x="5"/>
        <item t="default"/>
      </items>
    </pivotField>
    <pivotField showAll="0">
      <items count="8">
        <item x="4"/>
        <item x="1"/>
        <item x="5"/>
        <item x="2"/>
        <item x="0"/>
        <item x="3"/>
        <item x="6"/>
        <item t="default"/>
      </items>
    </pivotField>
    <pivotField showAll="0"/>
    <pivotField showAll="0">
      <items count="5">
        <item x="0"/>
        <item x="2"/>
        <item x="1"/>
        <item x="3"/>
        <item t="default"/>
      </items>
    </pivotField>
    <pivotField showAll="0"/>
    <pivotField showAll="0"/>
    <pivotField showAll="0"/>
    <pivotField dataField="1" showAll="0"/>
    <pivotField showAll="0"/>
    <pivotField showAll="0">
      <items count="7">
        <item x="0"/>
        <item x="4"/>
        <item x="1"/>
        <item x="2"/>
        <item x="3"/>
        <item x="5"/>
        <item t="default"/>
      </items>
    </pivotField>
  </pivotFields>
  <rowFields count="1">
    <field x="4"/>
  </rowFields>
  <rowItems count="7">
    <i>
      <x/>
    </i>
    <i>
      <x v="1"/>
    </i>
    <i>
      <x v="2"/>
    </i>
    <i>
      <x v="3"/>
    </i>
    <i>
      <x v="4"/>
    </i>
    <i>
      <x v="5"/>
    </i>
    <i t="grand">
      <x/>
    </i>
  </rowItems>
  <colItems count="1">
    <i/>
  </colItems>
  <dataFields count="1">
    <dataField name="Sum of Sales" fld="11"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4" name="PivotTable3"/>
    <pivotTable tabId="4" name="PivotTable1"/>
    <pivotTable tabId="4" name="PivotTable2"/>
    <pivotTable tabId="4" name="PivotTable4"/>
    <pivotTable tabId="4" name="PivotTable5"/>
    <pivotTable tabId="4" name="PivotTable6"/>
    <pivotTable tabId="4" name="PivotTable7"/>
  </pivotTables>
  <data>
    <tabular pivotCacheId="1060807317">
      <items count="6">
        <i x="1" s="1"/>
        <i x="0" s="1"/>
        <i x="4" s="1"/>
        <i x="3" s="1"/>
        <i x="2"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4" name="PivotTable3"/>
    <pivotTable tabId="4" name="PivotTable1"/>
    <pivotTable tabId="4" name="PivotTable2"/>
    <pivotTable tabId="4" name="PivotTable4"/>
    <pivotTable tabId="4" name="PivotTable5"/>
    <pivotTable tabId="4" name="PivotTable6"/>
    <pivotTable tabId="4" name="PivotTable7"/>
  </pivotTables>
  <data>
    <tabular pivotCacheId="1060807317">
      <items count="7">
        <i x="4" s="1"/>
        <i x="1" s="1"/>
        <i x="5" s="1"/>
        <i x="2" s="1"/>
        <i x="0" s="1"/>
        <i x="3" s="1"/>
        <i x="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ustomer_Segment" sourceName="Customer_Segment">
  <pivotTables>
    <pivotTable tabId="4" name="PivotTable3"/>
    <pivotTable tabId="4" name="PivotTable1"/>
    <pivotTable tabId="4" name="PivotTable2"/>
    <pivotTable tabId="4" name="PivotTable4"/>
    <pivotTable tabId="4" name="PivotTable5"/>
    <pivotTable tabId="4" name="PivotTable6"/>
    <pivotTable tabId="4" name="PivotTable7"/>
  </pivotTables>
  <data>
    <tabular pivotCacheId="1060807317">
      <items count="4">
        <i x="0" s="1"/>
        <i x="2" s="1"/>
        <i x="1" s="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ayment_Method" sourceName="Payment_Method">
  <pivotTables>
    <pivotTable tabId="4" name="PivotTable3"/>
    <pivotTable tabId="4" name="PivotTable1"/>
    <pivotTable tabId="4" name="PivotTable2"/>
    <pivotTable tabId="4" name="PivotTable4"/>
    <pivotTable tabId="4" name="PivotTable5"/>
    <pivotTable tabId="4" name="PivotTable6"/>
    <pivotTable tabId="4" name="PivotTable7"/>
  </pivotTables>
  <data>
    <tabular pivotCacheId="1060807317">
      <items count="6">
        <i x="0" s="1"/>
        <i x="4" s="1"/>
        <i x="1" s="1"/>
        <i x="2" s="1"/>
        <i x="3" s="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style="SlicerStyleLight4" rowHeight="241300"/>
  <slicer name="Category" cache="Slicer_Category" caption="Category" style="SlicerStyleLight4" rowHeight="241300"/>
  <slicer name="Customer_Segment" cache="Slicer_Customer_Segment" caption="Customer_Segment" style="SlicerStyleLight4" rowHeight="241300"/>
  <slicer name="Payment_Method" cache="Slicer_Payment_Method" caption="Payment_Method" style="SlicerStyleLight4" rowHeight="241300"/>
</slicers>
</file>

<file path=xl/tables/table1.xml><?xml version="1.0" encoding="utf-8"?>
<table xmlns="http://schemas.openxmlformats.org/spreadsheetml/2006/main" id="2" name="tblSales" displayName="tblSales" ref="A1:N2009" totalsRowShown="0" headerRowDxfId="16" headerRowBorderDxfId="15" tableBorderDxfId="14">
  <autoFilter ref="A1:N2009"/>
  <tableColumns count="14">
    <tableColumn id="1" name="Order_ID" dataDxfId="13"/>
    <tableColumn id="2" name="Order_Date" dataDxfId="12"/>
    <tableColumn id="3" name="State" dataDxfId="11"/>
    <tableColumn id="4" name="City" dataDxfId="10"/>
    <tableColumn id="5" name="Region" dataDxfId="9"/>
    <tableColumn id="6" name="Category" dataDxfId="8"/>
    <tableColumn id="7" name="Product" dataDxfId="7"/>
    <tableColumn id="8" name="Customer_Segment" dataDxfId="6"/>
    <tableColumn id="9" name="Quantity" dataDxfId="5"/>
    <tableColumn id="10" name="Unit_Price" dataDxfId="4"/>
    <tableColumn id="11" name="Discount_Percent" dataDxfId="3"/>
    <tableColumn id="12" name="Sales" dataDxfId="2"/>
    <tableColumn id="13" name="Profit" dataDxfId="1"/>
    <tableColumn id="14" name="Payment_Metho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Order_Date" sourceName="Order_Date">
  <pivotTables>
    <pivotTable tabId="4" name="PivotTable3"/>
    <pivotTable tabId="4" name="PivotTable1"/>
    <pivotTable tabId="4" name="PivotTable2"/>
    <pivotTable tabId="4" name="PivotTable4"/>
    <pivotTable tabId="4" name="PivotTable5"/>
    <pivotTable tabId="4" name="PivotTable6"/>
    <pivotTable tabId="4" name="PivotTable7"/>
  </pivotTables>
  <state minimalRefreshVersion="6" lastRefreshVersion="6" pivotCacheId="1060807317"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rder_Date" cache="NativeTimeline_Order_Date" caption="Order_Date" level="2" selectionLevel="2" scrollPosition="2026-06-06T00:00:00" style="TimeSlicerStyleLight4"/>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2009"/>
  <sheetViews>
    <sheetView zoomScale="93" workbookViewId="0"/>
  </sheetViews>
  <sheetFormatPr defaultRowHeight="14.5"/>
  <cols>
    <col min="1" max="1" width="10.54296875" bestFit="1" customWidth="1"/>
    <col min="2" max="2" width="12.7265625" style="3" customWidth="1"/>
    <col min="3" max="3" width="14.90625" bestFit="1" customWidth="1"/>
    <col min="4" max="4" width="12.26953125" bestFit="1" customWidth="1"/>
    <col min="5" max="5" width="8.453125" customWidth="1"/>
    <col min="6" max="6" width="10.26953125" customWidth="1"/>
    <col min="7" max="7" width="16" bestFit="1" customWidth="1"/>
    <col min="8" max="8" width="19.26953125" customWidth="1"/>
    <col min="9" max="9" width="10.1796875" customWidth="1"/>
    <col min="10" max="10" width="11.453125" customWidth="1"/>
    <col min="11" max="11" width="17.6328125" customWidth="1"/>
    <col min="12" max="13" width="9.81640625" bestFit="1" customWidth="1"/>
    <col min="14" max="14" width="18" customWidth="1"/>
  </cols>
  <sheetData>
    <row r="1" spans="1:14">
      <c r="A1" s="5" t="s">
        <v>0</v>
      </c>
      <c r="B1" s="4" t="s">
        <v>1</v>
      </c>
      <c r="C1" s="5" t="s">
        <v>2</v>
      </c>
      <c r="D1" s="5" t="s">
        <v>3</v>
      </c>
      <c r="E1" s="5" t="s">
        <v>4</v>
      </c>
      <c r="F1" s="5" t="s">
        <v>5</v>
      </c>
      <c r="G1" s="5" t="s">
        <v>6</v>
      </c>
      <c r="H1" s="5" t="s">
        <v>7</v>
      </c>
      <c r="I1" s="5" t="s">
        <v>8</v>
      </c>
      <c r="J1" s="5" t="s">
        <v>9</v>
      </c>
      <c r="K1" s="5" t="s">
        <v>10</v>
      </c>
      <c r="L1" s="5" t="s">
        <v>11</v>
      </c>
      <c r="M1" s="5" t="s">
        <v>12</v>
      </c>
      <c r="N1" s="5" t="s">
        <v>13</v>
      </c>
    </row>
    <row r="2" spans="1:14">
      <c r="A2" s="1" t="s">
        <v>14</v>
      </c>
      <c r="B2" s="2">
        <v>45292</v>
      </c>
      <c r="C2" s="1" t="s">
        <v>2014</v>
      </c>
      <c r="D2" s="1" t="s">
        <v>2029</v>
      </c>
      <c r="E2" s="1" t="s">
        <v>2044</v>
      </c>
      <c r="F2" s="1" t="s">
        <v>2049</v>
      </c>
      <c r="G2" s="1" t="s">
        <v>2055</v>
      </c>
      <c r="H2" s="1" t="s">
        <v>2085</v>
      </c>
      <c r="I2" s="1">
        <v>8</v>
      </c>
      <c r="J2" s="1">
        <v>1816.04</v>
      </c>
      <c r="K2" s="1">
        <v>4.68</v>
      </c>
      <c r="L2" s="1">
        <v>13848.39</v>
      </c>
      <c r="M2" s="1">
        <v>1232.49</v>
      </c>
      <c r="N2" s="1" t="s">
        <v>2088</v>
      </c>
    </row>
    <row r="3" spans="1:14">
      <c r="A3" s="1" t="s">
        <v>15</v>
      </c>
      <c r="B3" s="2">
        <v>45292</v>
      </c>
      <c r="C3" s="1" t="s">
        <v>2015</v>
      </c>
      <c r="D3" s="1" t="s">
        <v>2030</v>
      </c>
      <c r="E3" s="1" t="s">
        <v>2045</v>
      </c>
      <c r="F3" s="1" t="s">
        <v>2050</v>
      </c>
      <c r="G3" s="1" t="s">
        <v>2056</v>
      </c>
      <c r="H3" s="1" t="s">
        <v>2085</v>
      </c>
      <c r="I3" s="1">
        <v>2</v>
      </c>
      <c r="J3" s="1">
        <v>5859.39</v>
      </c>
      <c r="K3" s="1">
        <v>28.16</v>
      </c>
      <c r="L3" s="1">
        <v>8418.77</v>
      </c>
      <c r="M3" s="1">
        <v>422.58</v>
      </c>
      <c r="N3" s="1" t="s">
        <v>2088</v>
      </c>
    </row>
    <row r="4" spans="1:14">
      <c r="A4" s="1" t="s">
        <v>16</v>
      </c>
      <c r="B4" s="2">
        <v>45292</v>
      </c>
      <c r="C4" s="1" t="s">
        <v>2015</v>
      </c>
      <c r="D4" s="1" t="s">
        <v>2031</v>
      </c>
      <c r="E4" s="1" t="s">
        <v>2046</v>
      </c>
      <c r="F4" s="1" t="s">
        <v>2051</v>
      </c>
      <c r="G4" s="1" t="s">
        <v>2057</v>
      </c>
      <c r="H4" s="1" t="s">
        <v>2086</v>
      </c>
      <c r="I4" s="1">
        <v>9</v>
      </c>
      <c r="J4" s="1">
        <v>12357.94</v>
      </c>
      <c r="K4" s="1">
        <v>18.36</v>
      </c>
      <c r="L4" s="1">
        <v>90801.2</v>
      </c>
      <c r="M4" s="1">
        <v>7706.61</v>
      </c>
      <c r="N4" s="1" t="s">
        <v>2089</v>
      </c>
    </row>
    <row r="5" spans="1:14">
      <c r="A5" s="1" t="s">
        <v>17</v>
      </c>
      <c r="B5" s="2">
        <v>45293</v>
      </c>
      <c r="C5" s="1" t="s">
        <v>2016</v>
      </c>
      <c r="D5" s="1" t="s">
        <v>2032</v>
      </c>
      <c r="E5" s="1" t="s">
        <v>2047</v>
      </c>
      <c r="F5" s="1" t="s">
        <v>2049</v>
      </c>
      <c r="G5" s="1" t="s">
        <v>2058</v>
      </c>
      <c r="H5" s="1" t="s">
        <v>2085</v>
      </c>
      <c r="I5" s="1">
        <v>9</v>
      </c>
      <c r="J5" s="1">
        <v>187.03</v>
      </c>
      <c r="K5" s="1">
        <v>18.23</v>
      </c>
      <c r="L5" s="1">
        <v>1376.41</v>
      </c>
      <c r="M5" s="1">
        <v>127.5</v>
      </c>
      <c r="N5" s="1" t="s">
        <v>2088</v>
      </c>
    </row>
    <row r="6" spans="1:14">
      <c r="A6" s="1" t="s">
        <v>18</v>
      </c>
      <c r="B6" s="2">
        <v>45293</v>
      </c>
      <c r="C6" s="1" t="s">
        <v>2017</v>
      </c>
      <c r="D6" s="1" t="s">
        <v>2033</v>
      </c>
      <c r="E6" s="1" t="s">
        <v>2046</v>
      </c>
      <c r="F6" s="1" t="s">
        <v>2052</v>
      </c>
      <c r="G6" s="1" t="s">
        <v>2059</v>
      </c>
      <c r="H6" s="1" t="s">
        <v>2086</v>
      </c>
      <c r="I6" s="1">
        <v>10</v>
      </c>
      <c r="J6" s="1">
        <v>3185.21</v>
      </c>
      <c r="K6" s="1">
        <v>2.93</v>
      </c>
      <c r="L6" s="1">
        <v>30918.83</v>
      </c>
      <c r="M6" s="1">
        <v>6834.86</v>
      </c>
      <c r="N6" s="1" t="s">
        <v>2088</v>
      </c>
    </row>
    <row r="7" spans="1:14">
      <c r="A7" s="1" t="s">
        <v>19</v>
      </c>
      <c r="B7" s="2">
        <v>45293</v>
      </c>
      <c r="C7" s="1" t="s">
        <v>2018</v>
      </c>
      <c r="D7" s="1" t="s">
        <v>2034</v>
      </c>
      <c r="E7" s="1" t="s">
        <v>2047</v>
      </c>
      <c r="F7" s="1" t="s">
        <v>2053</v>
      </c>
      <c r="G7" s="1" t="s">
        <v>2060</v>
      </c>
      <c r="H7" s="1" t="s">
        <v>2087</v>
      </c>
      <c r="I7" s="1">
        <v>1</v>
      </c>
      <c r="J7" s="1">
        <v>721.07</v>
      </c>
      <c r="K7" s="1">
        <v>19.88</v>
      </c>
      <c r="L7" s="1">
        <v>577.72</v>
      </c>
      <c r="M7" s="1">
        <v>73.91</v>
      </c>
      <c r="N7" s="1" t="s">
        <v>2090</v>
      </c>
    </row>
    <row r="8" spans="1:14">
      <c r="A8" s="1" t="s">
        <v>20</v>
      </c>
      <c r="B8" s="2">
        <v>45294</v>
      </c>
      <c r="C8" s="1" t="s">
        <v>2017</v>
      </c>
      <c r="D8" s="1" t="s">
        <v>2035</v>
      </c>
      <c r="E8" s="1" t="s">
        <v>2046</v>
      </c>
      <c r="F8" s="1" t="s">
        <v>2051</v>
      </c>
      <c r="G8" s="1" t="s">
        <v>2061</v>
      </c>
      <c r="H8" s="1" t="s">
        <v>2085</v>
      </c>
      <c r="I8" s="1">
        <v>2</v>
      </c>
      <c r="J8" s="1">
        <v>16410.86</v>
      </c>
      <c r="K8" s="1">
        <v>27.8</v>
      </c>
      <c r="L8" s="1">
        <v>23697.279999999999</v>
      </c>
      <c r="M8" s="1">
        <v>5493.46</v>
      </c>
      <c r="N8" s="1" t="s">
        <v>2090</v>
      </c>
    </row>
    <row r="9" spans="1:14">
      <c r="A9" s="1" t="s">
        <v>21</v>
      </c>
      <c r="B9" s="2">
        <v>45294</v>
      </c>
      <c r="C9" s="1" t="s">
        <v>2019</v>
      </c>
      <c r="D9" s="1" t="s">
        <v>2036</v>
      </c>
      <c r="E9" s="1" t="s">
        <v>2048</v>
      </c>
      <c r="F9" s="1" t="s">
        <v>2053</v>
      </c>
      <c r="G9" s="1" t="s">
        <v>2062</v>
      </c>
      <c r="H9" s="1" t="s">
        <v>2085</v>
      </c>
      <c r="I9" s="1">
        <v>5</v>
      </c>
      <c r="J9" s="1">
        <v>1508.2</v>
      </c>
      <c r="K9" s="1">
        <v>28.96</v>
      </c>
      <c r="L9" s="1">
        <v>5357.13</v>
      </c>
      <c r="M9" s="1">
        <v>1080.8499999999999</v>
      </c>
      <c r="N9" s="1" t="s">
        <v>2090</v>
      </c>
    </row>
    <row r="10" spans="1:14">
      <c r="A10" s="1" t="s">
        <v>22</v>
      </c>
      <c r="B10" s="2">
        <v>45294</v>
      </c>
      <c r="C10" s="1" t="s">
        <v>2017</v>
      </c>
      <c r="D10" s="1" t="s">
        <v>2037</v>
      </c>
      <c r="E10" s="1" t="s">
        <v>2044</v>
      </c>
      <c r="F10" s="1" t="s">
        <v>2054</v>
      </c>
      <c r="G10" s="1" t="s">
        <v>2063</v>
      </c>
      <c r="H10" s="1" t="s">
        <v>2086</v>
      </c>
      <c r="I10" s="1">
        <v>7</v>
      </c>
      <c r="J10" s="1">
        <v>34160.42</v>
      </c>
      <c r="K10" s="1">
        <v>11.85</v>
      </c>
      <c r="L10" s="1">
        <v>210786.87</v>
      </c>
      <c r="M10" s="1">
        <v>26005.21</v>
      </c>
      <c r="N10" s="1" t="s">
        <v>2091</v>
      </c>
    </row>
    <row r="11" spans="1:14">
      <c r="A11" s="1" t="s">
        <v>23</v>
      </c>
      <c r="B11" s="2">
        <v>45295</v>
      </c>
      <c r="C11" s="1" t="s">
        <v>2015</v>
      </c>
      <c r="D11" s="1" t="s">
        <v>2038</v>
      </c>
      <c r="E11" s="1" t="s">
        <v>2048</v>
      </c>
      <c r="F11" s="1" t="s">
        <v>2050</v>
      </c>
      <c r="G11" s="1" t="s">
        <v>2064</v>
      </c>
      <c r="H11" s="1" t="s">
        <v>2087</v>
      </c>
      <c r="I11" s="1">
        <v>1</v>
      </c>
      <c r="J11" s="1">
        <v>4965.8900000000003</v>
      </c>
      <c r="K11" s="1">
        <v>27.79</v>
      </c>
      <c r="L11" s="1">
        <v>3585.87</v>
      </c>
      <c r="M11" s="1">
        <v>762.96</v>
      </c>
      <c r="N11" s="1" t="s">
        <v>2091</v>
      </c>
    </row>
    <row r="12" spans="1:14">
      <c r="A12" s="1" t="s">
        <v>24</v>
      </c>
      <c r="B12" s="2">
        <v>45295</v>
      </c>
      <c r="C12" s="1" t="s">
        <v>2020</v>
      </c>
      <c r="D12" s="1" t="s">
        <v>2039</v>
      </c>
      <c r="E12" s="1" t="s">
        <v>2045</v>
      </c>
      <c r="F12" s="1" t="s">
        <v>2052</v>
      </c>
      <c r="G12" s="1" t="s">
        <v>2065</v>
      </c>
      <c r="H12" s="1" t="s">
        <v>2086</v>
      </c>
      <c r="I12" s="1">
        <v>3</v>
      </c>
      <c r="J12" s="1">
        <v>5994.72</v>
      </c>
      <c r="K12" s="1">
        <v>8.24</v>
      </c>
      <c r="L12" s="1">
        <v>16502.27</v>
      </c>
      <c r="M12" s="1">
        <v>3140.56</v>
      </c>
      <c r="N12" s="1" t="s">
        <v>2089</v>
      </c>
    </row>
    <row r="13" spans="1:14">
      <c r="A13" s="1" t="s">
        <v>25</v>
      </c>
      <c r="B13" s="2">
        <v>45296</v>
      </c>
      <c r="C13" s="1" t="s">
        <v>2017</v>
      </c>
      <c r="D13" s="1" t="s">
        <v>2040</v>
      </c>
      <c r="E13" s="1" t="s">
        <v>2047</v>
      </c>
      <c r="F13" s="1" t="s">
        <v>2054</v>
      </c>
      <c r="G13" s="1" t="s">
        <v>2066</v>
      </c>
      <c r="H13" s="1" t="s">
        <v>2087</v>
      </c>
      <c r="I13" s="1">
        <v>10</v>
      </c>
      <c r="J13" s="1">
        <v>19260.8</v>
      </c>
      <c r="K13" s="1">
        <v>7.68</v>
      </c>
      <c r="L13" s="1">
        <v>177815.71</v>
      </c>
      <c r="M13" s="1">
        <v>10688.22</v>
      </c>
      <c r="N13" s="1" t="s">
        <v>2088</v>
      </c>
    </row>
    <row r="14" spans="1:14">
      <c r="A14" s="1" t="s">
        <v>26</v>
      </c>
      <c r="B14" s="2">
        <v>45296</v>
      </c>
      <c r="C14" s="1" t="s">
        <v>2021</v>
      </c>
      <c r="D14" s="1" t="s">
        <v>2041</v>
      </c>
      <c r="E14" s="1" t="s">
        <v>2045</v>
      </c>
      <c r="F14" s="1" t="s">
        <v>2053</v>
      </c>
      <c r="G14" s="1" t="s">
        <v>2060</v>
      </c>
      <c r="H14" s="1" t="s">
        <v>2086</v>
      </c>
      <c r="I14" s="1">
        <v>7</v>
      </c>
      <c r="J14" s="1">
        <v>1240.8900000000001</v>
      </c>
      <c r="K14" s="1">
        <v>16.899999999999999</v>
      </c>
      <c r="L14" s="1">
        <v>7218.26</v>
      </c>
      <c r="M14" s="1">
        <v>1616.02</v>
      </c>
      <c r="N14" s="1" t="s">
        <v>2089</v>
      </c>
    </row>
    <row r="15" spans="1:14">
      <c r="A15" s="1" t="s">
        <v>27</v>
      </c>
      <c r="B15" s="2">
        <v>45296</v>
      </c>
      <c r="C15" s="1" t="s">
        <v>2019</v>
      </c>
      <c r="D15" s="1" t="s">
        <v>2042</v>
      </c>
      <c r="E15" s="1" t="s">
        <v>2048</v>
      </c>
      <c r="F15" s="1" t="s">
        <v>2053</v>
      </c>
      <c r="G15" s="1" t="s">
        <v>2067</v>
      </c>
      <c r="H15" s="1" t="s">
        <v>2085</v>
      </c>
      <c r="I15" s="1">
        <v>7</v>
      </c>
      <c r="J15" s="1">
        <v>795.4</v>
      </c>
      <c r="K15" s="1">
        <v>4.84</v>
      </c>
      <c r="L15" s="1">
        <v>5298.32</v>
      </c>
      <c r="M15" s="1">
        <v>1496.37</v>
      </c>
      <c r="N15" s="1" t="s">
        <v>2088</v>
      </c>
    </row>
    <row r="16" spans="1:14">
      <c r="A16" s="1" t="s">
        <v>28</v>
      </c>
      <c r="B16" s="2">
        <v>45297</v>
      </c>
      <c r="C16" s="1" t="s">
        <v>2015</v>
      </c>
      <c r="D16" s="1" t="s">
        <v>2043</v>
      </c>
      <c r="E16" s="1" t="s">
        <v>2048</v>
      </c>
      <c r="F16" s="1" t="s">
        <v>2049</v>
      </c>
      <c r="G16" s="1" t="s">
        <v>2058</v>
      </c>
      <c r="H16" s="1" t="s">
        <v>2086</v>
      </c>
      <c r="I16" s="1">
        <v>4</v>
      </c>
      <c r="J16" s="1">
        <v>2683.05</v>
      </c>
      <c r="K16" s="1">
        <v>16.18</v>
      </c>
      <c r="L16" s="1">
        <v>8995.73</v>
      </c>
      <c r="M16" s="1">
        <v>2265.66</v>
      </c>
      <c r="N16" s="1" t="s">
        <v>2091</v>
      </c>
    </row>
    <row r="17" spans="1:14">
      <c r="A17" s="1" t="s">
        <v>29</v>
      </c>
      <c r="B17" s="2">
        <v>45297</v>
      </c>
      <c r="C17" s="1" t="s">
        <v>2022</v>
      </c>
      <c r="D17" s="1" t="s">
        <v>2029</v>
      </c>
      <c r="E17" s="1" t="s">
        <v>2044</v>
      </c>
      <c r="F17" s="1" t="s">
        <v>2054</v>
      </c>
      <c r="G17" s="1" t="s">
        <v>2063</v>
      </c>
      <c r="H17" s="1" t="s">
        <v>2085</v>
      </c>
      <c r="I17" s="1">
        <v>9</v>
      </c>
      <c r="J17" s="1">
        <v>65532.17</v>
      </c>
      <c r="K17" s="1">
        <v>25.82</v>
      </c>
      <c r="L17" s="1">
        <v>437505.87</v>
      </c>
      <c r="M17" s="1">
        <v>22635.69</v>
      </c>
      <c r="N17" s="1" t="s">
        <v>2090</v>
      </c>
    </row>
    <row r="18" spans="1:14">
      <c r="A18" s="1" t="s">
        <v>30</v>
      </c>
      <c r="B18" s="2">
        <v>45297</v>
      </c>
      <c r="C18" s="1" t="s">
        <v>2022</v>
      </c>
      <c r="D18" s="1" t="s">
        <v>2030</v>
      </c>
      <c r="E18" s="1" t="s">
        <v>2048</v>
      </c>
      <c r="F18" s="1" t="s">
        <v>2054</v>
      </c>
      <c r="G18" s="1" t="s">
        <v>2068</v>
      </c>
      <c r="H18" s="1" t="s">
        <v>2085</v>
      </c>
      <c r="I18" s="1">
        <v>10</v>
      </c>
      <c r="J18" s="1">
        <v>27340.41</v>
      </c>
      <c r="K18" s="1">
        <v>28.29</v>
      </c>
      <c r="L18" s="1">
        <v>196058.08</v>
      </c>
      <c r="M18" s="1">
        <v>25644.54</v>
      </c>
      <c r="N18" s="1" t="s">
        <v>2091</v>
      </c>
    </row>
    <row r="19" spans="1:14">
      <c r="A19" s="1" t="s">
        <v>31</v>
      </c>
      <c r="B19" s="2">
        <v>45298</v>
      </c>
      <c r="C19" s="1" t="s">
        <v>2023</v>
      </c>
      <c r="D19" s="1" t="s">
        <v>2031</v>
      </c>
      <c r="E19" s="1" t="s">
        <v>2044</v>
      </c>
      <c r="F19" s="1" t="s">
        <v>2051</v>
      </c>
      <c r="G19" s="1" t="s">
        <v>2069</v>
      </c>
      <c r="H19" s="1" t="s">
        <v>2085</v>
      </c>
      <c r="I19" s="1">
        <v>7</v>
      </c>
      <c r="J19" s="1">
        <v>20392.689999999999</v>
      </c>
      <c r="K19" s="1">
        <v>9.0299999999999994</v>
      </c>
      <c r="L19" s="1">
        <v>129858.61</v>
      </c>
      <c r="M19" s="1">
        <v>15740.18</v>
      </c>
      <c r="N19" s="1" t="s">
        <v>2092</v>
      </c>
    </row>
    <row r="20" spans="1:14">
      <c r="A20" s="1" t="s">
        <v>32</v>
      </c>
      <c r="B20" s="2">
        <v>45298</v>
      </c>
      <c r="C20" s="1" t="s">
        <v>2024</v>
      </c>
      <c r="D20" s="1" t="s">
        <v>2032</v>
      </c>
      <c r="E20" s="1" t="s">
        <v>2047</v>
      </c>
      <c r="F20" s="1" t="s">
        <v>2051</v>
      </c>
      <c r="G20" s="1" t="s">
        <v>2069</v>
      </c>
      <c r="H20" s="1" t="s">
        <v>2085</v>
      </c>
      <c r="I20" s="1">
        <v>6</v>
      </c>
      <c r="J20" s="1">
        <v>2288.98</v>
      </c>
      <c r="K20" s="1">
        <v>10.35</v>
      </c>
      <c r="L20" s="1">
        <v>12312.42</v>
      </c>
      <c r="M20" s="1">
        <v>2568.2199999999998</v>
      </c>
      <c r="N20" s="1" t="s">
        <v>2088</v>
      </c>
    </row>
    <row r="21" spans="1:14">
      <c r="A21" s="1" t="s">
        <v>33</v>
      </c>
      <c r="B21" s="2">
        <v>45298</v>
      </c>
      <c r="C21" s="1" t="s">
        <v>2022</v>
      </c>
      <c r="D21" s="1" t="s">
        <v>2033</v>
      </c>
      <c r="E21" s="1" t="s">
        <v>2045</v>
      </c>
      <c r="F21" s="1" t="s">
        <v>2051</v>
      </c>
      <c r="G21" s="1" t="s">
        <v>2069</v>
      </c>
      <c r="H21" s="1" t="s">
        <v>2087</v>
      </c>
      <c r="I21" s="1">
        <v>7</v>
      </c>
      <c r="J21" s="1">
        <v>30703.16</v>
      </c>
      <c r="K21" s="1">
        <v>7.13</v>
      </c>
      <c r="L21" s="1">
        <v>199598.17</v>
      </c>
      <c r="M21" s="1">
        <v>46317.57</v>
      </c>
      <c r="N21" s="1" t="s">
        <v>2089</v>
      </c>
    </row>
    <row r="22" spans="1:14">
      <c r="A22" s="1" t="s">
        <v>34</v>
      </c>
      <c r="B22" s="2">
        <v>45299</v>
      </c>
      <c r="C22" s="1" t="s">
        <v>2025</v>
      </c>
      <c r="D22" s="1" t="s">
        <v>2034</v>
      </c>
      <c r="E22" s="1" t="s">
        <v>2044</v>
      </c>
      <c r="F22" s="1" t="s">
        <v>2054</v>
      </c>
      <c r="G22" s="1" t="s">
        <v>2063</v>
      </c>
      <c r="H22" s="1" t="s">
        <v>2087</v>
      </c>
      <c r="I22" s="1">
        <v>6</v>
      </c>
      <c r="J22" s="1">
        <v>55817.120000000003</v>
      </c>
      <c r="K22" s="1">
        <v>25.75</v>
      </c>
      <c r="L22" s="1">
        <v>248665.27</v>
      </c>
      <c r="M22" s="1">
        <v>32696.93</v>
      </c>
      <c r="N22" s="1" t="s">
        <v>2089</v>
      </c>
    </row>
    <row r="23" spans="1:14">
      <c r="A23" s="1" t="s">
        <v>35</v>
      </c>
      <c r="B23" s="2">
        <v>45299</v>
      </c>
      <c r="C23" s="1" t="s">
        <v>2026</v>
      </c>
      <c r="D23" s="1" t="s">
        <v>2035</v>
      </c>
      <c r="E23" s="1" t="s">
        <v>2048</v>
      </c>
      <c r="F23" s="1" t="s">
        <v>2050</v>
      </c>
      <c r="G23" s="1" t="s">
        <v>2070</v>
      </c>
      <c r="H23" s="1" t="s">
        <v>2086</v>
      </c>
      <c r="I23" s="1">
        <v>7</v>
      </c>
      <c r="J23" s="1">
        <v>1642.62</v>
      </c>
      <c r="K23" s="1">
        <v>20.73</v>
      </c>
      <c r="L23" s="1">
        <v>9114.73</v>
      </c>
      <c r="M23" s="1">
        <v>1336.98</v>
      </c>
      <c r="N23" s="1" t="s">
        <v>2088</v>
      </c>
    </row>
    <row r="24" spans="1:14">
      <c r="A24" s="1" t="s">
        <v>36</v>
      </c>
      <c r="B24" s="2">
        <v>45300</v>
      </c>
      <c r="C24" s="1" t="s">
        <v>2015</v>
      </c>
      <c r="D24" s="1" t="s">
        <v>2036</v>
      </c>
      <c r="E24" s="1" t="s">
        <v>2047</v>
      </c>
      <c r="F24" s="1" t="s">
        <v>2054</v>
      </c>
      <c r="G24" s="1" t="s">
        <v>2063</v>
      </c>
      <c r="H24" s="1" t="s">
        <v>2085</v>
      </c>
      <c r="I24" s="1">
        <v>2</v>
      </c>
      <c r="J24" s="1">
        <v>74013.14</v>
      </c>
      <c r="K24" s="1">
        <v>26.32</v>
      </c>
      <c r="L24" s="1">
        <v>109065.76</v>
      </c>
      <c r="M24" s="1">
        <v>12486.44</v>
      </c>
      <c r="N24" s="1" t="s">
        <v>2088</v>
      </c>
    </row>
    <row r="25" spans="1:14">
      <c r="A25" s="1" t="s">
        <v>37</v>
      </c>
      <c r="B25" s="2">
        <v>45300</v>
      </c>
      <c r="C25" s="1" t="s">
        <v>2014</v>
      </c>
      <c r="D25" s="1" t="s">
        <v>2037</v>
      </c>
      <c r="E25" s="1" t="s">
        <v>2048</v>
      </c>
      <c r="F25" s="1" t="s">
        <v>2049</v>
      </c>
      <c r="G25" s="1" t="s">
        <v>2071</v>
      </c>
      <c r="H25" s="1" t="s">
        <v>2085</v>
      </c>
      <c r="I25" s="1">
        <v>2</v>
      </c>
      <c r="J25" s="1">
        <v>2988.95</v>
      </c>
      <c r="K25" s="1">
        <v>28.96</v>
      </c>
      <c r="L25" s="1">
        <v>4246.7</v>
      </c>
      <c r="M25" s="1">
        <v>805.06</v>
      </c>
      <c r="N25" s="1" t="s">
        <v>2089</v>
      </c>
    </row>
    <row r="26" spans="1:14">
      <c r="A26" s="1" t="s">
        <v>38</v>
      </c>
      <c r="B26" s="2">
        <v>45300</v>
      </c>
      <c r="C26" s="1" t="s">
        <v>2014</v>
      </c>
      <c r="D26" s="1" t="s">
        <v>2038</v>
      </c>
      <c r="E26" s="1" t="s">
        <v>2048</v>
      </c>
      <c r="F26" s="1" t="s">
        <v>2050</v>
      </c>
      <c r="G26" s="1" t="s">
        <v>2064</v>
      </c>
      <c r="H26" s="1" t="s">
        <v>2087</v>
      </c>
      <c r="I26" s="1">
        <v>4</v>
      </c>
      <c r="J26" s="1">
        <v>7130.57</v>
      </c>
      <c r="K26" s="1">
        <v>23.4</v>
      </c>
      <c r="L26" s="1">
        <v>21848.07</v>
      </c>
      <c r="M26" s="1">
        <v>4599.1899999999996</v>
      </c>
      <c r="N26" s="1" t="s">
        <v>2088</v>
      </c>
    </row>
    <row r="27" spans="1:14">
      <c r="A27" s="1" t="s">
        <v>39</v>
      </c>
      <c r="B27" s="2">
        <v>45301</v>
      </c>
      <c r="C27" s="1" t="s">
        <v>2026</v>
      </c>
      <c r="D27" s="1" t="s">
        <v>2039</v>
      </c>
      <c r="E27" s="1" t="s">
        <v>2047</v>
      </c>
      <c r="F27" s="1" t="s">
        <v>2052</v>
      </c>
      <c r="G27" s="1" t="s">
        <v>2072</v>
      </c>
      <c r="H27" s="1" t="s">
        <v>2087</v>
      </c>
      <c r="I27" s="1">
        <v>9</v>
      </c>
      <c r="J27" s="1">
        <v>6702.32</v>
      </c>
      <c r="K27" s="1">
        <v>0.15</v>
      </c>
      <c r="L27" s="1">
        <v>60230.400000000001</v>
      </c>
      <c r="M27" s="1">
        <v>5432.9</v>
      </c>
      <c r="N27" s="1" t="s">
        <v>2089</v>
      </c>
    </row>
    <row r="28" spans="1:14">
      <c r="A28" s="1" t="s">
        <v>40</v>
      </c>
      <c r="B28" s="2">
        <v>45301</v>
      </c>
      <c r="C28" s="1" t="s">
        <v>2025</v>
      </c>
      <c r="D28" s="1" t="s">
        <v>2040</v>
      </c>
      <c r="E28" s="1" t="s">
        <v>2044</v>
      </c>
      <c r="F28" s="1" t="s">
        <v>2053</v>
      </c>
      <c r="G28" s="1" t="s">
        <v>2073</v>
      </c>
      <c r="H28" s="1" t="s">
        <v>2085</v>
      </c>
      <c r="I28" s="1">
        <v>4</v>
      </c>
      <c r="J28" s="1">
        <v>1809.23</v>
      </c>
      <c r="K28" s="1">
        <v>7.12</v>
      </c>
      <c r="L28" s="1">
        <v>6721.65</v>
      </c>
      <c r="M28" s="1">
        <v>882.89</v>
      </c>
      <c r="N28" s="1" t="s">
        <v>2091</v>
      </c>
    </row>
    <row r="29" spans="1:14">
      <c r="A29" s="1" t="s">
        <v>41</v>
      </c>
      <c r="B29" s="2">
        <v>45301</v>
      </c>
      <c r="C29" s="1" t="s">
        <v>2018</v>
      </c>
      <c r="D29" s="1" t="s">
        <v>2041</v>
      </c>
      <c r="E29" s="1" t="s">
        <v>2045</v>
      </c>
      <c r="F29" s="1" t="s">
        <v>2049</v>
      </c>
      <c r="G29" s="1" t="s">
        <v>2074</v>
      </c>
      <c r="H29" s="1" t="s">
        <v>2086</v>
      </c>
      <c r="I29" s="1">
        <v>3</v>
      </c>
      <c r="J29" s="1">
        <v>1927.18</v>
      </c>
      <c r="K29" s="1">
        <v>7.51</v>
      </c>
      <c r="L29" s="1">
        <v>5347.35</v>
      </c>
      <c r="M29" s="1">
        <v>1055.93</v>
      </c>
      <c r="N29" s="1" t="s">
        <v>2089</v>
      </c>
    </row>
    <row r="30" spans="1:14">
      <c r="A30" s="1" t="s">
        <v>42</v>
      </c>
      <c r="B30" s="2">
        <v>45302</v>
      </c>
      <c r="C30" s="1" t="s">
        <v>2021</v>
      </c>
      <c r="D30" s="1" t="s">
        <v>2042</v>
      </c>
      <c r="E30" s="1" t="s">
        <v>2046</v>
      </c>
      <c r="F30" s="1" t="s">
        <v>2050</v>
      </c>
      <c r="G30" s="1" t="s">
        <v>2075</v>
      </c>
      <c r="H30" s="1" t="s">
        <v>2085</v>
      </c>
      <c r="I30" s="1">
        <v>5</v>
      </c>
      <c r="J30" s="1">
        <v>4170.3100000000004</v>
      </c>
      <c r="K30" s="1">
        <v>17.309999999999999</v>
      </c>
      <c r="L30" s="1">
        <v>17242.150000000001</v>
      </c>
      <c r="M30" s="1">
        <v>2985.12</v>
      </c>
      <c r="N30" s="1" t="s">
        <v>2089</v>
      </c>
    </row>
    <row r="31" spans="1:14">
      <c r="A31" s="1" t="s">
        <v>43</v>
      </c>
      <c r="B31" s="2">
        <v>45302</v>
      </c>
      <c r="C31" s="1" t="s">
        <v>2024</v>
      </c>
      <c r="D31" s="1" t="s">
        <v>2043</v>
      </c>
      <c r="E31" s="1" t="s">
        <v>2045</v>
      </c>
      <c r="F31" s="1" t="s">
        <v>2049</v>
      </c>
      <c r="G31" s="1" t="s">
        <v>2074</v>
      </c>
      <c r="H31" s="1" t="s">
        <v>2087</v>
      </c>
      <c r="I31" s="1">
        <v>1</v>
      </c>
      <c r="J31" s="1">
        <v>178.63</v>
      </c>
      <c r="K31" s="1">
        <v>29.84</v>
      </c>
      <c r="L31" s="1">
        <v>125.33</v>
      </c>
      <c r="M31" s="1">
        <v>20.99</v>
      </c>
      <c r="N31" s="1" t="s">
        <v>2089</v>
      </c>
    </row>
    <row r="32" spans="1:14">
      <c r="A32" s="1" t="s">
        <v>44</v>
      </c>
      <c r="B32" s="2">
        <v>45302</v>
      </c>
      <c r="C32" s="1" t="s">
        <v>2020</v>
      </c>
      <c r="D32" s="1" t="s">
        <v>2029</v>
      </c>
      <c r="E32" s="1" t="s">
        <v>2046</v>
      </c>
      <c r="F32" s="1" t="s">
        <v>2049</v>
      </c>
      <c r="G32" s="1" t="s">
        <v>2071</v>
      </c>
      <c r="H32" s="1" t="s">
        <v>2085</v>
      </c>
      <c r="I32" s="1">
        <v>5</v>
      </c>
      <c r="J32" s="1">
        <v>2788.54</v>
      </c>
      <c r="K32" s="1">
        <v>12.85</v>
      </c>
      <c r="L32" s="1">
        <v>12151.06</v>
      </c>
      <c r="M32" s="1">
        <v>3544.02</v>
      </c>
      <c r="N32" s="1" t="s">
        <v>2088</v>
      </c>
    </row>
    <row r="33" spans="1:14">
      <c r="A33" s="1" t="s">
        <v>45</v>
      </c>
      <c r="B33" s="2">
        <v>45303</v>
      </c>
      <c r="C33" s="1" t="s">
        <v>2027</v>
      </c>
      <c r="D33" s="1" t="s">
        <v>2030</v>
      </c>
      <c r="E33" s="1" t="s">
        <v>2047</v>
      </c>
      <c r="F33" s="1" t="s">
        <v>2053</v>
      </c>
      <c r="G33" s="1" t="s">
        <v>2076</v>
      </c>
      <c r="H33" s="1" t="s">
        <v>2086</v>
      </c>
      <c r="I33" s="1">
        <v>7</v>
      </c>
      <c r="J33" s="1">
        <v>744.34</v>
      </c>
      <c r="K33" s="1">
        <v>14.56</v>
      </c>
      <c r="L33" s="1">
        <v>4451.75</v>
      </c>
      <c r="M33" s="1">
        <v>637.36</v>
      </c>
      <c r="N33" s="1" t="s">
        <v>2092</v>
      </c>
    </row>
    <row r="34" spans="1:14">
      <c r="A34" s="1" t="s">
        <v>46</v>
      </c>
      <c r="B34" s="2">
        <v>45303</v>
      </c>
      <c r="C34" s="1" t="s">
        <v>2014</v>
      </c>
      <c r="D34" s="1" t="s">
        <v>2031</v>
      </c>
      <c r="E34" s="1" t="s">
        <v>2045</v>
      </c>
      <c r="F34" s="1" t="s">
        <v>2052</v>
      </c>
      <c r="G34" s="1" t="s">
        <v>2059</v>
      </c>
      <c r="H34" s="1" t="s">
        <v>2087</v>
      </c>
      <c r="I34" s="1">
        <v>10</v>
      </c>
      <c r="J34" s="1">
        <v>8798.26</v>
      </c>
      <c r="K34" s="1">
        <v>22.22</v>
      </c>
      <c r="L34" s="1">
        <v>68432.87</v>
      </c>
      <c r="M34" s="1">
        <v>15346.34</v>
      </c>
      <c r="N34" s="1" t="s">
        <v>2092</v>
      </c>
    </row>
    <row r="35" spans="1:14">
      <c r="A35" s="1" t="s">
        <v>47</v>
      </c>
      <c r="B35" s="2">
        <v>45304</v>
      </c>
      <c r="C35" s="1" t="s">
        <v>2025</v>
      </c>
      <c r="D35" s="1" t="s">
        <v>2032</v>
      </c>
      <c r="E35" s="1" t="s">
        <v>2045</v>
      </c>
      <c r="F35" s="1" t="s">
        <v>2050</v>
      </c>
      <c r="G35" s="1" t="s">
        <v>2075</v>
      </c>
      <c r="H35" s="1" t="s">
        <v>2085</v>
      </c>
      <c r="I35" s="1">
        <v>9</v>
      </c>
      <c r="J35" s="1">
        <v>5008.66</v>
      </c>
      <c r="K35" s="1">
        <v>2.4500000000000002</v>
      </c>
      <c r="L35" s="1">
        <v>43973.53</v>
      </c>
      <c r="M35" s="1">
        <v>2255.6799999999998</v>
      </c>
      <c r="N35" s="1" t="s">
        <v>2088</v>
      </c>
    </row>
    <row r="36" spans="1:14">
      <c r="A36" s="1" t="s">
        <v>48</v>
      </c>
      <c r="B36" s="2">
        <v>45304</v>
      </c>
      <c r="C36" s="1" t="s">
        <v>2028</v>
      </c>
      <c r="D36" s="1" t="s">
        <v>2033</v>
      </c>
      <c r="E36" s="1" t="s">
        <v>2047</v>
      </c>
      <c r="F36" s="1" t="s">
        <v>2050</v>
      </c>
      <c r="G36" s="1" t="s">
        <v>2070</v>
      </c>
      <c r="H36" s="1" t="s">
        <v>2086</v>
      </c>
      <c r="I36" s="1">
        <v>2</v>
      </c>
      <c r="J36" s="1">
        <v>1023.66</v>
      </c>
      <c r="K36" s="1">
        <v>17.350000000000001</v>
      </c>
      <c r="L36" s="1">
        <v>1692.11</v>
      </c>
      <c r="M36" s="1">
        <v>99.81</v>
      </c>
      <c r="N36" s="1" t="s">
        <v>2090</v>
      </c>
    </row>
    <row r="37" spans="1:14">
      <c r="A37" s="1" t="s">
        <v>49</v>
      </c>
      <c r="B37" s="2">
        <v>45304</v>
      </c>
      <c r="C37" s="1" t="s">
        <v>2018</v>
      </c>
      <c r="D37" s="1" t="s">
        <v>2034</v>
      </c>
      <c r="E37" s="1" t="s">
        <v>2044</v>
      </c>
      <c r="F37" s="1" t="s">
        <v>2052</v>
      </c>
      <c r="G37" s="1" t="s">
        <v>2059</v>
      </c>
      <c r="H37" s="1" t="s">
        <v>2085</v>
      </c>
      <c r="I37" s="1">
        <v>10</v>
      </c>
      <c r="J37" s="1">
        <v>498.9</v>
      </c>
      <c r="K37" s="1">
        <v>1.1200000000000001</v>
      </c>
      <c r="L37" s="1">
        <v>4933.12</v>
      </c>
      <c r="M37" s="1">
        <v>1261.1500000000001</v>
      </c>
      <c r="N37" s="1" t="s">
        <v>2091</v>
      </c>
    </row>
    <row r="38" spans="1:14">
      <c r="A38" s="1" t="s">
        <v>50</v>
      </c>
      <c r="B38" s="2">
        <v>45305</v>
      </c>
      <c r="C38" s="1" t="s">
        <v>2024</v>
      </c>
      <c r="D38" s="1" t="s">
        <v>2035</v>
      </c>
      <c r="E38" s="1" t="s">
        <v>2044</v>
      </c>
      <c r="F38" s="1" t="s">
        <v>2053</v>
      </c>
      <c r="G38" s="1" t="s">
        <v>2067</v>
      </c>
      <c r="H38" s="1" t="s">
        <v>2086</v>
      </c>
      <c r="I38" s="1">
        <v>5</v>
      </c>
      <c r="J38" s="1">
        <v>1197.44</v>
      </c>
      <c r="K38" s="1">
        <v>25.26</v>
      </c>
      <c r="L38" s="1">
        <v>4474.83</v>
      </c>
      <c r="M38" s="1">
        <v>441.2</v>
      </c>
      <c r="N38" s="1" t="s">
        <v>2088</v>
      </c>
    </row>
    <row r="39" spans="1:14">
      <c r="A39" s="1" t="s">
        <v>51</v>
      </c>
      <c r="B39" s="2">
        <v>45305</v>
      </c>
      <c r="C39" s="1" t="s">
        <v>2015</v>
      </c>
      <c r="D39" s="1" t="s">
        <v>2036</v>
      </c>
      <c r="E39" s="1" t="s">
        <v>2047</v>
      </c>
      <c r="F39" s="1" t="s">
        <v>2053</v>
      </c>
      <c r="G39" s="1" t="s">
        <v>2062</v>
      </c>
      <c r="H39" s="1" t="s">
        <v>2086</v>
      </c>
      <c r="I39" s="1">
        <v>10</v>
      </c>
      <c r="J39" s="1">
        <v>875.1</v>
      </c>
      <c r="K39" s="1">
        <v>23.86</v>
      </c>
      <c r="L39" s="1">
        <v>6663.01</v>
      </c>
      <c r="M39" s="1">
        <v>784.29</v>
      </c>
      <c r="N39" s="1" t="s">
        <v>2092</v>
      </c>
    </row>
    <row r="40" spans="1:14">
      <c r="A40" s="1" t="s">
        <v>52</v>
      </c>
      <c r="B40" s="2">
        <v>45305</v>
      </c>
      <c r="C40" s="1" t="s">
        <v>2023</v>
      </c>
      <c r="D40" s="1" t="s">
        <v>2037</v>
      </c>
      <c r="E40" s="1" t="s">
        <v>2047</v>
      </c>
      <c r="F40" s="1" t="s">
        <v>2053</v>
      </c>
      <c r="G40" s="1" t="s">
        <v>2062</v>
      </c>
      <c r="H40" s="1" t="s">
        <v>2087</v>
      </c>
      <c r="I40" s="1">
        <v>5</v>
      </c>
      <c r="J40" s="1">
        <v>294.10000000000002</v>
      </c>
      <c r="K40" s="1">
        <v>12.85</v>
      </c>
      <c r="L40" s="1">
        <v>1281.54</v>
      </c>
      <c r="M40" s="1">
        <v>284.66000000000003</v>
      </c>
      <c r="N40" s="1" t="s">
        <v>2091</v>
      </c>
    </row>
    <row r="41" spans="1:14">
      <c r="A41" s="1" t="s">
        <v>53</v>
      </c>
      <c r="B41" s="2">
        <v>45306</v>
      </c>
      <c r="C41" s="1" t="s">
        <v>2017</v>
      </c>
      <c r="D41" s="1" t="s">
        <v>2038</v>
      </c>
      <c r="E41" s="1" t="s">
        <v>2045</v>
      </c>
      <c r="F41" s="1" t="s">
        <v>2051</v>
      </c>
      <c r="G41" s="1" t="s">
        <v>2077</v>
      </c>
      <c r="H41" s="1" t="s">
        <v>2087</v>
      </c>
      <c r="I41" s="1">
        <v>8</v>
      </c>
      <c r="J41" s="1">
        <v>37449.949999999997</v>
      </c>
      <c r="K41" s="1">
        <v>19.149999999999999</v>
      </c>
      <c r="L41" s="1">
        <v>242226.28</v>
      </c>
      <c r="M41" s="1">
        <v>43400.67</v>
      </c>
      <c r="N41" s="1" t="s">
        <v>2090</v>
      </c>
    </row>
    <row r="42" spans="1:14">
      <c r="A42" s="1" t="s">
        <v>54</v>
      </c>
      <c r="B42" s="2">
        <v>45306</v>
      </c>
      <c r="C42" s="1" t="s">
        <v>2024</v>
      </c>
      <c r="D42" s="1" t="s">
        <v>2039</v>
      </c>
      <c r="E42" s="1" t="s">
        <v>2046</v>
      </c>
      <c r="F42" s="1" t="s">
        <v>2050</v>
      </c>
      <c r="G42" s="1" t="s">
        <v>2070</v>
      </c>
      <c r="H42" s="1" t="s">
        <v>2085</v>
      </c>
      <c r="I42" s="1">
        <v>10</v>
      </c>
      <c r="J42" s="1">
        <v>3040.99</v>
      </c>
      <c r="K42" s="1">
        <v>22.74</v>
      </c>
      <c r="L42" s="1">
        <v>23494.69</v>
      </c>
      <c r="M42" s="1">
        <v>1259.28</v>
      </c>
      <c r="N42" s="1" t="s">
        <v>2091</v>
      </c>
    </row>
    <row r="43" spans="1:14">
      <c r="A43" s="1" t="s">
        <v>55</v>
      </c>
      <c r="B43" s="2">
        <v>45306</v>
      </c>
      <c r="C43" s="1" t="s">
        <v>2016</v>
      </c>
      <c r="D43" s="1" t="s">
        <v>2040</v>
      </c>
      <c r="E43" s="1" t="s">
        <v>2046</v>
      </c>
      <c r="F43" s="1" t="s">
        <v>2052</v>
      </c>
      <c r="G43" s="1" t="s">
        <v>2078</v>
      </c>
      <c r="H43" s="1" t="s">
        <v>2085</v>
      </c>
      <c r="I43" s="1">
        <v>5</v>
      </c>
      <c r="J43" s="1">
        <v>4846.8999999999996</v>
      </c>
      <c r="K43" s="1">
        <v>2.94</v>
      </c>
      <c r="L43" s="1">
        <v>23522.01</v>
      </c>
      <c r="M43" s="1">
        <v>4067.05</v>
      </c>
      <c r="N43" s="1" t="s">
        <v>2090</v>
      </c>
    </row>
    <row r="44" spans="1:14">
      <c r="A44" s="1" t="s">
        <v>56</v>
      </c>
      <c r="B44" s="2">
        <v>45307</v>
      </c>
      <c r="C44" s="1" t="s">
        <v>2027</v>
      </c>
      <c r="D44" s="1" t="s">
        <v>2041</v>
      </c>
      <c r="E44" s="1" t="s">
        <v>2044</v>
      </c>
      <c r="F44" s="1" t="s">
        <v>2051</v>
      </c>
      <c r="G44" s="1" t="s">
        <v>2061</v>
      </c>
      <c r="H44" s="1" t="s">
        <v>2087</v>
      </c>
      <c r="I44" s="1">
        <v>6</v>
      </c>
      <c r="J44" s="1">
        <v>25768.65</v>
      </c>
      <c r="K44" s="1">
        <v>1.36</v>
      </c>
      <c r="L44" s="1">
        <v>152509.18</v>
      </c>
      <c r="M44" s="1">
        <v>21908.42</v>
      </c>
      <c r="N44" s="1" t="s">
        <v>2091</v>
      </c>
    </row>
    <row r="45" spans="1:14">
      <c r="A45" s="1" t="s">
        <v>57</v>
      </c>
      <c r="B45" s="2">
        <v>45307</v>
      </c>
      <c r="C45" s="1" t="s">
        <v>2015</v>
      </c>
      <c r="D45" s="1" t="s">
        <v>2042</v>
      </c>
      <c r="E45" s="1" t="s">
        <v>2044</v>
      </c>
      <c r="F45" s="1" t="s">
        <v>2053</v>
      </c>
      <c r="G45" s="1" t="s">
        <v>2076</v>
      </c>
      <c r="H45" s="1" t="s">
        <v>2087</v>
      </c>
      <c r="I45" s="1">
        <v>4</v>
      </c>
      <c r="J45" s="1">
        <v>1578.04</v>
      </c>
      <c r="K45" s="1">
        <v>28.32</v>
      </c>
      <c r="L45" s="1">
        <v>4524.5600000000004</v>
      </c>
      <c r="M45" s="1">
        <v>1294.31</v>
      </c>
      <c r="N45" s="1" t="s">
        <v>2089</v>
      </c>
    </row>
    <row r="46" spans="1:14">
      <c r="A46" s="1" t="s">
        <v>58</v>
      </c>
      <c r="B46" s="2">
        <v>45308</v>
      </c>
      <c r="C46" s="1" t="s">
        <v>2023</v>
      </c>
      <c r="D46" s="1" t="s">
        <v>2043</v>
      </c>
      <c r="E46" s="1" t="s">
        <v>2048</v>
      </c>
      <c r="F46" s="1" t="s">
        <v>2049</v>
      </c>
      <c r="G46" s="1" t="s">
        <v>2071</v>
      </c>
      <c r="H46" s="1" t="s">
        <v>2087</v>
      </c>
      <c r="I46" s="1">
        <v>1</v>
      </c>
      <c r="J46" s="1">
        <v>2443.0500000000002</v>
      </c>
      <c r="K46" s="1">
        <v>24.62</v>
      </c>
      <c r="L46" s="1">
        <v>1841.57</v>
      </c>
      <c r="M46" s="1">
        <v>380.26</v>
      </c>
      <c r="N46" s="1" t="s">
        <v>2089</v>
      </c>
    </row>
    <row r="47" spans="1:14">
      <c r="A47" s="1" t="s">
        <v>59</v>
      </c>
      <c r="B47" s="2">
        <v>45308</v>
      </c>
      <c r="C47" s="1" t="s">
        <v>2027</v>
      </c>
      <c r="D47" s="1" t="s">
        <v>2029</v>
      </c>
      <c r="E47" s="1" t="s">
        <v>2045</v>
      </c>
      <c r="F47" s="1" t="s">
        <v>2049</v>
      </c>
      <c r="G47" s="1" t="s">
        <v>2055</v>
      </c>
      <c r="H47" s="1" t="s">
        <v>2087</v>
      </c>
      <c r="I47" s="1">
        <v>2</v>
      </c>
      <c r="J47" s="1">
        <v>164.94</v>
      </c>
      <c r="K47" s="1">
        <v>18.55</v>
      </c>
      <c r="L47" s="1">
        <v>268.69</v>
      </c>
      <c r="M47" s="1">
        <v>36.04</v>
      </c>
      <c r="N47" s="1" t="s">
        <v>2092</v>
      </c>
    </row>
    <row r="48" spans="1:14">
      <c r="A48" s="1" t="s">
        <v>60</v>
      </c>
      <c r="B48" s="2">
        <v>45308</v>
      </c>
      <c r="C48" s="1" t="s">
        <v>2019</v>
      </c>
      <c r="D48" s="1" t="s">
        <v>2030</v>
      </c>
      <c r="E48" s="1" t="s">
        <v>2044</v>
      </c>
      <c r="F48" s="1" t="s">
        <v>2051</v>
      </c>
      <c r="G48" s="1" t="s">
        <v>2061</v>
      </c>
      <c r="H48" s="1" t="s">
        <v>2085</v>
      </c>
      <c r="I48" s="1">
        <v>3</v>
      </c>
      <c r="J48" s="1">
        <v>11992.34</v>
      </c>
      <c r="K48" s="1">
        <v>3.54</v>
      </c>
      <c r="L48" s="1">
        <v>34703.43</v>
      </c>
      <c r="M48" s="1">
        <v>7779.96</v>
      </c>
      <c r="N48" s="1" t="s">
        <v>2088</v>
      </c>
    </row>
    <row r="49" spans="1:14">
      <c r="A49" s="1" t="s">
        <v>61</v>
      </c>
      <c r="B49" s="2">
        <v>45309</v>
      </c>
      <c r="C49" s="1" t="s">
        <v>2020</v>
      </c>
      <c r="D49" s="1" t="s">
        <v>2031</v>
      </c>
      <c r="E49" s="1" t="s">
        <v>2048</v>
      </c>
      <c r="F49" s="1" t="s">
        <v>2054</v>
      </c>
      <c r="G49" s="1" t="s">
        <v>2066</v>
      </c>
      <c r="H49" s="1" t="s">
        <v>2086</v>
      </c>
      <c r="I49" s="1">
        <v>9</v>
      </c>
      <c r="J49" s="1">
        <v>44063.76</v>
      </c>
      <c r="K49" s="1">
        <v>12.7</v>
      </c>
      <c r="L49" s="1">
        <v>346208.96</v>
      </c>
      <c r="M49" s="1">
        <v>66517.149999999994</v>
      </c>
      <c r="N49" s="1" t="s">
        <v>2088</v>
      </c>
    </row>
    <row r="50" spans="1:14">
      <c r="A50" s="1" t="s">
        <v>62</v>
      </c>
      <c r="B50" s="2">
        <v>45309</v>
      </c>
      <c r="C50" s="1" t="s">
        <v>2015</v>
      </c>
      <c r="D50" s="1" t="s">
        <v>2032</v>
      </c>
      <c r="E50" s="1" t="s">
        <v>2048</v>
      </c>
      <c r="F50" s="1" t="s">
        <v>2051</v>
      </c>
      <c r="G50" s="1" t="s">
        <v>2077</v>
      </c>
      <c r="H50" s="1" t="s">
        <v>2086</v>
      </c>
      <c r="I50" s="1">
        <v>7</v>
      </c>
      <c r="J50" s="1">
        <v>23641.22</v>
      </c>
      <c r="K50" s="1">
        <v>26.01</v>
      </c>
      <c r="L50" s="1">
        <v>122444.97</v>
      </c>
      <c r="M50" s="1">
        <v>23321.69</v>
      </c>
      <c r="N50" s="1" t="s">
        <v>2090</v>
      </c>
    </row>
    <row r="51" spans="1:14">
      <c r="A51" s="1" t="s">
        <v>63</v>
      </c>
      <c r="B51" s="2">
        <v>45309</v>
      </c>
      <c r="C51" s="1" t="s">
        <v>2028</v>
      </c>
      <c r="D51" s="1" t="s">
        <v>2033</v>
      </c>
      <c r="E51" s="1" t="s">
        <v>2045</v>
      </c>
      <c r="F51" s="1" t="s">
        <v>2054</v>
      </c>
      <c r="G51" s="1" t="s">
        <v>2068</v>
      </c>
      <c r="H51" s="1" t="s">
        <v>2086</v>
      </c>
      <c r="I51" s="1">
        <v>9</v>
      </c>
      <c r="J51" s="1">
        <v>30529.45</v>
      </c>
      <c r="K51" s="1">
        <v>16.03</v>
      </c>
      <c r="L51" s="1">
        <v>230720.21</v>
      </c>
      <c r="M51" s="1">
        <v>40177.69</v>
      </c>
      <c r="N51" s="1" t="s">
        <v>2089</v>
      </c>
    </row>
    <row r="52" spans="1:14">
      <c r="A52" s="1" t="s">
        <v>64</v>
      </c>
      <c r="B52" s="2">
        <v>45310</v>
      </c>
      <c r="C52" s="1" t="s">
        <v>2017</v>
      </c>
      <c r="D52" s="1" t="s">
        <v>2034</v>
      </c>
      <c r="E52" s="1" t="s">
        <v>2046</v>
      </c>
      <c r="F52" s="1" t="s">
        <v>2054</v>
      </c>
      <c r="G52" s="1" t="s">
        <v>2079</v>
      </c>
      <c r="H52" s="1" t="s">
        <v>2086</v>
      </c>
      <c r="I52" s="1">
        <v>9</v>
      </c>
      <c r="J52" s="1">
        <v>67847.88</v>
      </c>
      <c r="K52" s="1">
        <v>10.65</v>
      </c>
      <c r="L52" s="1">
        <v>545598.73</v>
      </c>
      <c r="M52" s="1">
        <v>157787.26999999999</v>
      </c>
      <c r="N52" s="1" t="s">
        <v>2092</v>
      </c>
    </row>
    <row r="53" spans="1:14">
      <c r="A53" s="1" t="s">
        <v>65</v>
      </c>
      <c r="B53" s="2">
        <v>45310</v>
      </c>
      <c r="C53" s="1" t="s">
        <v>2021</v>
      </c>
      <c r="D53" s="1" t="s">
        <v>2035</v>
      </c>
      <c r="E53" s="1" t="s">
        <v>2048</v>
      </c>
      <c r="F53" s="1" t="s">
        <v>2053</v>
      </c>
      <c r="G53" s="1" t="s">
        <v>2076</v>
      </c>
      <c r="H53" s="1" t="s">
        <v>2086</v>
      </c>
      <c r="I53" s="1">
        <v>3</v>
      </c>
      <c r="J53" s="1">
        <v>1545.86</v>
      </c>
      <c r="K53" s="1">
        <v>16.61</v>
      </c>
      <c r="L53" s="1">
        <v>3867.28</v>
      </c>
      <c r="M53" s="1">
        <v>399.03</v>
      </c>
      <c r="N53" s="1" t="s">
        <v>2090</v>
      </c>
    </row>
    <row r="54" spans="1:14">
      <c r="A54" s="1" t="s">
        <v>66</v>
      </c>
      <c r="B54" s="2">
        <v>45310</v>
      </c>
      <c r="C54" s="1" t="s">
        <v>2016</v>
      </c>
      <c r="D54" s="1" t="s">
        <v>2036</v>
      </c>
      <c r="E54" s="1" t="s">
        <v>2045</v>
      </c>
      <c r="F54" s="1" t="s">
        <v>2053</v>
      </c>
      <c r="G54" s="1" t="s">
        <v>2062</v>
      </c>
      <c r="H54" s="1" t="s">
        <v>2086</v>
      </c>
      <c r="I54" s="1">
        <v>10</v>
      </c>
      <c r="J54" s="1">
        <v>238.14</v>
      </c>
      <c r="K54" s="1">
        <v>16.489999999999998</v>
      </c>
      <c r="L54" s="1">
        <v>1988.71</v>
      </c>
      <c r="M54" s="1">
        <v>318.95</v>
      </c>
      <c r="N54" s="1" t="s">
        <v>2089</v>
      </c>
    </row>
    <row r="55" spans="1:14">
      <c r="A55" s="1" t="s">
        <v>67</v>
      </c>
      <c r="B55" s="2">
        <v>45311</v>
      </c>
      <c r="C55" s="1" t="s">
        <v>2016</v>
      </c>
      <c r="D55" s="1" t="s">
        <v>2037</v>
      </c>
      <c r="E55" s="1" t="s">
        <v>2045</v>
      </c>
      <c r="F55" s="1" t="s">
        <v>2051</v>
      </c>
      <c r="G55" s="1" t="s">
        <v>2069</v>
      </c>
      <c r="H55" s="1" t="s">
        <v>2087</v>
      </c>
      <c r="I55" s="1">
        <v>9</v>
      </c>
      <c r="J55" s="1">
        <v>30698.91</v>
      </c>
      <c r="K55" s="1">
        <v>18.55</v>
      </c>
      <c r="L55" s="1">
        <v>225038.36</v>
      </c>
      <c r="M55" s="1">
        <v>16941.04</v>
      </c>
      <c r="N55" s="1" t="s">
        <v>2091</v>
      </c>
    </row>
    <row r="56" spans="1:14">
      <c r="A56" s="1" t="s">
        <v>68</v>
      </c>
      <c r="B56" s="2">
        <v>45311</v>
      </c>
      <c r="C56" s="1" t="s">
        <v>2022</v>
      </c>
      <c r="D56" s="1" t="s">
        <v>2038</v>
      </c>
      <c r="E56" s="1" t="s">
        <v>2045</v>
      </c>
      <c r="F56" s="1" t="s">
        <v>2051</v>
      </c>
      <c r="G56" s="1" t="s">
        <v>2080</v>
      </c>
      <c r="H56" s="1" t="s">
        <v>2085</v>
      </c>
      <c r="I56" s="1">
        <v>10</v>
      </c>
      <c r="J56" s="1">
        <v>6717.59</v>
      </c>
      <c r="K56" s="1">
        <v>15.4</v>
      </c>
      <c r="L56" s="1">
        <v>56830.81</v>
      </c>
      <c r="M56" s="1">
        <v>6155.18</v>
      </c>
      <c r="N56" s="1" t="s">
        <v>2088</v>
      </c>
    </row>
    <row r="57" spans="1:14">
      <c r="A57" s="1" t="s">
        <v>69</v>
      </c>
      <c r="B57" s="2">
        <v>45312</v>
      </c>
      <c r="C57" s="1" t="s">
        <v>2015</v>
      </c>
      <c r="D57" s="1" t="s">
        <v>2039</v>
      </c>
      <c r="E57" s="1" t="s">
        <v>2044</v>
      </c>
      <c r="F57" s="1" t="s">
        <v>2054</v>
      </c>
      <c r="G57" s="1" t="s">
        <v>2063</v>
      </c>
      <c r="H57" s="1" t="s">
        <v>2087</v>
      </c>
      <c r="I57" s="1">
        <v>4</v>
      </c>
      <c r="J57" s="1">
        <v>28342.35</v>
      </c>
      <c r="K57" s="1">
        <v>21.25</v>
      </c>
      <c r="L57" s="1">
        <v>89278.399999999994</v>
      </c>
      <c r="M57" s="1">
        <v>15214.53</v>
      </c>
      <c r="N57" s="1" t="s">
        <v>2092</v>
      </c>
    </row>
    <row r="58" spans="1:14">
      <c r="A58" s="1" t="s">
        <v>70</v>
      </c>
      <c r="B58" s="2">
        <v>45312</v>
      </c>
      <c r="C58" s="1" t="s">
        <v>2019</v>
      </c>
      <c r="D58" s="1" t="s">
        <v>2040</v>
      </c>
      <c r="E58" s="1" t="s">
        <v>2048</v>
      </c>
      <c r="F58" s="1" t="s">
        <v>2050</v>
      </c>
      <c r="G58" s="1" t="s">
        <v>2064</v>
      </c>
      <c r="H58" s="1" t="s">
        <v>2086</v>
      </c>
      <c r="I58" s="1">
        <v>2</v>
      </c>
      <c r="J58" s="1">
        <v>3908.69</v>
      </c>
      <c r="K58" s="1">
        <v>1.69</v>
      </c>
      <c r="L58" s="1">
        <v>7685.27</v>
      </c>
      <c r="M58" s="1">
        <v>612.54999999999995</v>
      </c>
      <c r="N58" s="1" t="s">
        <v>2091</v>
      </c>
    </row>
    <row r="59" spans="1:14">
      <c r="A59" s="1" t="s">
        <v>71</v>
      </c>
      <c r="B59" s="2">
        <v>45312</v>
      </c>
      <c r="C59" s="1" t="s">
        <v>2018</v>
      </c>
      <c r="D59" s="1" t="s">
        <v>2041</v>
      </c>
      <c r="E59" s="1" t="s">
        <v>2045</v>
      </c>
      <c r="F59" s="1" t="s">
        <v>2050</v>
      </c>
      <c r="G59" s="1" t="s">
        <v>2056</v>
      </c>
      <c r="H59" s="1" t="s">
        <v>2087</v>
      </c>
      <c r="I59" s="1">
        <v>9</v>
      </c>
      <c r="J59" s="1">
        <v>3186.5</v>
      </c>
      <c r="K59" s="1">
        <v>8.57</v>
      </c>
      <c r="L59" s="1">
        <v>26220.75</v>
      </c>
      <c r="M59" s="1">
        <v>7004.87</v>
      </c>
      <c r="N59" s="1" t="s">
        <v>2092</v>
      </c>
    </row>
    <row r="60" spans="1:14">
      <c r="A60" s="1" t="s">
        <v>72</v>
      </c>
      <c r="B60" s="2">
        <v>45313</v>
      </c>
      <c r="C60" s="1" t="s">
        <v>2025</v>
      </c>
      <c r="D60" s="1" t="s">
        <v>2042</v>
      </c>
      <c r="E60" s="1" t="s">
        <v>2044</v>
      </c>
      <c r="F60" s="1" t="s">
        <v>2049</v>
      </c>
      <c r="G60" s="1" t="s">
        <v>2055</v>
      </c>
      <c r="H60" s="1" t="s">
        <v>2086</v>
      </c>
      <c r="I60" s="1">
        <v>5</v>
      </c>
      <c r="J60" s="1">
        <v>178.03</v>
      </c>
      <c r="K60" s="1">
        <v>27.74</v>
      </c>
      <c r="L60" s="1">
        <v>643.22</v>
      </c>
      <c r="M60" s="1">
        <v>179.96</v>
      </c>
      <c r="N60" s="1" t="s">
        <v>2088</v>
      </c>
    </row>
    <row r="61" spans="1:14">
      <c r="A61" s="1" t="s">
        <v>73</v>
      </c>
      <c r="B61" s="2">
        <v>45313</v>
      </c>
      <c r="C61" s="1" t="s">
        <v>2018</v>
      </c>
      <c r="D61" s="1" t="s">
        <v>2043</v>
      </c>
      <c r="E61" s="1" t="s">
        <v>2044</v>
      </c>
      <c r="F61" s="1" t="s">
        <v>2054</v>
      </c>
      <c r="G61" s="1" t="s">
        <v>2081</v>
      </c>
      <c r="H61" s="1" t="s">
        <v>2086</v>
      </c>
      <c r="I61" s="1">
        <v>9</v>
      </c>
      <c r="J61" s="1">
        <v>17736.32</v>
      </c>
      <c r="K61" s="1">
        <v>8.83</v>
      </c>
      <c r="L61" s="1">
        <v>145531.82999999999</v>
      </c>
      <c r="M61" s="1">
        <v>43507.88</v>
      </c>
      <c r="N61" s="1" t="s">
        <v>2091</v>
      </c>
    </row>
    <row r="62" spans="1:14">
      <c r="A62" s="1" t="s">
        <v>74</v>
      </c>
      <c r="B62" s="2">
        <v>45313</v>
      </c>
      <c r="C62" s="1" t="s">
        <v>2015</v>
      </c>
      <c r="D62" s="1" t="s">
        <v>2029</v>
      </c>
      <c r="E62" s="1" t="s">
        <v>2045</v>
      </c>
      <c r="F62" s="1" t="s">
        <v>2050</v>
      </c>
      <c r="G62" s="1" t="s">
        <v>2070</v>
      </c>
      <c r="H62" s="1" t="s">
        <v>2087</v>
      </c>
      <c r="I62" s="1">
        <v>10</v>
      </c>
      <c r="J62" s="1">
        <v>7618.17</v>
      </c>
      <c r="K62" s="1">
        <v>26.71</v>
      </c>
      <c r="L62" s="1">
        <v>55833.57</v>
      </c>
      <c r="M62" s="1">
        <v>9151.91</v>
      </c>
      <c r="N62" s="1" t="s">
        <v>2088</v>
      </c>
    </row>
    <row r="63" spans="1:14">
      <c r="A63" s="1" t="s">
        <v>75</v>
      </c>
      <c r="B63" s="2">
        <v>45314</v>
      </c>
      <c r="C63" s="1" t="s">
        <v>2028</v>
      </c>
      <c r="D63" s="1" t="s">
        <v>2030</v>
      </c>
      <c r="E63" s="1" t="s">
        <v>2046</v>
      </c>
      <c r="F63" s="1" t="s">
        <v>2049</v>
      </c>
      <c r="G63" s="1" t="s">
        <v>2082</v>
      </c>
      <c r="H63" s="1" t="s">
        <v>2086</v>
      </c>
      <c r="I63" s="1">
        <v>8</v>
      </c>
      <c r="J63" s="1">
        <v>1092.3900000000001</v>
      </c>
      <c r="K63" s="1">
        <v>17.510000000000002</v>
      </c>
      <c r="L63" s="1">
        <v>7208.9</v>
      </c>
      <c r="M63" s="1">
        <v>500.54</v>
      </c>
      <c r="N63" s="1" t="s">
        <v>2091</v>
      </c>
    </row>
    <row r="64" spans="1:14">
      <c r="A64" s="1" t="s">
        <v>76</v>
      </c>
      <c r="B64" s="2">
        <v>45314</v>
      </c>
      <c r="C64" s="1" t="s">
        <v>2024</v>
      </c>
      <c r="D64" s="1" t="s">
        <v>2031</v>
      </c>
      <c r="E64" s="1" t="s">
        <v>2044</v>
      </c>
      <c r="F64" s="1" t="s">
        <v>2054</v>
      </c>
      <c r="G64" s="1" t="s">
        <v>2063</v>
      </c>
      <c r="H64" s="1" t="s">
        <v>2085</v>
      </c>
      <c r="I64" s="1">
        <v>5</v>
      </c>
      <c r="J64" s="1">
        <v>65196.7</v>
      </c>
      <c r="K64" s="1">
        <v>20.54</v>
      </c>
      <c r="L64" s="1">
        <v>259026.49</v>
      </c>
      <c r="M64" s="1">
        <v>23481.85</v>
      </c>
      <c r="N64" s="1" t="s">
        <v>2092</v>
      </c>
    </row>
    <row r="65" spans="1:14">
      <c r="A65" s="1" t="s">
        <v>77</v>
      </c>
      <c r="B65" s="2">
        <v>45315</v>
      </c>
      <c r="C65" s="1" t="s">
        <v>2019</v>
      </c>
      <c r="D65" s="1" t="s">
        <v>2032</v>
      </c>
      <c r="E65" s="1" t="s">
        <v>2045</v>
      </c>
      <c r="F65" s="1" t="s">
        <v>2050</v>
      </c>
      <c r="G65" s="1" t="s">
        <v>2056</v>
      </c>
      <c r="H65" s="1" t="s">
        <v>2086</v>
      </c>
      <c r="I65" s="1">
        <v>9</v>
      </c>
      <c r="J65" s="1">
        <v>3520.47</v>
      </c>
      <c r="K65" s="1">
        <v>27.98</v>
      </c>
      <c r="L65" s="1">
        <v>22818.98</v>
      </c>
      <c r="M65" s="1">
        <v>6081.62</v>
      </c>
      <c r="N65" s="1" t="s">
        <v>2091</v>
      </c>
    </row>
    <row r="66" spans="1:14">
      <c r="A66" s="1" t="s">
        <v>78</v>
      </c>
      <c r="B66" s="2">
        <v>45315</v>
      </c>
      <c r="C66" s="1" t="s">
        <v>2017</v>
      </c>
      <c r="D66" s="1" t="s">
        <v>2033</v>
      </c>
      <c r="E66" s="1" t="s">
        <v>2048</v>
      </c>
      <c r="F66" s="1" t="s">
        <v>2052</v>
      </c>
      <c r="G66" s="1" t="s">
        <v>2083</v>
      </c>
      <c r="H66" s="1" t="s">
        <v>2087</v>
      </c>
      <c r="I66" s="1">
        <v>2</v>
      </c>
      <c r="J66" s="1">
        <v>9875.31</v>
      </c>
      <c r="K66" s="1">
        <v>4.51</v>
      </c>
      <c r="L66" s="1">
        <v>18859.87</v>
      </c>
      <c r="M66" s="1">
        <v>3744.3</v>
      </c>
      <c r="N66" s="1" t="s">
        <v>2089</v>
      </c>
    </row>
    <row r="67" spans="1:14">
      <c r="A67" s="1" t="s">
        <v>79</v>
      </c>
      <c r="B67" s="2">
        <v>45315</v>
      </c>
      <c r="C67" s="1" t="s">
        <v>2016</v>
      </c>
      <c r="D67" s="1" t="s">
        <v>2034</v>
      </c>
      <c r="E67" s="1" t="s">
        <v>2046</v>
      </c>
      <c r="F67" s="1" t="s">
        <v>2050</v>
      </c>
      <c r="G67" s="1" t="s">
        <v>2084</v>
      </c>
      <c r="H67" s="1" t="s">
        <v>2085</v>
      </c>
      <c r="I67" s="1">
        <v>1</v>
      </c>
      <c r="J67" s="1">
        <v>3908.94</v>
      </c>
      <c r="K67" s="1">
        <v>12.44</v>
      </c>
      <c r="L67" s="1">
        <v>3422.67</v>
      </c>
      <c r="M67" s="1">
        <v>405.08</v>
      </c>
      <c r="N67" s="1" t="s">
        <v>2090</v>
      </c>
    </row>
    <row r="68" spans="1:14">
      <c r="A68" s="1" t="s">
        <v>80</v>
      </c>
      <c r="B68" s="2">
        <v>45316</v>
      </c>
      <c r="C68" s="1" t="s">
        <v>2020</v>
      </c>
      <c r="D68" s="1" t="s">
        <v>2035</v>
      </c>
      <c r="E68" s="1" t="s">
        <v>2048</v>
      </c>
      <c r="F68" s="1" t="s">
        <v>2053</v>
      </c>
      <c r="G68" s="1" t="s">
        <v>2060</v>
      </c>
      <c r="H68" s="1" t="s">
        <v>2085</v>
      </c>
      <c r="I68" s="1">
        <v>5</v>
      </c>
      <c r="J68" s="1">
        <v>1504.36</v>
      </c>
      <c r="K68" s="1">
        <v>21.78</v>
      </c>
      <c r="L68" s="1">
        <v>5883.55</v>
      </c>
      <c r="M68" s="1">
        <v>1407.76</v>
      </c>
      <c r="N68" s="1" t="s">
        <v>2091</v>
      </c>
    </row>
    <row r="69" spans="1:14">
      <c r="A69" s="1" t="s">
        <v>81</v>
      </c>
      <c r="B69" s="2">
        <v>45316</v>
      </c>
      <c r="C69" s="1" t="s">
        <v>2022</v>
      </c>
      <c r="D69" s="1" t="s">
        <v>2036</v>
      </c>
      <c r="E69" s="1" t="s">
        <v>2047</v>
      </c>
      <c r="F69" s="1" t="s">
        <v>2052</v>
      </c>
      <c r="G69" s="1" t="s">
        <v>2083</v>
      </c>
      <c r="H69" s="1" t="s">
        <v>2086</v>
      </c>
      <c r="I69" s="1">
        <v>3</v>
      </c>
      <c r="J69" s="1">
        <v>2892.37</v>
      </c>
      <c r="K69" s="1">
        <v>6.22</v>
      </c>
      <c r="L69" s="1">
        <v>8137.39</v>
      </c>
      <c r="M69" s="1">
        <v>2193.48</v>
      </c>
      <c r="N69" s="1" t="s">
        <v>2092</v>
      </c>
    </row>
    <row r="70" spans="1:14">
      <c r="A70" s="1" t="s">
        <v>82</v>
      </c>
      <c r="B70" s="2">
        <v>45316</v>
      </c>
      <c r="C70" s="1" t="s">
        <v>2018</v>
      </c>
      <c r="D70" s="1" t="s">
        <v>2037</v>
      </c>
      <c r="E70" s="1" t="s">
        <v>2046</v>
      </c>
      <c r="F70" s="1" t="s">
        <v>2051</v>
      </c>
      <c r="G70" s="1" t="s">
        <v>2061</v>
      </c>
      <c r="H70" s="1" t="s">
        <v>2085</v>
      </c>
      <c r="I70" s="1">
        <v>6</v>
      </c>
      <c r="J70" s="1">
        <v>31120.42</v>
      </c>
      <c r="K70" s="1">
        <v>15.6</v>
      </c>
      <c r="L70" s="1">
        <v>157593.81</v>
      </c>
      <c r="M70" s="1">
        <v>41454.32</v>
      </c>
      <c r="N70" s="1" t="s">
        <v>2089</v>
      </c>
    </row>
    <row r="71" spans="1:14">
      <c r="A71" s="1" t="s">
        <v>83</v>
      </c>
      <c r="B71" s="2">
        <v>45317</v>
      </c>
      <c r="C71" s="1" t="s">
        <v>2020</v>
      </c>
      <c r="D71" s="1" t="s">
        <v>2038</v>
      </c>
      <c r="E71" s="1" t="s">
        <v>2046</v>
      </c>
      <c r="F71" s="1" t="s">
        <v>2054</v>
      </c>
      <c r="G71" s="1" t="s">
        <v>2063</v>
      </c>
      <c r="H71" s="1" t="s">
        <v>2087</v>
      </c>
      <c r="I71" s="1">
        <v>7</v>
      </c>
      <c r="J71" s="1">
        <v>60533.41</v>
      </c>
      <c r="K71" s="1">
        <v>18.61</v>
      </c>
      <c r="L71" s="1">
        <v>344877</v>
      </c>
      <c r="M71" s="1">
        <v>77949.08</v>
      </c>
      <c r="N71" s="1" t="s">
        <v>2092</v>
      </c>
    </row>
    <row r="72" spans="1:14">
      <c r="A72" s="1" t="s">
        <v>84</v>
      </c>
      <c r="B72" s="2">
        <v>45317</v>
      </c>
      <c r="C72" s="1" t="s">
        <v>2022</v>
      </c>
      <c r="D72" s="1" t="s">
        <v>2039</v>
      </c>
      <c r="E72" s="1" t="s">
        <v>2046</v>
      </c>
      <c r="F72" s="1" t="s">
        <v>2051</v>
      </c>
      <c r="G72" s="1" t="s">
        <v>2061</v>
      </c>
      <c r="H72" s="1" t="s">
        <v>2087</v>
      </c>
      <c r="I72" s="1">
        <v>3</v>
      </c>
      <c r="J72" s="1">
        <v>36262.19</v>
      </c>
      <c r="K72" s="1">
        <v>10.45</v>
      </c>
      <c r="L72" s="1">
        <v>97418.37</v>
      </c>
      <c r="M72" s="1">
        <v>17388.919999999998</v>
      </c>
      <c r="N72" s="1" t="s">
        <v>2092</v>
      </c>
    </row>
    <row r="73" spans="1:14">
      <c r="A73" s="1" t="s">
        <v>85</v>
      </c>
      <c r="B73" s="2">
        <v>45317</v>
      </c>
      <c r="C73" s="1" t="s">
        <v>2023</v>
      </c>
      <c r="D73" s="1" t="s">
        <v>2040</v>
      </c>
      <c r="E73" s="1" t="s">
        <v>2046</v>
      </c>
      <c r="F73" s="1" t="s">
        <v>2050</v>
      </c>
      <c r="G73" s="1" t="s">
        <v>2084</v>
      </c>
      <c r="H73" s="1" t="s">
        <v>2085</v>
      </c>
      <c r="I73" s="1">
        <v>5</v>
      </c>
      <c r="J73" s="1">
        <v>6432.83</v>
      </c>
      <c r="K73" s="1">
        <v>13.78</v>
      </c>
      <c r="L73" s="1">
        <v>27731.93</v>
      </c>
      <c r="M73" s="1">
        <v>7224.8</v>
      </c>
      <c r="N73" s="1" t="s">
        <v>2092</v>
      </c>
    </row>
    <row r="74" spans="1:14">
      <c r="A74" s="1" t="s">
        <v>86</v>
      </c>
      <c r="B74" s="2">
        <v>45318</v>
      </c>
      <c r="C74" s="1" t="s">
        <v>2020</v>
      </c>
      <c r="D74" s="1" t="s">
        <v>2041</v>
      </c>
      <c r="E74" s="1" t="s">
        <v>2048</v>
      </c>
      <c r="F74" s="1" t="s">
        <v>2052</v>
      </c>
      <c r="G74" s="1" t="s">
        <v>2065</v>
      </c>
      <c r="H74" s="1" t="s">
        <v>2086</v>
      </c>
      <c r="I74" s="1">
        <v>2</v>
      </c>
      <c r="J74" s="1">
        <v>3421.77</v>
      </c>
      <c r="K74" s="1">
        <v>19</v>
      </c>
      <c r="L74" s="1">
        <v>5543.27</v>
      </c>
      <c r="M74" s="1">
        <v>609.96</v>
      </c>
      <c r="N74" s="1" t="s">
        <v>2089</v>
      </c>
    </row>
    <row r="75" spans="1:14">
      <c r="A75" s="1" t="s">
        <v>87</v>
      </c>
      <c r="B75" s="2">
        <v>45318</v>
      </c>
      <c r="C75" s="1" t="s">
        <v>2014</v>
      </c>
      <c r="D75" s="1" t="s">
        <v>2042</v>
      </c>
      <c r="E75" s="1" t="s">
        <v>2045</v>
      </c>
      <c r="F75" s="1" t="s">
        <v>2052</v>
      </c>
      <c r="G75" s="1" t="s">
        <v>2078</v>
      </c>
      <c r="H75" s="1" t="s">
        <v>2087</v>
      </c>
      <c r="I75" s="1">
        <v>8</v>
      </c>
      <c r="J75" s="1">
        <v>7025.71</v>
      </c>
      <c r="K75" s="1">
        <v>12.35</v>
      </c>
      <c r="L75" s="1">
        <v>49264.28</v>
      </c>
      <c r="M75" s="1">
        <v>13231.37</v>
      </c>
      <c r="N75" s="1" t="s">
        <v>2090</v>
      </c>
    </row>
    <row r="76" spans="1:14">
      <c r="A76" s="1" t="s">
        <v>88</v>
      </c>
      <c r="B76" s="2">
        <v>45319</v>
      </c>
      <c r="C76" s="1" t="s">
        <v>2018</v>
      </c>
      <c r="D76" s="1" t="s">
        <v>2043</v>
      </c>
      <c r="E76" s="1" t="s">
        <v>2045</v>
      </c>
      <c r="F76" s="1" t="s">
        <v>2051</v>
      </c>
      <c r="G76" s="1" t="s">
        <v>2080</v>
      </c>
      <c r="H76" s="1" t="s">
        <v>2087</v>
      </c>
      <c r="I76" s="1">
        <v>3</v>
      </c>
      <c r="J76" s="1">
        <v>33049.83</v>
      </c>
      <c r="K76" s="1">
        <v>10.35</v>
      </c>
      <c r="L76" s="1">
        <v>88887.52</v>
      </c>
      <c r="M76" s="1">
        <v>12169.13</v>
      </c>
      <c r="N76" s="1" t="s">
        <v>2091</v>
      </c>
    </row>
    <row r="77" spans="1:14">
      <c r="A77" s="1" t="s">
        <v>89</v>
      </c>
      <c r="B77" s="2">
        <v>45319</v>
      </c>
      <c r="C77" s="1" t="s">
        <v>2014</v>
      </c>
      <c r="D77" s="1" t="s">
        <v>2029</v>
      </c>
      <c r="E77" s="1" t="s">
        <v>2048</v>
      </c>
      <c r="F77" s="1" t="s">
        <v>2053</v>
      </c>
      <c r="G77" s="1" t="s">
        <v>2073</v>
      </c>
      <c r="H77" s="1" t="s">
        <v>2087</v>
      </c>
      <c r="I77" s="1">
        <v>10</v>
      </c>
      <c r="J77" s="1">
        <v>2246.12</v>
      </c>
      <c r="K77" s="1">
        <v>3.86</v>
      </c>
      <c r="L77" s="1">
        <v>21594.2</v>
      </c>
      <c r="M77" s="1">
        <v>2861.77</v>
      </c>
      <c r="N77" s="1" t="s">
        <v>2091</v>
      </c>
    </row>
    <row r="78" spans="1:14">
      <c r="A78" s="1" t="s">
        <v>90</v>
      </c>
      <c r="B78" s="2">
        <v>45319</v>
      </c>
      <c r="C78" s="1" t="s">
        <v>2019</v>
      </c>
      <c r="D78" s="1" t="s">
        <v>2030</v>
      </c>
      <c r="E78" s="1" t="s">
        <v>2046</v>
      </c>
      <c r="F78" s="1" t="s">
        <v>2054</v>
      </c>
      <c r="G78" s="1" t="s">
        <v>2068</v>
      </c>
      <c r="H78" s="1" t="s">
        <v>2086</v>
      </c>
      <c r="I78" s="1">
        <v>1</v>
      </c>
      <c r="J78" s="1">
        <v>22511.77</v>
      </c>
      <c r="K78" s="1">
        <v>24.19</v>
      </c>
      <c r="L78" s="1">
        <v>17066.169999999998</v>
      </c>
      <c r="M78" s="1">
        <v>4045.79</v>
      </c>
      <c r="N78" s="1" t="s">
        <v>2092</v>
      </c>
    </row>
    <row r="79" spans="1:14">
      <c r="A79" s="1" t="s">
        <v>91</v>
      </c>
      <c r="B79" s="2">
        <v>45320</v>
      </c>
      <c r="C79" s="1" t="s">
        <v>2017</v>
      </c>
      <c r="D79" s="1" t="s">
        <v>2031</v>
      </c>
      <c r="E79" s="1" t="s">
        <v>2044</v>
      </c>
      <c r="F79" s="1" t="s">
        <v>2049</v>
      </c>
      <c r="G79" s="1" t="s">
        <v>2082</v>
      </c>
      <c r="H79" s="1" t="s">
        <v>2086</v>
      </c>
      <c r="I79" s="1">
        <v>10</v>
      </c>
      <c r="J79" s="1">
        <v>158.22</v>
      </c>
      <c r="K79" s="1">
        <v>7.57</v>
      </c>
      <c r="L79" s="1">
        <v>1462.43</v>
      </c>
      <c r="M79" s="1">
        <v>333.93</v>
      </c>
      <c r="N79" s="1" t="s">
        <v>2088</v>
      </c>
    </row>
    <row r="80" spans="1:14">
      <c r="A80" s="1" t="s">
        <v>92</v>
      </c>
      <c r="B80" s="2">
        <v>45320</v>
      </c>
      <c r="C80" s="1" t="s">
        <v>2016</v>
      </c>
      <c r="D80" s="1" t="s">
        <v>2032</v>
      </c>
      <c r="E80" s="1" t="s">
        <v>2045</v>
      </c>
      <c r="F80" s="1" t="s">
        <v>2053</v>
      </c>
      <c r="G80" s="1" t="s">
        <v>2062</v>
      </c>
      <c r="H80" s="1" t="s">
        <v>2087</v>
      </c>
      <c r="I80" s="1">
        <v>10</v>
      </c>
      <c r="J80" s="1">
        <v>949.95</v>
      </c>
      <c r="K80" s="1">
        <v>11.91</v>
      </c>
      <c r="L80" s="1">
        <v>8368.11</v>
      </c>
      <c r="M80" s="1">
        <v>637.79</v>
      </c>
      <c r="N80" s="1" t="s">
        <v>2091</v>
      </c>
    </row>
    <row r="81" spans="1:14">
      <c r="A81" s="1" t="s">
        <v>93</v>
      </c>
      <c r="B81" s="2">
        <v>45320</v>
      </c>
      <c r="C81" s="1" t="s">
        <v>2020</v>
      </c>
      <c r="D81" s="1" t="s">
        <v>2033</v>
      </c>
      <c r="E81" s="1" t="s">
        <v>2048</v>
      </c>
      <c r="F81" s="1" t="s">
        <v>2054</v>
      </c>
      <c r="G81" s="1" t="s">
        <v>2081</v>
      </c>
      <c r="H81" s="1" t="s">
        <v>2085</v>
      </c>
      <c r="I81" s="1">
        <v>9</v>
      </c>
      <c r="J81" s="1">
        <v>71296.92</v>
      </c>
      <c r="K81" s="1">
        <v>17.809999999999999</v>
      </c>
      <c r="L81" s="1">
        <v>527390.44999999995</v>
      </c>
      <c r="M81" s="1">
        <v>115907.54</v>
      </c>
      <c r="N81" s="1" t="s">
        <v>2092</v>
      </c>
    </row>
    <row r="82" spans="1:14">
      <c r="A82" s="1" t="s">
        <v>94</v>
      </c>
      <c r="B82" s="2">
        <v>45321</v>
      </c>
      <c r="C82" s="1" t="s">
        <v>2021</v>
      </c>
      <c r="D82" s="1" t="s">
        <v>2034</v>
      </c>
      <c r="E82" s="1" t="s">
        <v>2046</v>
      </c>
      <c r="F82" s="1" t="s">
        <v>2049</v>
      </c>
      <c r="G82" s="1" t="s">
        <v>2082</v>
      </c>
      <c r="H82" s="1" t="s">
        <v>2087</v>
      </c>
      <c r="I82" s="1">
        <v>8</v>
      </c>
      <c r="J82" s="1">
        <v>1780.28</v>
      </c>
      <c r="K82" s="1">
        <v>16.93</v>
      </c>
      <c r="L82" s="1">
        <v>11831.03</v>
      </c>
      <c r="M82" s="1">
        <v>1711.87</v>
      </c>
      <c r="N82" s="1" t="s">
        <v>2092</v>
      </c>
    </row>
    <row r="83" spans="1:14">
      <c r="A83" s="1" t="s">
        <v>95</v>
      </c>
      <c r="B83" s="2">
        <v>45321</v>
      </c>
      <c r="C83" s="1" t="s">
        <v>2018</v>
      </c>
      <c r="D83" s="1" t="s">
        <v>2035</v>
      </c>
      <c r="E83" s="1" t="s">
        <v>2046</v>
      </c>
      <c r="F83" s="1" t="s">
        <v>2050</v>
      </c>
      <c r="G83" s="1" t="s">
        <v>2064</v>
      </c>
      <c r="H83" s="1" t="s">
        <v>2087</v>
      </c>
      <c r="I83" s="1">
        <v>6</v>
      </c>
      <c r="J83" s="1">
        <v>4964.47</v>
      </c>
      <c r="K83" s="1">
        <v>7.12</v>
      </c>
      <c r="L83" s="1">
        <v>27666</v>
      </c>
      <c r="M83" s="1">
        <v>2087.2800000000002</v>
      </c>
      <c r="N83" s="1" t="s">
        <v>2089</v>
      </c>
    </row>
    <row r="84" spans="1:14">
      <c r="A84" s="1" t="s">
        <v>96</v>
      </c>
      <c r="B84" s="2">
        <v>45321</v>
      </c>
      <c r="C84" s="1" t="s">
        <v>2022</v>
      </c>
      <c r="D84" s="1" t="s">
        <v>2036</v>
      </c>
      <c r="E84" s="1" t="s">
        <v>2047</v>
      </c>
      <c r="F84" s="1" t="s">
        <v>2052</v>
      </c>
      <c r="G84" s="1" t="s">
        <v>2083</v>
      </c>
      <c r="H84" s="1" t="s">
        <v>2086</v>
      </c>
      <c r="I84" s="1">
        <v>7</v>
      </c>
      <c r="J84" s="1">
        <v>706.03</v>
      </c>
      <c r="K84" s="1">
        <v>0.55000000000000004</v>
      </c>
      <c r="L84" s="1">
        <v>4915.03</v>
      </c>
      <c r="M84" s="1">
        <v>1102.1500000000001</v>
      </c>
      <c r="N84" s="1" t="s">
        <v>2088</v>
      </c>
    </row>
    <row r="85" spans="1:14">
      <c r="A85" s="1" t="s">
        <v>97</v>
      </c>
      <c r="B85" s="2">
        <v>45322</v>
      </c>
      <c r="C85" s="1" t="s">
        <v>2014</v>
      </c>
      <c r="D85" s="1" t="s">
        <v>2037</v>
      </c>
      <c r="E85" s="1" t="s">
        <v>2047</v>
      </c>
      <c r="F85" s="1" t="s">
        <v>2052</v>
      </c>
      <c r="G85" s="1" t="s">
        <v>2083</v>
      </c>
      <c r="H85" s="1" t="s">
        <v>2086</v>
      </c>
      <c r="I85" s="1">
        <v>8</v>
      </c>
      <c r="J85" s="1">
        <v>7284.38</v>
      </c>
      <c r="K85" s="1">
        <v>24.63</v>
      </c>
      <c r="L85" s="1">
        <v>43921.9</v>
      </c>
      <c r="M85" s="1">
        <v>10085.1</v>
      </c>
      <c r="N85" s="1" t="s">
        <v>2090</v>
      </c>
    </row>
    <row r="86" spans="1:14">
      <c r="A86" s="1" t="s">
        <v>98</v>
      </c>
      <c r="B86" s="2">
        <v>45322</v>
      </c>
      <c r="C86" s="1" t="s">
        <v>2025</v>
      </c>
      <c r="D86" s="1" t="s">
        <v>2038</v>
      </c>
      <c r="E86" s="1" t="s">
        <v>2048</v>
      </c>
      <c r="F86" s="1" t="s">
        <v>2049</v>
      </c>
      <c r="G86" s="1" t="s">
        <v>2055</v>
      </c>
      <c r="H86" s="1" t="s">
        <v>2086</v>
      </c>
      <c r="I86" s="1">
        <v>6</v>
      </c>
      <c r="J86" s="1">
        <v>2905.58</v>
      </c>
      <c r="K86" s="1">
        <v>21.33</v>
      </c>
      <c r="L86" s="1">
        <v>13714.92</v>
      </c>
      <c r="M86" s="1">
        <v>1369.8</v>
      </c>
      <c r="N86" s="1" t="s">
        <v>2091</v>
      </c>
    </row>
    <row r="87" spans="1:14">
      <c r="A87" s="1" t="s">
        <v>99</v>
      </c>
      <c r="B87" s="2">
        <v>45323</v>
      </c>
      <c r="C87" s="1" t="s">
        <v>2022</v>
      </c>
      <c r="D87" s="1" t="s">
        <v>2039</v>
      </c>
      <c r="E87" s="1" t="s">
        <v>2047</v>
      </c>
      <c r="F87" s="1" t="s">
        <v>2051</v>
      </c>
      <c r="G87" s="1" t="s">
        <v>2057</v>
      </c>
      <c r="H87" s="1" t="s">
        <v>2085</v>
      </c>
      <c r="I87" s="1">
        <v>4</v>
      </c>
      <c r="J87" s="1">
        <v>13505.05</v>
      </c>
      <c r="K87" s="1">
        <v>17.82</v>
      </c>
      <c r="L87" s="1">
        <v>44393.8</v>
      </c>
      <c r="M87" s="1">
        <v>6317.58</v>
      </c>
      <c r="N87" s="1" t="s">
        <v>2092</v>
      </c>
    </row>
    <row r="88" spans="1:14">
      <c r="A88" s="1" t="s">
        <v>100</v>
      </c>
      <c r="B88" s="2">
        <v>45323</v>
      </c>
      <c r="C88" s="1" t="s">
        <v>2023</v>
      </c>
      <c r="D88" s="1" t="s">
        <v>2040</v>
      </c>
      <c r="E88" s="1" t="s">
        <v>2048</v>
      </c>
      <c r="F88" s="1" t="s">
        <v>2049</v>
      </c>
      <c r="G88" s="1" t="s">
        <v>2082</v>
      </c>
      <c r="H88" s="1" t="s">
        <v>2086</v>
      </c>
      <c r="I88" s="1">
        <v>8</v>
      </c>
      <c r="J88" s="1">
        <v>2439.13</v>
      </c>
      <c r="K88" s="1">
        <v>7.64</v>
      </c>
      <c r="L88" s="1">
        <v>18022.240000000002</v>
      </c>
      <c r="M88" s="1">
        <v>3971.66</v>
      </c>
      <c r="N88" s="1" t="s">
        <v>2089</v>
      </c>
    </row>
    <row r="89" spans="1:14">
      <c r="A89" s="1" t="s">
        <v>101</v>
      </c>
      <c r="B89" s="2">
        <v>45323</v>
      </c>
      <c r="C89" s="1" t="s">
        <v>2022</v>
      </c>
      <c r="D89" s="1" t="s">
        <v>2041</v>
      </c>
      <c r="E89" s="1" t="s">
        <v>2044</v>
      </c>
      <c r="F89" s="1" t="s">
        <v>2052</v>
      </c>
      <c r="G89" s="1" t="s">
        <v>2083</v>
      </c>
      <c r="H89" s="1" t="s">
        <v>2085</v>
      </c>
      <c r="I89" s="1">
        <v>5</v>
      </c>
      <c r="J89" s="1">
        <v>8340.07</v>
      </c>
      <c r="K89" s="1">
        <v>28.95</v>
      </c>
      <c r="L89" s="1">
        <v>29628.1</v>
      </c>
      <c r="M89" s="1">
        <v>2402.08</v>
      </c>
      <c r="N89" s="1" t="s">
        <v>2092</v>
      </c>
    </row>
    <row r="90" spans="1:14">
      <c r="A90" s="1" t="s">
        <v>102</v>
      </c>
      <c r="B90" s="2">
        <v>45324</v>
      </c>
      <c r="C90" s="1" t="s">
        <v>2019</v>
      </c>
      <c r="D90" s="1" t="s">
        <v>2042</v>
      </c>
      <c r="E90" s="1" t="s">
        <v>2044</v>
      </c>
      <c r="F90" s="1" t="s">
        <v>2049</v>
      </c>
      <c r="G90" s="1" t="s">
        <v>2074</v>
      </c>
      <c r="H90" s="1" t="s">
        <v>2085</v>
      </c>
      <c r="I90" s="1">
        <v>3</v>
      </c>
      <c r="J90" s="1">
        <v>2783.03</v>
      </c>
      <c r="K90" s="1">
        <v>21.65</v>
      </c>
      <c r="L90" s="1">
        <v>6541.51</v>
      </c>
      <c r="M90" s="1">
        <v>405.73</v>
      </c>
      <c r="N90" s="1" t="s">
        <v>2090</v>
      </c>
    </row>
    <row r="91" spans="1:14">
      <c r="A91" s="1" t="s">
        <v>103</v>
      </c>
      <c r="B91" s="2">
        <v>45324</v>
      </c>
      <c r="C91" s="1" t="s">
        <v>2027</v>
      </c>
      <c r="D91" s="1" t="s">
        <v>2043</v>
      </c>
      <c r="E91" s="1" t="s">
        <v>2046</v>
      </c>
      <c r="F91" s="1" t="s">
        <v>2052</v>
      </c>
      <c r="G91" s="1" t="s">
        <v>2078</v>
      </c>
      <c r="H91" s="1" t="s">
        <v>2085</v>
      </c>
      <c r="I91" s="1">
        <v>3</v>
      </c>
      <c r="J91" s="1">
        <v>1809.8</v>
      </c>
      <c r="K91" s="1">
        <v>24.44</v>
      </c>
      <c r="L91" s="1">
        <v>4102.45</v>
      </c>
      <c r="M91" s="1">
        <v>887.36</v>
      </c>
      <c r="N91" s="1" t="s">
        <v>2090</v>
      </c>
    </row>
    <row r="92" spans="1:14">
      <c r="A92" s="1" t="s">
        <v>104</v>
      </c>
      <c r="B92" s="2">
        <v>45324</v>
      </c>
      <c r="C92" s="1" t="s">
        <v>2020</v>
      </c>
      <c r="D92" s="1" t="s">
        <v>2029</v>
      </c>
      <c r="E92" s="1" t="s">
        <v>2045</v>
      </c>
      <c r="F92" s="1" t="s">
        <v>2051</v>
      </c>
      <c r="G92" s="1" t="s">
        <v>2077</v>
      </c>
      <c r="H92" s="1" t="s">
        <v>2087</v>
      </c>
      <c r="I92" s="1">
        <v>2</v>
      </c>
      <c r="J92" s="1">
        <v>32847.379999999997</v>
      </c>
      <c r="K92" s="1">
        <v>13.17</v>
      </c>
      <c r="L92" s="1">
        <v>57042.76</v>
      </c>
      <c r="M92" s="1">
        <v>8227.6299999999992</v>
      </c>
      <c r="N92" s="1" t="s">
        <v>2091</v>
      </c>
    </row>
    <row r="93" spans="1:14">
      <c r="A93" s="1" t="s">
        <v>105</v>
      </c>
      <c r="B93" s="2">
        <v>45325</v>
      </c>
      <c r="C93" s="1" t="s">
        <v>2022</v>
      </c>
      <c r="D93" s="1" t="s">
        <v>2030</v>
      </c>
      <c r="E93" s="1" t="s">
        <v>2044</v>
      </c>
      <c r="F93" s="1" t="s">
        <v>2054</v>
      </c>
      <c r="G93" s="1" t="s">
        <v>2063</v>
      </c>
      <c r="H93" s="1" t="s">
        <v>2086</v>
      </c>
      <c r="I93" s="1">
        <v>1</v>
      </c>
      <c r="J93" s="1">
        <v>72016.179999999993</v>
      </c>
      <c r="K93" s="1">
        <v>11.52</v>
      </c>
      <c r="L93" s="1">
        <v>63719.92</v>
      </c>
      <c r="M93" s="1">
        <v>11844.78</v>
      </c>
      <c r="N93" s="1" t="s">
        <v>2089</v>
      </c>
    </row>
    <row r="94" spans="1:14">
      <c r="A94" s="1" t="s">
        <v>106</v>
      </c>
      <c r="B94" s="2">
        <v>45325</v>
      </c>
      <c r="C94" s="1" t="s">
        <v>2017</v>
      </c>
      <c r="D94" s="1" t="s">
        <v>2031</v>
      </c>
      <c r="E94" s="1" t="s">
        <v>2045</v>
      </c>
      <c r="F94" s="1" t="s">
        <v>2052</v>
      </c>
      <c r="G94" s="1" t="s">
        <v>2072</v>
      </c>
      <c r="H94" s="1" t="s">
        <v>2085</v>
      </c>
      <c r="I94" s="1">
        <v>7</v>
      </c>
      <c r="J94" s="1">
        <v>7359.38</v>
      </c>
      <c r="K94" s="1">
        <v>20.81</v>
      </c>
      <c r="L94" s="1">
        <v>40795.25</v>
      </c>
      <c r="M94" s="1">
        <v>3740.22</v>
      </c>
      <c r="N94" s="1" t="s">
        <v>2088</v>
      </c>
    </row>
    <row r="95" spans="1:14">
      <c r="A95" s="1" t="s">
        <v>107</v>
      </c>
      <c r="B95" s="2">
        <v>45325</v>
      </c>
      <c r="C95" s="1" t="s">
        <v>2014</v>
      </c>
      <c r="D95" s="1" t="s">
        <v>2032</v>
      </c>
      <c r="E95" s="1" t="s">
        <v>2048</v>
      </c>
      <c r="F95" s="1" t="s">
        <v>2052</v>
      </c>
      <c r="G95" s="1" t="s">
        <v>2072</v>
      </c>
      <c r="H95" s="1" t="s">
        <v>2087</v>
      </c>
      <c r="I95" s="1">
        <v>4</v>
      </c>
      <c r="J95" s="1">
        <v>9977.39</v>
      </c>
      <c r="K95" s="1">
        <v>22.57</v>
      </c>
      <c r="L95" s="1">
        <v>30901.97</v>
      </c>
      <c r="M95" s="1">
        <v>7006.87</v>
      </c>
      <c r="N95" s="1" t="s">
        <v>2088</v>
      </c>
    </row>
    <row r="96" spans="1:14">
      <c r="A96" s="1" t="s">
        <v>108</v>
      </c>
      <c r="B96" s="2">
        <v>45326</v>
      </c>
      <c r="C96" s="1" t="s">
        <v>2019</v>
      </c>
      <c r="D96" s="1" t="s">
        <v>2033</v>
      </c>
      <c r="E96" s="1" t="s">
        <v>2046</v>
      </c>
      <c r="F96" s="1" t="s">
        <v>2052</v>
      </c>
      <c r="G96" s="1" t="s">
        <v>2059</v>
      </c>
      <c r="H96" s="1" t="s">
        <v>2085</v>
      </c>
      <c r="I96" s="1">
        <v>10</v>
      </c>
      <c r="J96" s="1">
        <v>5041.0200000000004</v>
      </c>
      <c r="K96" s="1">
        <v>22.64</v>
      </c>
      <c r="L96" s="1">
        <v>38997.33</v>
      </c>
      <c r="M96" s="1">
        <v>2953.23</v>
      </c>
      <c r="N96" s="1" t="s">
        <v>2088</v>
      </c>
    </row>
    <row r="97" spans="1:14">
      <c r="A97" s="1" t="s">
        <v>109</v>
      </c>
      <c r="B97" s="2">
        <v>45326</v>
      </c>
      <c r="C97" s="1" t="s">
        <v>2020</v>
      </c>
      <c r="D97" s="1" t="s">
        <v>2034</v>
      </c>
      <c r="E97" s="1" t="s">
        <v>2046</v>
      </c>
      <c r="F97" s="1" t="s">
        <v>2053</v>
      </c>
      <c r="G97" s="1" t="s">
        <v>2076</v>
      </c>
      <c r="H97" s="1" t="s">
        <v>2087</v>
      </c>
      <c r="I97" s="1">
        <v>4</v>
      </c>
      <c r="J97" s="1">
        <v>1833.41</v>
      </c>
      <c r="K97" s="1">
        <v>21.6</v>
      </c>
      <c r="L97" s="1">
        <v>5749.57</v>
      </c>
      <c r="M97" s="1">
        <v>1209.06</v>
      </c>
      <c r="N97" s="1" t="s">
        <v>2089</v>
      </c>
    </row>
    <row r="98" spans="1:14">
      <c r="A98" s="1" t="s">
        <v>110</v>
      </c>
      <c r="B98" s="2">
        <v>45327</v>
      </c>
      <c r="C98" s="1" t="s">
        <v>2022</v>
      </c>
      <c r="D98" s="1" t="s">
        <v>2035</v>
      </c>
      <c r="E98" s="1" t="s">
        <v>2047</v>
      </c>
      <c r="F98" s="1" t="s">
        <v>2050</v>
      </c>
      <c r="G98" s="1" t="s">
        <v>2056</v>
      </c>
      <c r="H98" s="1" t="s">
        <v>2087</v>
      </c>
      <c r="I98" s="1">
        <v>4</v>
      </c>
      <c r="J98" s="1">
        <v>1698.3</v>
      </c>
      <c r="K98" s="1">
        <v>27.25</v>
      </c>
      <c r="L98" s="1">
        <v>4942.05</v>
      </c>
      <c r="M98" s="1">
        <v>967.89</v>
      </c>
      <c r="N98" s="1" t="s">
        <v>2089</v>
      </c>
    </row>
    <row r="99" spans="1:14">
      <c r="A99" s="1" t="s">
        <v>111</v>
      </c>
      <c r="B99" s="2">
        <v>45327</v>
      </c>
      <c r="C99" s="1" t="s">
        <v>2015</v>
      </c>
      <c r="D99" s="1" t="s">
        <v>2036</v>
      </c>
      <c r="E99" s="1" t="s">
        <v>2044</v>
      </c>
      <c r="F99" s="1" t="s">
        <v>2049</v>
      </c>
      <c r="G99" s="1" t="s">
        <v>2082</v>
      </c>
      <c r="H99" s="1" t="s">
        <v>2085</v>
      </c>
      <c r="I99" s="1">
        <v>8</v>
      </c>
      <c r="J99" s="1">
        <v>1542.37</v>
      </c>
      <c r="K99" s="1">
        <v>18.34</v>
      </c>
      <c r="L99" s="1">
        <v>10075.99</v>
      </c>
      <c r="M99" s="1">
        <v>549.41999999999996</v>
      </c>
      <c r="N99" s="1" t="s">
        <v>2090</v>
      </c>
    </row>
    <row r="100" spans="1:14">
      <c r="A100" s="1" t="s">
        <v>112</v>
      </c>
      <c r="B100" s="2">
        <v>45327</v>
      </c>
      <c r="C100" s="1" t="s">
        <v>2028</v>
      </c>
      <c r="D100" s="1" t="s">
        <v>2037</v>
      </c>
      <c r="E100" s="1" t="s">
        <v>2044</v>
      </c>
      <c r="F100" s="1" t="s">
        <v>2051</v>
      </c>
      <c r="G100" s="1" t="s">
        <v>2077</v>
      </c>
      <c r="H100" s="1" t="s">
        <v>2086</v>
      </c>
      <c r="I100" s="1">
        <v>10</v>
      </c>
      <c r="J100" s="1">
        <v>3687.94</v>
      </c>
      <c r="K100" s="1">
        <v>2.3199999999999998</v>
      </c>
      <c r="L100" s="1">
        <v>36023.800000000003</v>
      </c>
      <c r="M100" s="1">
        <v>2740.03</v>
      </c>
      <c r="N100" s="1" t="s">
        <v>2091</v>
      </c>
    </row>
    <row r="101" spans="1:14">
      <c r="A101" s="1" t="s">
        <v>113</v>
      </c>
      <c r="B101" s="2">
        <v>45328</v>
      </c>
      <c r="C101" s="1" t="s">
        <v>2023</v>
      </c>
      <c r="D101" s="1" t="s">
        <v>2038</v>
      </c>
      <c r="E101" s="1" t="s">
        <v>2044</v>
      </c>
      <c r="F101" s="1" t="s">
        <v>2052</v>
      </c>
      <c r="G101" s="1" t="s">
        <v>2065</v>
      </c>
      <c r="H101" s="1" t="s">
        <v>2086</v>
      </c>
      <c r="I101" s="1">
        <v>5</v>
      </c>
      <c r="J101" s="1">
        <v>1822.1</v>
      </c>
      <c r="K101" s="1">
        <v>5.59</v>
      </c>
      <c r="L101" s="1">
        <v>8601.2199999999993</v>
      </c>
      <c r="M101" s="1">
        <v>2230.92</v>
      </c>
      <c r="N101" s="1" t="s">
        <v>2090</v>
      </c>
    </row>
    <row r="102" spans="1:14">
      <c r="A102" s="1" t="s">
        <v>114</v>
      </c>
      <c r="B102" s="2">
        <v>45328</v>
      </c>
      <c r="C102" s="1" t="s">
        <v>2020</v>
      </c>
      <c r="D102" s="1" t="s">
        <v>2039</v>
      </c>
      <c r="E102" s="1" t="s">
        <v>2046</v>
      </c>
      <c r="F102" s="1" t="s">
        <v>2054</v>
      </c>
      <c r="G102" s="1" t="s">
        <v>2066</v>
      </c>
      <c r="H102" s="1" t="s">
        <v>2085</v>
      </c>
      <c r="I102" s="1">
        <v>9</v>
      </c>
      <c r="J102" s="1">
        <v>16843.59</v>
      </c>
      <c r="K102" s="1">
        <v>23.63</v>
      </c>
      <c r="L102" s="1">
        <v>115771.05</v>
      </c>
      <c r="M102" s="1">
        <v>23261.919999999998</v>
      </c>
      <c r="N102" s="1" t="s">
        <v>2092</v>
      </c>
    </row>
    <row r="103" spans="1:14">
      <c r="A103" s="1" t="s">
        <v>115</v>
      </c>
      <c r="B103" s="2">
        <v>45328</v>
      </c>
      <c r="C103" s="1" t="s">
        <v>2014</v>
      </c>
      <c r="D103" s="1" t="s">
        <v>2040</v>
      </c>
      <c r="E103" s="1" t="s">
        <v>2044</v>
      </c>
      <c r="F103" s="1" t="s">
        <v>2050</v>
      </c>
      <c r="G103" s="1" t="s">
        <v>2075</v>
      </c>
      <c r="H103" s="1" t="s">
        <v>2086</v>
      </c>
      <c r="I103" s="1">
        <v>7</v>
      </c>
      <c r="J103" s="1">
        <v>2971.54</v>
      </c>
      <c r="K103" s="1">
        <v>22.13</v>
      </c>
      <c r="L103" s="1">
        <v>16197.57</v>
      </c>
      <c r="M103" s="1">
        <v>2641.09</v>
      </c>
      <c r="N103" s="1" t="s">
        <v>2089</v>
      </c>
    </row>
    <row r="104" spans="1:14">
      <c r="A104" s="1" t="s">
        <v>116</v>
      </c>
      <c r="B104" s="2">
        <v>45329</v>
      </c>
      <c r="C104" s="1" t="s">
        <v>2019</v>
      </c>
      <c r="D104" s="1" t="s">
        <v>2041</v>
      </c>
      <c r="E104" s="1" t="s">
        <v>2044</v>
      </c>
      <c r="F104" s="1" t="s">
        <v>2052</v>
      </c>
      <c r="G104" s="1" t="s">
        <v>2083</v>
      </c>
      <c r="H104" s="1" t="s">
        <v>2087</v>
      </c>
      <c r="I104" s="1">
        <v>7</v>
      </c>
      <c r="J104" s="1">
        <v>1822.03</v>
      </c>
      <c r="K104" s="1">
        <v>1.02</v>
      </c>
      <c r="L104" s="1">
        <v>12624.12</v>
      </c>
      <c r="M104" s="1">
        <v>1614.22</v>
      </c>
      <c r="N104" s="1" t="s">
        <v>2092</v>
      </c>
    </row>
    <row r="105" spans="1:14">
      <c r="A105" s="1" t="s">
        <v>117</v>
      </c>
      <c r="B105" s="2">
        <v>45329</v>
      </c>
      <c r="C105" s="1" t="s">
        <v>2025</v>
      </c>
      <c r="D105" s="1" t="s">
        <v>2042</v>
      </c>
      <c r="E105" s="1" t="s">
        <v>2046</v>
      </c>
      <c r="F105" s="1" t="s">
        <v>2049</v>
      </c>
      <c r="G105" s="1" t="s">
        <v>2082</v>
      </c>
      <c r="H105" s="1" t="s">
        <v>2086</v>
      </c>
      <c r="I105" s="1">
        <v>5</v>
      </c>
      <c r="J105" s="1">
        <v>1569.76</v>
      </c>
      <c r="K105" s="1">
        <v>29.27</v>
      </c>
      <c r="L105" s="1">
        <v>5551.46</v>
      </c>
      <c r="M105" s="1">
        <v>914.59</v>
      </c>
      <c r="N105" s="1" t="s">
        <v>2090</v>
      </c>
    </row>
    <row r="106" spans="1:14">
      <c r="A106" s="1" t="s">
        <v>118</v>
      </c>
      <c r="B106" s="2">
        <v>45329</v>
      </c>
      <c r="C106" s="1" t="s">
        <v>2024</v>
      </c>
      <c r="D106" s="1" t="s">
        <v>2043</v>
      </c>
      <c r="E106" s="1" t="s">
        <v>2045</v>
      </c>
      <c r="F106" s="1" t="s">
        <v>2054</v>
      </c>
      <c r="G106" s="1" t="s">
        <v>2063</v>
      </c>
      <c r="H106" s="1" t="s">
        <v>2085</v>
      </c>
      <c r="I106" s="1">
        <v>7</v>
      </c>
      <c r="J106" s="1">
        <v>34429.72</v>
      </c>
      <c r="K106" s="1">
        <v>23.99</v>
      </c>
      <c r="L106" s="1">
        <v>183190.21</v>
      </c>
      <c r="M106" s="1">
        <v>25160.58</v>
      </c>
      <c r="N106" s="1" t="s">
        <v>2090</v>
      </c>
    </row>
    <row r="107" spans="1:14">
      <c r="A107" s="1" t="s">
        <v>119</v>
      </c>
      <c r="B107" s="2">
        <v>45330</v>
      </c>
      <c r="C107" s="1" t="s">
        <v>2018</v>
      </c>
      <c r="D107" s="1" t="s">
        <v>2029</v>
      </c>
      <c r="E107" s="1" t="s">
        <v>2046</v>
      </c>
      <c r="F107" s="1" t="s">
        <v>2053</v>
      </c>
      <c r="G107" s="1" t="s">
        <v>2060</v>
      </c>
      <c r="H107" s="1" t="s">
        <v>2085</v>
      </c>
      <c r="I107" s="1">
        <v>2</v>
      </c>
      <c r="J107" s="1">
        <v>805.71</v>
      </c>
      <c r="K107" s="1">
        <v>21.42</v>
      </c>
      <c r="L107" s="1">
        <v>1266.25</v>
      </c>
      <c r="M107" s="1">
        <v>230.35</v>
      </c>
      <c r="N107" s="1" t="s">
        <v>2092</v>
      </c>
    </row>
    <row r="108" spans="1:14">
      <c r="A108" s="1" t="s">
        <v>120</v>
      </c>
      <c r="B108" s="2">
        <v>45330</v>
      </c>
      <c r="C108" s="1" t="s">
        <v>2027</v>
      </c>
      <c r="D108" s="1" t="s">
        <v>2030</v>
      </c>
      <c r="E108" s="1" t="s">
        <v>2047</v>
      </c>
      <c r="F108" s="1" t="s">
        <v>2052</v>
      </c>
      <c r="G108" s="1" t="s">
        <v>2072</v>
      </c>
      <c r="H108" s="1" t="s">
        <v>2086</v>
      </c>
      <c r="I108" s="1">
        <v>4</v>
      </c>
      <c r="J108" s="1">
        <v>1982.9</v>
      </c>
      <c r="K108" s="1">
        <v>25.85</v>
      </c>
      <c r="L108" s="1">
        <v>5881.28</v>
      </c>
      <c r="M108" s="1">
        <v>1685.16</v>
      </c>
      <c r="N108" s="1" t="s">
        <v>2092</v>
      </c>
    </row>
    <row r="109" spans="1:14">
      <c r="A109" s="1" t="s">
        <v>121</v>
      </c>
      <c r="B109" s="2">
        <v>45331</v>
      </c>
      <c r="C109" s="1" t="s">
        <v>2022</v>
      </c>
      <c r="D109" s="1" t="s">
        <v>2031</v>
      </c>
      <c r="E109" s="1" t="s">
        <v>2048</v>
      </c>
      <c r="F109" s="1" t="s">
        <v>2049</v>
      </c>
      <c r="G109" s="1" t="s">
        <v>2071</v>
      </c>
      <c r="H109" s="1" t="s">
        <v>2085</v>
      </c>
      <c r="I109" s="1">
        <v>7</v>
      </c>
      <c r="J109" s="1">
        <v>2937.85</v>
      </c>
      <c r="K109" s="1">
        <v>25.19</v>
      </c>
      <c r="L109" s="1">
        <v>15384.64</v>
      </c>
      <c r="M109" s="1">
        <v>4103.83</v>
      </c>
      <c r="N109" s="1" t="s">
        <v>2089</v>
      </c>
    </row>
    <row r="110" spans="1:14">
      <c r="A110" s="1" t="s">
        <v>122</v>
      </c>
      <c r="B110" s="2">
        <v>45331</v>
      </c>
      <c r="C110" s="1" t="s">
        <v>2023</v>
      </c>
      <c r="D110" s="1" t="s">
        <v>2032</v>
      </c>
      <c r="E110" s="1" t="s">
        <v>2046</v>
      </c>
      <c r="F110" s="1" t="s">
        <v>2050</v>
      </c>
      <c r="G110" s="1" t="s">
        <v>2056</v>
      </c>
      <c r="H110" s="1" t="s">
        <v>2086</v>
      </c>
      <c r="I110" s="1">
        <v>8</v>
      </c>
      <c r="J110" s="1">
        <v>1101.6400000000001</v>
      </c>
      <c r="K110" s="1">
        <v>24</v>
      </c>
      <c r="L110" s="1">
        <v>6697.97</v>
      </c>
      <c r="M110" s="1">
        <v>633.87</v>
      </c>
      <c r="N110" s="1" t="s">
        <v>2092</v>
      </c>
    </row>
    <row r="111" spans="1:14">
      <c r="A111" s="1" t="s">
        <v>123</v>
      </c>
      <c r="B111" s="2">
        <v>45331</v>
      </c>
      <c r="C111" s="1" t="s">
        <v>2016</v>
      </c>
      <c r="D111" s="1" t="s">
        <v>2033</v>
      </c>
      <c r="E111" s="1" t="s">
        <v>2047</v>
      </c>
      <c r="F111" s="1" t="s">
        <v>2050</v>
      </c>
      <c r="G111" s="1" t="s">
        <v>2064</v>
      </c>
      <c r="H111" s="1" t="s">
        <v>2086</v>
      </c>
      <c r="I111" s="1">
        <v>4</v>
      </c>
      <c r="J111" s="1">
        <v>7571.95</v>
      </c>
      <c r="K111" s="1">
        <v>4.2300000000000004</v>
      </c>
      <c r="L111" s="1">
        <v>29006.63</v>
      </c>
      <c r="M111" s="1">
        <v>4397.3500000000004</v>
      </c>
      <c r="N111" s="1" t="s">
        <v>2092</v>
      </c>
    </row>
    <row r="112" spans="1:14">
      <c r="A112" s="1" t="s">
        <v>124</v>
      </c>
      <c r="B112" s="2">
        <v>45332</v>
      </c>
      <c r="C112" s="1" t="s">
        <v>2026</v>
      </c>
      <c r="D112" s="1" t="s">
        <v>2034</v>
      </c>
      <c r="E112" s="1" t="s">
        <v>2047</v>
      </c>
      <c r="F112" s="1" t="s">
        <v>2054</v>
      </c>
      <c r="G112" s="1" t="s">
        <v>2066</v>
      </c>
      <c r="H112" s="1" t="s">
        <v>2085</v>
      </c>
      <c r="I112" s="1">
        <v>3</v>
      </c>
      <c r="J112" s="1">
        <v>10260.76</v>
      </c>
      <c r="K112" s="1">
        <v>26.29</v>
      </c>
      <c r="L112" s="1">
        <v>22689.62</v>
      </c>
      <c r="M112" s="1">
        <v>4781.42</v>
      </c>
      <c r="N112" s="1" t="s">
        <v>2090</v>
      </c>
    </row>
    <row r="113" spans="1:14">
      <c r="A113" s="1" t="s">
        <v>125</v>
      </c>
      <c r="B113" s="2">
        <v>45332</v>
      </c>
      <c r="C113" s="1" t="s">
        <v>2025</v>
      </c>
      <c r="D113" s="1" t="s">
        <v>2035</v>
      </c>
      <c r="E113" s="1" t="s">
        <v>2045</v>
      </c>
      <c r="F113" s="1" t="s">
        <v>2049</v>
      </c>
      <c r="G113" s="1" t="s">
        <v>2074</v>
      </c>
      <c r="H113" s="1" t="s">
        <v>2085</v>
      </c>
      <c r="I113" s="1">
        <v>10</v>
      </c>
      <c r="J113" s="1">
        <v>2484.0700000000002</v>
      </c>
      <c r="K113" s="1">
        <v>10.89</v>
      </c>
      <c r="L113" s="1">
        <v>22135.55</v>
      </c>
      <c r="M113" s="1">
        <v>1296.19</v>
      </c>
      <c r="N113" s="1" t="s">
        <v>2091</v>
      </c>
    </row>
    <row r="114" spans="1:14">
      <c r="A114" s="1" t="s">
        <v>126</v>
      </c>
      <c r="B114" s="2">
        <v>45332</v>
      </c>
      <c r="C114" s="1" t="s">
        <v>2027</v>
      </c>
      <c r="D114" s="1" t="s">
        <v>2036</v>
      </c>
      <c r="E114" s="1" t="s">
        <v>2044</v>
      </c>
      <c r="F114" s="1" t="s">
        <v>2051</v>
      </c>
      <c r="G114" s="1" t="s">
        <v>2057</v>
      </c>
      <c r="H114" s="1" t="s">
        <v>2087</v>
      </c>
      <c r="I114" s="1">
        <v>3</v>
      </c>
      <c r="J114" s="1">
        <v>37989.68</v>
      </c>
      <c r="K114" s="1">
        <v>22.91</v>
      </c>
      <c r="L114" s="1">
        <v>87858.73</v>
      </c>
      <c r="M114" s="1">
        <v>7470.48</v>
      </c>
      <c r="N114" s="1" t="s">
        <v>2091</v>
      </c>
    </row>
    <row r="115" spans="1:14">
      <c r="A115" s="1" t="s">
        <v>127</v>
      </c>
      <c r="B115" s="2">
        <v>45333</v>
      </c>
      <c r="C115" s="1" t="s">
        <v>2016</v>
      </c>
      <c r="D115" s="1" t="s">
        <v>2037</v>
      </c>
      <c r="E115" s="1" t="s">
        <v>2048</v>
      </c>
      <c r="F115" s="1" t="s">
        <v>2051</v>
      </c>
      <c r="G115" s="1" t="s">
        <v>2080</v>
      </c>
      <c r="H115" s="1" t="s">
        <v>2087</v>
      </c>
      <c r="I115" s="1">
        <v>1</v>
      </c>
      <c r="J115" s="1">
        <v>11478.42</v>
      </c>
      <c r="K115" s="1">
        <v>16.25</v>
      </c>
      <c r="L115" s="1">
        <v>9613.18</v>
      </c>
      <c r="M115" s="1">
        <v>2003.09</v>
      </c>
      <c r="N115" s="1" t="s">
        <v>2089</v>
      </c>
    </row>
    <row r="116" spans="1:14">
      <c r="A116" s="1" t="s">
        <v>128</v>
      </c>
      <c r="B116" s="2">
        <v>45333</v>
      </c>
      <c r="C116" s="1" t="s">
        <v>2014</v>
      </c>
      <c r="D116" s="1" t="s">
        <v>2038</v>
      </c>
      <c r="E116" s="1" t="s">
        <v>2047</v>
      </c>
      <c r="F116" s="1" t="s">
        <v>2052</v>
      </c>
      <c r="G116" s="1" t="s">
        <v>2078</v>
      </c>
      <c r="H116" s="1" t="s">
        <v>2085</v>
      </c>
      <c r="I116" s="1">
        <v>10</v>
      </c>
      <c r="J116" s="1">
        <v>5351.76</v>
      </c>
      <c r="K116" s="1">
        <v>5.15</v>
      </c>
      <c r="L116" s="1">
        <v>50761.440000000002</v>
      </c>
      <c r="M116" s="1">
        <v>5993.75</v>
      </c>
      <c r="N116" s="1" t="s">
        <v>2092</v>
      </c>
    </row>
    <row r="117" spans="1:14">
      <c r="A117" s="1" t="s">
        <v>129</v>
      </c>
      <c r="B117" s="2">
        <v>45333</v>
      </c>
      <c r="C117" s="1" t="s">
        <v>2015</v>
      </c>
      <c r="D117" s="1" t="s">
        <v>2039</v>
      </c>
      <c r="E117" s="1" t="s">
        <v>2045</v>
      </c>
      <c r="F117" s="1" t="s">
        <v>2049</v>
      </c>
      <c r="G117" s="1" t="s">
        <v>2071</v>
      </c>
      <c r="H117" s="1" t="s">
        <v>2087</v>
      </c>
      <c r="I117" s="1">
        <v>6</v>
      </c>
      <c r="J117" s="1">
        <v>248.17</v>
      </c>
      <c r="K117" s="1">
        <v>12.16</v>
      </c>
      <c r="L117" s="1">
        <v>1307.96</v>
      </c>
      <c r="M117" s="1">
        <v>228.06</v>
      </c>
      <c r="N117" s="1" t="s">
        <v>2090</v>
      </c>
    </row>
    <row r="118" spans="1:14">
      <c r="A118" s="1" t="s">
        <v>130</v>
      </c>
      <c r="B118" s="2">
        <v>45334</v>
      </c>
      <c r="C118" s="1" t="s">
        <v>2021</v>
      </c>
      <c r="D118" s="1" t="s">
        <v>2040</v>
      </c>
      <c r="E118" s="1" t="s">
        <v>2047</v>
      </c>
      <c r="F118" s="1" t="s">
        <v>2050</v>
      </c>
      <c r="G118" s="1" t="s">
        <v>2084</v>
      </c>
      <c r="H118" s="1" t="s">
        <v>2085</v>
      </c>
      <c r="I118" s="1">
        <v>6</v>
      </c>
      <c r="J118" s="1">
        <v>5937.82</v>
      </c>
      <c r="K118" s="1">
        <v>7.52</v>
      </c>
      <c r="L118" s="1">
        <v>32947.78</v>
      </c>
      <c r="M118" s="1">
        <v>6862.18</v>
      </c>
      <c r="N118" s="1" t="s">
        <v>2091</v>
      </c>
    </row>
    <row r="119" spans="1:14">
      <c r="A119" s="1" t="s">
        <v>131</v>
      </c>
      <c r="B119" s="2">
        <v>45334</v>
      </c>
      <c r="C119" s="1" t="s">
        <v>2023</v>
      </c>
      <c r="D119" s="1" t="s">
        <v>2041</v>
      </c>
      <c r="E119" s="1" t="s">
        <v>2044</v>
      </c>
      <c r="F119" s="1" t="s">
        <v>2051</v>
      </c>
      <c r="G119" s="1" t="s">
        <v>2057</v>
      </c>
      <c r="H119" s="1" t="s">
        <v>2085</v>
      </c>
      <c r="I119" s="1">
        <v>10</v>
      </c>
      <c r="J119" s="1">
        <v>17459.41</v>
      </c>
      <c r="K119" s="1">
        <v>10.62</v>
      </c>
      <c r="L119" s="1">
        <v>156052.21</v>
      </c>
      <c r="M119" s="1">
        <v>45201.58</v>
      </c>
      <c r="N119" s="1" t="s">
        <v>2088</v>
      </c>
    </row>
    <row r="120" spans="1:14">
      <c r="A120" s="1" t="s">
        <v>132</v>
      </c>
      <c r="B120" s="2">
        <v>45335</v>
      </c>
      <c r="C120" s="1" t="s">
        <v>2014</v>
      </c>
      <c r="D120" s="1" t="s">
        <v>2042</v>
      </c>
      <c r="E120" s="1" t="s">
        <v>2044</v>
      </c>
      <c r="F120" s="1" t="s">
        <v>2050</v>
      </c>
      <c r="G120" s="1" t="s">
        <v>2075</v>
      </c>
      <c r="H120" s="1" t="s">
        <v>2087</v>
      </c>
      <c r="I120" s="1">
        <v>5</v>
      </c>
      <c r="J120" s="1">
        <v>6745.51</v>
      </c>
      <c r="K120" s="1">
        <v>13.12</v>
      </c>
      <c r="L120" s="1">
        <v>29302.5</v>
      </c>
      <c r="M120" s="1">
        <v>8171.83</v>
      </c>
      <c r="N120" s="1" t="s">
        <v>2092</v>
      </c>
    </row>
    <row r="121" spans="1:14">
      <c r="A121" s="1" t="s">
        <v>133</v>
      </c>
      <c r="B121" s="2">
        <v>45335</v>
      </c>
      <c r="C121" s="1" t="s">
        <v>2020</v>
      </c>
      <c r="D121" s="1" t="s">
        <v>2043</v>
      </c>
      <c r="E121" s="1" t="s">
        <v>2046</v>
      </c>
      <c r="F121" s="1" t="s">
        <v>2052</v>
      </c>
      <c r="G121" s="1" t="s">
        <v>2065</v>
      </c>
      <c r="H121" s="1" t="s">
        <v>2086</v>
      </c>
      <c r="I121" s="1">
        <v>8</v>
      </c>
      <c r="J121" s="1">
        <v>2306.42</v>
      </c>
      <c r="K121" s="1">
        <v>0.94</v>
      </c>
      <c r="L121" s="1">
        <v>18277.919999999998</v>
      </c>
      <c r="M121" s="1">
        <v>2112.31</v>
      </c>
      <c r="N121" s="1" t="s">
        <v>2091</v>
      </c>
    </row>
    <row r="122" spans="1:14">
      <c r="A122" s="1" t="s">
        <v>134</v>
      </c>
      <c r="B122" s="2">
        <v>45335</v>
      </c>
      <c r="C122" s="1" t="s">
        <v>2022</v>
      </c>
      <c r="D122" s="1" t="s">
        <v>2029</v>
      </c>
      <c r="E122" s="1" t="s">
        <v>2048</v>
      </c>
      <c r="F122" s="1" t="s">
        <v>2052</v>
      </c>
      <c r="G122" s="1" t="s">
        <v>2072</v>
      </c>
      <c r="H122" s="1" t="s">
        <v>2085</v>
      </c>
      <c r="I122" s="1">
        <v>2</v>
      </c>
      <c r="J122" s="1">
        <v>6308.66</v>
      </c>
      <c r="K122" s="1">
        <v>14.23</v>
      </c>
      <c r="L122" s="1">
        <v>10821.88</v>
      </c>
      <c r="M122" s="1">
        <v>1472.81</v>
      </c>
      <c r="N122" s="1" t="s">
        <v>2091</v>
      </c>
    </row>
    <row r="123" spans="1:14">
      <c r="A123" s="1" t="s">
        <v>135</v>
      </c>
      <c r="B123" s="2">
        <v>45336</v>
      </c>
      <c r="C123" s="1" t="s">
        <v>2021</v>
      </c>
      <c r="D123" s="1" t="s">
        <v>2030</v>
      </c>
      <c r="E123" s="1" t="s">
        <v>2046</v>
      </c>
      <c r="F123" s="1" t="s">
        <v>2053</v>
      </c>
      <c r="G123" s="1" t="s">
        <v>2060</v>
      </c>
      <c r="H123" s="1" t="s">
        <v>2086</v>
      </c>
      <c r="I123" s="1">
        <v>8</v>
      </c>
      <c r="J123" s="1">
        <v>1143.5899999999999</v>
      </c>
      <c r="K123" s="1">
        <v>7.39</v>
      </c>
      <c r="L123" s="1">
        <v>8472.6299999999992</v>
      </c>
      <c r="M123" s="1">
        <v>2158.62</v>
      </c>
      <c r="N123" s="1" t="s">
        <v>2092</v>
      </c>
    </row>
    <row r="124" spans="1:14">
      <c r="A124" s="1" t="s">
        <v>136</v>
      </c>
      <c r="B124" s="2">
        <v>45336</v>
      </c>
      <c r="C124" s="1" t="s">
        <v>2027</v>
      </c>
      <c r="D124" s="1" t="s">
        <v>2031</v>
      </c>
      <c r="E124" s="1" t="s">
        <v>2048</v>
      </c>
      <c r="F124" s="1" t="s">
        <v>2049</v>
      </c>
      <c r="G124" s="1" t="s">
        <v>2074</v>
      </c>
      <c r="H124" s="1" t="s">
        <v>2086</v>
      </c>
      <c r="I124" s="1">
        <v>5</v>
      </c>
      <c r="J124" s="1">
        <v>320.17</v>
      </c>
      <c r="K124" s="1">
        <v>27.52</v>
      </c>
      <c r="L124" s="1">
        <v>1160.3</v>
      </c>
      <c r="M124" s="1">
        <v>97.7</v>
      </c>
      <c r="N124" s="1" t="s">
        <v>2091</v>
      </c>
    </row>
    <row r="125" spans="1:14">
      <c r="A125" s="1" t="s">
        <v>137</v>
      </c>
      <c r="B125" s="2">
        <v>45336</v>
      </c>
      <c r="C125" s="1" t="s">
        <v>2018</v>
      </c>
      <c r="D125" s="1" t="s">
        <v>2032</v>
      </c>
      <c r="E125" s="1" t="s">
        <v>2048</v>
      </c>
      <c r="F125" s="1" t="s">
        <v>2049</v>
      </c>
      <c r="G125" s="1" t="s">
        <v>2074</v>
      </c>
      <c r="H125" s="1" t="s">
        <v>2087</v>
      </c>
      <c r="I125" s="1">
        <v>8</v>
      </c>
      <c r="J125" s="1">
        <v>1934.9</v>
      </c>
      <c r="K125" s="1">
        <v>22.77</v>
      </c>
      <c r="L125" s="1">
        <v>11954.59</v>
      </c>
      <c r="M125" s="1">
        <v>2761.82</v>
      </c>
      <c r="N125" s="1" t="s">
        <v>2091</v>
      </c>
    </row>
    <row r="126" spans="1:14">
      <c r="A126" s="1" t="s">
        <v>138</v>
      </c>
      <c r="B126" s="2">
        <v>45337</v>
      </c>
      <c r="C126" s="1" t="s">
        <v>2016</v>
      </c>
      <c r="D126" s="1" t="s">
        <v>2033</v>
      </c>
      <c r="E126" s="1" t="s">
        <v>2048</v>
      </c>
      <c r="F126" s="1" t="s">
        <v>2049</v>
      </c>
      <c r="G126" s="1" t="s">
        <v>2074</v>
      </c>
      <c r="H126" s="1" t="s">
        <v>2086</v>
      </c>
      <c r="I126" s="1">
        <v>10</v>
      </c>
      <c r="J126" s="1">
        <v>202.21</v>
      </c>
      <c r="K126" s="1">
        <v>20.100000000000001</v>
      </c>
      <c r="L126" s="1">
        <v>1615.66</v>
      </c>
      <c r="M126" s="1">
        <v>98.62</v>
      </c>
      <c r="N126" s="1" t="s">
        <v>2092</v>
      </c>
    </row>
    <row r="127" spans="1:14">
      <c r="A127" s="1" t="s">
        <v>139</v>
      </c>
      <c r="B127" s="2">
        <v>45337</v>
      </c>
      <c r="C127" s="1" t="s">
        <v>2022</v>
      </c>
      <c r="D127" s="1" t="s">
        <v>2034</v>
      </c>
      <c r="E127" s="1" t="s">
        <v>2047</v>
      </c>
      <c r="F127" s="1" t="s">
        <v>2053</v>
      </c>
      <c r="G127" s="1" t="s">
        <v>2062</v>
      </c>
      <c r="H127" s="1" t="s">
        <v>2086</v>
      </c>
      <c r="I127" s="1">
        <v>7</v>
      </c>
      <c r="J127" s="1">
        <v>181.47</v>
      </c>
      <c r="K127" s="1">
        <v>20.92</v>
      </c>
      <c r="L127" s="1">
        <v>1004.55</v>
      </c>
      <c r="M127" s="1">
        <v>124.9</v>
      </c>
      <c r="N127" s="1" t="s">
        <v>2090</v>
      </c>
    </row>
    <row r="128" spans="1:14">
      <c r="A128" s="1" t="s">
        <v>140</v>
      </c>
      <c r="B128" s="2">
        <v>45338</v>
      </c>
      <c r="C128" s="1" t="s">
        <v>2024</v>
      </c>
      <c r="D128" s="1" t="s">
        <v>2035</v>
      </c>
      <c r="E128" s="1" t="s">
        <v>2044</v>
      </c>
      <c r="F128" s="1" t="s">
        <v>2051</v>
      </c>
      <c r="G128" s="1" t="s">
        <v>2069</v>
      </c>
      <c r="H128" s="1" t="s">
        <v>2085</v>
      </c>
      <c r="I128" s="1">
        <v>7</v>
      </c>
      <c r="J128" s="1">
        <v>18750.599999999999</v>
      </c>
      <c r="K128" s="1">
        <v>15.67</v>
      </c>
      <c r="L128" s="1">
        <v>110686.67</v>
      </c>
      <c r="M128" s="1">
        <v>23370.01</v>
      </c>
      <c r="N128" s="1" t="s">
        <v>2092</v>
      </c>
    </row>
    <row r="129" spans="1:14">
      <c r="A129" s="1" t="s">
        <v>141</v>
      </c>
      <c r="B129" s="2">
        <v>45338</v>
      </c>
      <c r="C129" s="1" t="s">
        <v>2022</v>
      </c>
      <c r="D129" s="1" t="s">
        <v>2036</v>
      </c>
      <c r="E129" s="1" t="s">
        <v>2048</v>
      </c>
      <c r="F129" s="1" t="s">
        <v>2050</v>
      </c>
      <c r="G129" s="1" t="s">
        <v>2056</v>
      </c>
      <c r="H129" s="1" t="s">
        <v>2085</v>
      </c>
      <c r="I129" s="1">
        <v>8</v>
      </c>
      <c r="J129" s="1">
        <v>3695.95</v>
      </c>
      <c r="K129" s="1">
        <v>12.13</v>
      </c>
      <c r="L129" s="1">
        <v>25981.05</v>
      </c>
      <c r="M129" s="1">
        <v>5017.12</v>
      </c>
      <c r="N129" s="1" t="s">
        <v>2091</v>
      </c>
    </row>
    <row r="130" spans="1:14">
      <c r="A130" s="1" t="s">
        <v>142</v>
      </c>
      <c r="B130" s="2">
        <v>45338</v>
      </c>
      <c r="C130" s="1" t="s">
        <v>2016</v>
      </c>
      <c r="D130" s="1" t="s">
        <v>2037</v>
      </c>
      <c r="E130" s="1" t="s">
        <v>2044</v>
      </c>
      <c r="F130" s="1" t="s">
        <v>2053</v>
      </c>
      <c r="G130" s="1" t="s">
        <v>2062</v>
      </c>
      <c r="H130" s="1" t="s">
        <v>2087</v>
      </c>
      <c r="I130" s="1">
        <v>1</v>
      </c>
      <c r="J130" s="1">
        <v>2226.35</v>
      </c>
      <c r="K130" s="1">
        <v>18.48</v>
      </c>
      <c r="L130" s="1">
        <v>1814.92</v>
      </c>
      <c r="M130" s="1">
        <v>196.45</v>
      </c>
      <c r="N130" s="1" t="s">
        <v>2092</v>
      </c>
    </row>
    <row r="131" spans="1:14">
      <c r="A131" s="1" t="s">
        <v>143</v>
      </c>
      <c r="B131" s="2">
        <v>45339</v>
      </c>
      <c r="C131" s="1" t="s">
        <v>2014</v>
      </c>
      <c r="D131" s="1" t="s">
        <v>2038</v>
      </c>
      <c r="E131" s="1" t="s">
        <v>2046</v>
      </c>
      <c r="F131" s="1" t="s">
        <v>2052</v>
      </c>
      <c r="G131" s="1" t="s">
        <v>2072</v>
      </c>
      <c r="H131" s="1" t="s">
        <v>2085</v>
      </c>
      <c r="I131" s="1">
        <v>7</v>
      </c>
      <c r="J131" s="1">
        <v>2017.63</v>
      </c>
      <c r="K131" s="1">
        <v>11.52</v>
      </c>
      <c r="L131" s="1">
        <v>12496.39</v>
      </c>
      <c r="M131" s="1">
        <v>3538.32</v>
      </c>
      <c r="N131" s="1" t="s">
        <v>2091</v>
      </c>
    </row>
    <row r="132" spans="1:14">
      <c r="A132" s="1" t="s">
        <v>144</v>
      </c>
      <c r="B132" s="2">
        <v>45339</v>
      </c>
      <c r="C132" s="1" t="s">
        <v>2024</v>
      </c>
      <c r="D132" s="1" t="s">
        <v>2039</v>
      </c>
      <c r="E132" s="1" t="s">
        <v>2048</v>
      </c>
      <c r="F132" s="1" t="s">
        <v>2053</v>
      </c>
      <c r="G132" s="1" t="s">
        <v>2076</v>
      </c>
      <c r="H132" s="1" t="s">
        <v>2086</v>
      </c>
      <c r="I132" s="1">
        <v>9</v>
      </c>
      <c r="J132" s="1">
        <v>1493.82</v>
      </c>
      <c r="K132" s="1">
        <v>8.15</v>
      </c>
      <c r="L132" s="1">
        <v>12348.66</v>
      </c>
      <c r="M132" s="1">
        <v>1847.01</v>
      </c>
      <c r="N132" s="1" t="s">
        <v>2088</v>
      </c>
    </row>
    <row r="133" spans="1:14">
      <c r="A133" s="1" t="s">
        <v>145</v>
      </c>
      <c r="B133" s="2">
        <v>45339</v>
      </c>
      <c r="C133" s="1" t="s">
        <v>2025</v>
      </c>
      <c r="D133" s="1" t="s">
        <v>2040</v>
      </c>
      <c r="E133" s="1" t="s">
        <v>2047</v>
      </c>
      <c r="F133" s="1" t="s">
        <v>2053</v>
      </c>
      <c r="G133" s="1" t="s">
        <v>2073</v>
      </c>
      <c r="H133" s="1" t="s">
        <v>2087</v>
      </c>
      <c r="I133" s="1">
        <v>1</v>
      </c>
      <c r="J133" s="1">
        <v>365.14</v>
      </c>
      <c r="K133" s="1">
        <v>10.64</v>
      </c>
      <c r="L133" s="1">
        <v>326.29000000000002</v>
      </c>
      <c r="M133" s="1">
        <v>39.75</v>
      </c>
      <c r="N133" s="1" t="s">
        <v>2090</v>
      </c>
    </row>
    <row r="134" spans="1:14">
      <c r="A134" s="1" t="s">
        <v>146</v>
      </c>
      <c r="B134" s="2">
        <v>45340</v>
      </c>
      <c r="C134" s="1" t="s">
        <v>2022</v>
      </c>
      <c r="D134" s="1" t="s">
        <v>2041</v>
      </c>
      <c r="E134" s="1" t="s">
        <v>2046</v>
      </c>
      <c r="F134" s="1" t="s">
        <v>2054</v>
      </c>
      <c r="G134" s="1" t="s">
        <v>2063</v>
      </c>
      <c r="H134" s="1" t="s">
        <v>2086</v>
      </c>
      <c r="I134" s="1">
        <v>5</v>
      </c>
      <c r="J134" s="1">
        <v>79023.929999999993</v>
      </c>
      <c r="K134" s="1">
        <v>12.83</v>
      </c>
      <c r="L134" s="1">
        <v>344425.8</v>
      </c>
      <c r="M134" s="1">
        <v>50314.29</v>
      </c>
      <c r="N134" s="1" t="s">
        <v>2092</v>
      </c>
    </row>
    <row r="135" spans="1:14">
      <c r="A135" s="1" t="s">
        <v>147</v>
      </c>
      <c r="B135" s="2">
        <v>45340</v>
      </c>
      <c r="C135" s="1" t="s">
        <v>2024</v>
      </c>
      <c r="D135" s="1" t="s">
        <v>2042</v>
      </c>
      <c r="E135" s="1" t="s">
        <v>2044</v>
      </c>
      <c r="F135" s="1" t="s">
        <v>2053</v>
      </c>
      <c r="G135" s="1" t="s">
        <v>2076</v>
      </c>
      <c r="H135" s="1" t="s">
        <v>2087</v>
      </c>
      <c r="I135" s="1">
        <v>5</v>
      </c>
      <c r="J135" s="1">
        <v>314.58999999999997</v>
      </c>
      <c r="K135" s="1">
        <v>12.53</v>
      </c>
      <c r="L135" s="1">
        <v>1375.86</v>
      </c>
      <c r="M135" s="1">
        <v>371.18</v>
      </c>
      <c r="N135" s="1" t="s">
        <v>2090</v>
      </c>
    </row>
    <row r="136" spans="1:14">
      <c r="A136" s="1" t="s">
        <v>148</v>
      </c>
      <c r="B136" s="2">
        <v>45340</v>
      </c>
      <c r="C136" s="1" t="s">
        <v>2017</v>
      </c>
      <c r="D136" s="1" t="s">
        <v>2043</v>
      </c>
      <c r="E136" s="1" t="s">
        <v>2045</v>
      </c>
      <c r="F136" s="1" t="s">
        <v>2051</v>
      </c>
      <c r="G136" s="1" t="s">
        <v>2077</v>
      </c>
      <c r="H136" s="1" t="s">
        <v>2086</v>
      </c>
      <c r="I136" s="1">
        <v>7</v>
      </c>
      <c r="J136" s="1">
        <v>39655.58</v>
      </c>
      <c r="K136" s="1">
        <v>6.95</v>
      </c>
      <c r="L136" s="1">
        <v>258296.62</v>
      </c>
      <c r="M136" s="1">
        <v>73790.94</v>
      </c>
      <c r="N136" s="1" t="s">
        <v>2090</v>
      </c>
    </row>
    <row r="137" spans="1:14">
      <c r="A137" s="1" t="s">
        <v>149</v>
      </c>
      <c r="B137" s="2">
        <v>45341</v>
      </c>
      <c r="C137" s="1" t="s">
        <v>2022</v>
      </c>
      <c r="D137" s="1" t="s">
        <v>2029</v>
      </c>
      <c r="E137" s="1" t="s">
        <v>2045</v>
      </c>
      <c r="F137" s="1" t="s">
        <v>2052</v>
      </c>
      <c r="G137" s="1" t="s">
        <v>2059</v>
      </c>
      <c r="H137" s="1" t="s">
        <v>2085</v>
      </c>
      <c r="I137" s="1">
        <v>2</v>
      </c>
      <c r="J137" s="1">
        <v>3964.09</v>
      </c>
      <c r="K137" s="1">
        <v>1.1000000000000001</v>
      </c>
      <c r="L137" s="1">
        <v>7840.97</v>
      </c>
      <c r="M137" s="1">
        <v>2268.5300000000002</v>
      </c>
      <c r="N137" s="1" t="s">
        <v>2091</v>
      </c>
    </row>
    <row r="138" spans="1:14">
      <c r="A138" s="1" t="s">
        <v>150</v>
      </c>
      <c r="B138" s="2">
        <v>45341</v>
      </c>
      <c r="C138" s="1" t="s">
        <v>2026</v>
      </c>
      <c r="D138" s="1" t="s">
        <v>2030</v>
      </c>
      <c r="E138" s="1" t="s">
        <v>2047</v>
      </c>
      <c r="F138" s="1" t="s">
        <v>2054</v>
      </c>
      <c r="G138" s="1" t="s">
        <v>2068</v>
      </c>
      <c r="H138" s="1" t="s">
        <v>2087</v>
      </c>
      <c r="I138" s="1">
        <v>4</v>
      </c>
      <c r="J138" s="1">
        <v>79595.17</v>
      </c>
      <c r="K138" s="1">
        <v>5.22</v>
      </c>
      <c r="L138" s="1">
        <v>301761.21000000002</v>
      </c>
      <c r="M138" s="1">
        <v>44980.68</v>
      </c>
      <c r="N138" s="1" t="s">
        <v>2091</v>
      </c>
    </row>
    <row r="139" spans="1:14">
      <c r="A139" s="1" t="s">
        <v>151</v>
      </c>
      <c r="B139" s="2">
        <v>45342</v>
      </c>
      <c r="C139" s="1" t="s">
        <v>2025</v>
      </c>
      <c r="D139" s="1" t="s">
        <v>2031</v>
      </c>
      <c r="E139" s="1" t="s">
        <v>2045</v>
      </c>
      <c r="F139" s="1" t="s">
        <v>2050</v>
      </c>
      <c r="G139" s="1" t="s">
        <v>2064</v>
      </c>
      <c r="H139" s="1" t="s">
        <v>2087</v>
      </c>
      <c r="I139" s="1">
        <v>6</v>
      </c>
      <c r="J139" s="1">
        <v>5096.62</v>
      </c>
      <c r="K139" s="1">
        <v>22.44</v>
      </c>
      <c r="L139" s="1">
        <v>23717.63</v>
      </c>
      <c r="M139" s="1">
        <v>1392.61</v>
      </c>
      <c r="N139" s="1" t="s">
        <v>2089</v>
      </c>
    </row>
    <row r="140" spans="1:14">
      <c r="A140" s="1" t="s">
        <v>152</v>
      </c>
      <c r="B140" s="2">
        <v>45342</v>
      </c>
      <c r="C140" s="1" t="s">
        <v>2017</v>
      </c>
      <c r="D140" s="1" t="s">
        <v>2032</v>
      </c>
      <c r="E140" s="1" t="s">
        <v>2048</v>
      </c>
      <c r="F140" s="1" t="s">
        <v>2054</v>
      </c>
      <c r="G140" s="1" t="s">
        <v>2068</v>
      </c>
      <c r="H140" s="1" t="s">
        <v>2085</v>
      </c>
      <c r="I140" s="1">
        <v>9</v>
      </c>
      <c r="J140" s="1">
        <v>4027.94</v>
      </c>
      <c r="K140" s="1">
        <v>25.57</v>
      </c>
      <c r="L140" s="1">
        <v>26981.96</v>
      </c>
      <c r="M140" s="1">
        <v>1588.04</v>
      </c>
      <c r="N140" s="1" t="s">
        <v>2089</v>
      </c>
    </row>
    <row r="141" spans="1:14">
      <c r="A141" s="1" t="s">
        <v>153</v>
      </c>
      <c r="B141" s="2">
        <v>45342</v>
      </c>
      <c r="C141" s="1" t="s">
        <v>2027</v>
      </c>
      <c r="D141" s="1" t="s">
        <v>2033</v>
      </c>
      <c r="E141" s="1" t="s">
        <v>2047</v>
      </c>
      <c r="F141" s="1" t="s">
        <v>2050</v>
      </c>
      <c r="G141" s="1" t="s">
        <v>2075</v>
      </c>
      <c r="H141" s="1" t="s">
        <v>2087</v>
      </c>
      <c r="I141" s="1">
        <v>8</v>
      </c>
      <c r="J141" s="1">
        <v>2245.4</v>
      </c>
      <c r="K141" s="1">
        <v>0.15</v>
      </c>
      <c r="L141" s="1">
        <v>17936.259999999998</v>
      </c>
      <c r="M141" s="1">
        <v>4016.44</v>
      </c>
      <c r="N141" s="1" t="s">
        <v>2090</v>
      </c>
    </row>
    <row r="142" spans="1:14">
      <c r="A142" s="1" t="s">
        <v>154</v>
      </c>
      <c r="B142" s="2">
        <v>45343</v>
      </c>
      <c r="C142" s="1" t="s">
        <v>2024</v>
      </c>
      <c r="D142" s="1" t="s">
        <v>2034</v>
      </c>
      <c r="E142" s="1" t="s">
        <v>2045</v>
      </c>
      <c r="F142" s="1" t="s">
        <v>2049</v>
      </c>
      <c r="G142" s="1" t="s">
        <v>2055</v>
      </c>
      <c r="H142" s="1" t="s">
        <v>2086</v>
      </c>
      <c r="I142" s="1">
        <v>5</v>
      </c>
      <c r="J142" s="1">
        <v>2974.85</v>
      </c>
      <c r="K142" s="1">
        <v>1.85</v>
      </c>
      <c r="L142" s="1">
        <v>14599.08</v>
      </c>
      <c r="M142" s="1">
        <v>3952.36</v>
      </c>
      <c r="N142" s="1" t="s">
        <v>2092</v>
      </c>
    </row>
    <row r="143" spans="1:14">
      <c r="A143" s="1" t="s">
        <v>155</v>
      </c>
      <c r="B143" s="2">
        <v>45343</v>
      </c>
      <c r="C143" s="1" t="s">
        <v>2020</v>
      </c>
      <c r="D143" s="1" t="s">
        <v>2035</v>
      </c>
      <c r="E143" s="1" t="s">
        <v>2046</v>
      </c>
      <c r="F143" s="1" t="s">
        <v>2050</v>
      </c>
      <c r="G143" s="1" t="s">
        <v>2075</v>
      </c>
      <c r="H143" s="1" t="s">
        <v>2085</v>
      </c>
      <c r="I143" s="1">
        <v>8</v>
      </c>
      <c r="J143" s="1">
        <v>4656.1400000000003</v>
      </c>
      <c r="K143" s="1">
        <v>8.01</v>
      </c>
      <c r="L143" s="1">
        <v>34265.47</v>
      </c>
      <c r="M143" s="1">
        <v>9239.94</v>
      </c>
      <c r="N143" s="1" t="s">
        <v>2089</v>
      </c>
    </row>
    <row r="144" spans="1:14">
      <c r="A144" s="1" t="s">
        <v>156</v>
      </c>
      <c r="B144" s="2">
        <v>45343</v>
      </c>
      <c r="C144" s="1" t="s">
        <v>2015</v>
      </c>
      <c r="D144" s="1" t="s">
        <v>2036</v>
      </c>
      <c r="E144" s="1" t="s">
        <v>2045</v>
      </c>
      <c r="F144" s="1" t="s">
        <v>2050</v>
      </c>
      <c r="G144" s="1" t="s">
        <v>2084</v>
      </c>
      <c r="H144" s="1" t="s">
        <v>2086</v>
      </c>
      <c r="I144" s="1">
        <v>9</v>
      </c>
      <c r="J144" s="1">
        <v>7461.7</v>
      </c>
      <c r="K144" s="1">
        <v>3.18</v>
      </c>
      <c r="L144" s="1">
        <v>65019.76</v>
      </c>
      <c r="M144" s="1">
        <v>14613.04</v>
      </c>
      <c r="N144" s="1" t="s">
        <v>2090</v>
      </c>
    </row>
    <row r="145" spans="1:14">
      <c r="A145" s="1" t="s">
        <v>157</v>
      </c>
      <c r="B145" s="2">
        <v>45344</v>
      </c>
      <c r="C145" s="1" t="s">
        <v>2021</v>
      </c>
      <c r="D145" s="1" t="s">
        <v>2037</v>
      </c>
      <c r="E145" s="1" t="s">
        <v>2047</v>
      </c>
      <c r="F145" s="1" t="s">
        <v>2051</v>
      </c>
      <c r="G145" s="1" t="s">
        <v>2077</v>
      </c>
      <c r="H145" s="1" t="s">
        <v>2087</v>
      </c>
      <c r="I145" s="1">
        <v>3</v>
      </c>
      <c r="J145" s="1">
        <v>35283.79</v>
      </c>
      <c r="K145" s="1">
        <v>0.15</v>
      </c>
      <c r="L145" s="1">
        <v>105692.59</v>
      </c>
      <c r="M145" s="1">
        <v>26950.21</v>
      </c>
      <c r="N145" s="1" t="s">
        <v>2090</v>
      </c>
    </row>
    <row r="146" spans="1:14">
      <c r="A146" s="1" t="s">
        <v>158</v>
      </c>
      <c r="B146" s="2">
        <v>45344</v>
      </c>
      <c r="C146" s="1" t="s">
        <v>2028</v>
      </c>
      <c r="D146" s="1" t="s">
        <v>2038</v>
      </c>
      <c r="E146" s="1" t="s">
        <v>2048</v>
      </c>
      <c r="F146" s="1" t="s">
        <v>2053</v>
      </c>
      <c r="G146" s="1" t="s">
        <v>2067</v>
      </c>
      <c r="H146" s="1" t="s">
        <v>2086</v>
      </c>
      <c r="I146" s="1">
        <v>7</v>
      </c>
      <c r="J146" s="1">
        <v>563.52</v>
      </c>
      <c r="K146" s="1">
        <v>2.52</v>
      </c>
      <c r="L146" s="1">
        <v>3845.24</v>
      </c>
      <c r="M146" s="1">
        <v>506.07</v>
      </c>
      <c r="N146" s="1" t="s">
        <v>2092</v>
      </c>
    </row>
    <row r="147" spans="1:14">
      <c r="A147" s="1" t="s">
        <v>159</v>
      </c>
      <c r="B147" s="2">
        <v>45344</v>
      </c>
      <c r="C147" s="1" t="s">
        <v>2028</v>
      </c>
      <c r="D147" s="1" t="s">
        <v>2039</v>
      </c>
      <c r="E147" s="1" t="s">
        <v>2047</v>
      </c>
      <c r="F147" s="1" t="s">
        <v>2049</v>
      </c>
      <c r="G147" s="1" t="s">
        <v>2055</v>
      </c>
      <c r="H147" s="1" t="s">
        <v>2086</v>
      </c>
      <c r="I147" s="1">
        <v>3</v>
      </c>
      <c r="J147" s="1">
        <v>428.92</v>
      </c>
      <c r="K147" s="1">
        <v>8.5</v>
      </c>
      <c r="L147" s="1">
        <v>1177.3900000000001</v>
      </c>
      <c r="M147" s="1">
        <v>64.290000000000006</v>
      </c>
      <c r="N147" s="1" t="s">
        <v>2088</v>
      </c>
    </row>
    <row r="148" spans="1:14">
      <c r="A148" s="1" t="s">
        <v>160</v>
      </c>
      <c r="B148" s="2">
        <v>45345</v>
      </c>
      <c r="C148" s="1" t="s">
        <v>2014</v>
      </c>
      <c r="D148" s="1" t="s">
        <v>2040</v>
      </c>
      <c r="E148" s="1" t="s">
        <v>2048</v>
      </c>
      <c r="F148" s="1" t="s">
        <v>2049</v>
      </c>
      <c r="G148" s="1" t="s">
        <v>2055</v>
      </c>
      <c r="H148" s="1" t="s">
        <v>2087</v>
      </c>
      <c r="I148" s="1">
        <v>6</v>
      </c>
      <c r="J148" s="1">
        <v>2814.82</v>
      </c>
      <c r="K148" s="1">
        <v>20.64</v>
      </c>
      <c r="L148" s="1">
        <v>13403.05</v>
      </c>
      <c r="M148" s="1">
        <v>897.46</v>
      </c>
      <c r="N148" s="1" t="s">
        <v>2091</v>
      </c>
    </row>
    <row r="149" spans="1:14">
      <c r="A149" s="1" t="s">
        <v>161</v>
      </c>
      <c r="B149" s="2">
        <v>45345</v>
      </c>
      <c r="C149" s="1" t="s">
        <v>2017</v>
      </c>
      <c r="D149" s="1" t="s">
        <v>2041</v>
      </c>
      <c r="E149" s="1" t="s">
        <v>2045</v>
      </c>
      <c r="F149" s="1" t="s">
        <v>2051</v>
      </c>
      <c r="G149" s="1" t="s">
        <v>2077</v>
      </c>
      <c r="H149" s="1" t="s">
        <v>2086</v>
      </c>
      <c r="I149" s="1">
        <v>6</v>
      </c>
      <c r="J149" s="1">
        <v>25215.71</v>
      </c>
      <c r="K149" s="1">
        <v>1.37</v>
      </c>
      <c r="L149" s="1">
        <v>149221.53</v>
      </c>
      <c r="M149" s="1">
        <v>39974.089999999997</v>
      </c>
      <c r="N149" s="1" t="s">
        <v>2089</v>
      </c>
    </row>
    <row r="150" spans="1:14">
      <c r="A150" s="1" t="s">
        <v>162</v>
      </c>
      <c r="B150" s="2">
        <v>45346</v>
      </c>
      <c r="C150" s="1" t="s">
        <v>2020</v>
      </c>
      <c r="D150" s="1" t="s">
        <v>2042</v>
      </c>
      <c r="E150" s="1" t="s">
        <v>2044</v>
      </c>
      <c r="F150" s="1" t="s">
        <v>2049</v>
      </c>
      <c r="G150" s="1" t="s">
        <v>2055</v>
      </c>
      <c r="H150" s="1" t="s">
        <v>2087</v>
      </c>
      <c r="I150" s="1">
        <v>7</v>
      </c>
      <c r="J150" s="1">
        <v>243.6</v>
      </c>
      <c r="K150" s="1">
        <v>24.65</v>
      </c>
      <c r="L150" s="1">
        <v>1284.8699999999999</v>
      </c>
      <c r="M150" s="1">
        <v>183.68</v>
      </c>
      <c r="N150" s="1" t="s">
        <v>2092</v>
      </c>
    </row>
    <row r="151" spans="1:14">
      <c r="A151" s="1" t="s">
        <v>163</v>
      </c>
      <c r="B151" s="2">
        <v>45346</v>
      </c>
      <c r="C151" s="1" t="s">
        <v>2016</v>
      </c>
      <c r="D151" s="1" t="s">
        <v>2043</v>
      </c>
      <c r="E151" s="1" t="s">
        <v>2045</v>
      </c>
      <c r="F151" s="1" t="s">
        <v>2051</v>
      </c>
      <c r="G151" s="1" t="s">
        <v>2061</v>
      </c>
      <c r="H151" s="1" t="s">
        <v>2085</v>
      </c>
      <c r="I151" s="1">
        <v>4</v>
      </c>
      <c r="J151" s="1">
        <v>17621.07</v>
      </c>
      <c r="K151" s="1">
        <v>13.54</v>
      </c>
      <c r="L151" s="1">
        <v>60940.71</v>
      </c>
      <c r="M151" s="1">
        <v>5539.87</v>
      </c>
      <c r="N151" s="1" t="s">
        <v>2089</v>
      </c>
    </row>
    <row r="152" spans="1:14">
      <c r="A152" s="1" t="s">
        <v>164</v>
      </c>
      <c r="B152" s="2">
        <v>45346</v>
      </c>
      <c r="C152" s="1" t="s">
        <v>2015</v>
      </c>
      <c r="D152" s="1" t="s">
        <v>2029</v>
      </c>
      <c r="E152" s="1" t="s">
        <v>2046</v>
      </c>
      <c r="F152" s="1" t="s">
        <v>2049</v>
      </c>
      <c r="G152" s="1" t="s">
        <v>2082</v>
      </c>
      <c r="H152" s="1" t="s">
        <v>2085</v>
      </c>
      <c r="I152" s="1">
        <v>4</v>
      </c>
      <c r="J152" s="1">
        <v>1980.81</v>
      </c>
      <c r="K152" s="1">
        <v>8.1999999999999993</v>
      </c>
      <c r="L152" s="1">
        <v>7273.53</v>
      </c>
      <c r="M152" s="1">
        <v>2092.71</v>
      </c>
      <c r="N152" s="1" t="s">
        <v>2090</v>
      </c>
    </row>
    <row r="153" spans="1:14">
      <c r="A153" s="1" t="s">
        <v>165</v>
      </c>
      <c r="B153" s="2">
        <v>45347</v>
      </c>
      <c r="C153" s="1" t="s">
        <v>2023</v>
      </c>
      <c r="D153" s="1" t="s">
        <v>2030</v>
      </c>
      <c r="E153" s="1" t="s">
        <v>2047</v>
      </c>
      <c r="F153" s="1" t="s">
        <v>2053</v>
      </c>
      <c r="G153" s="1" t="s">
        <v>2060</v>
      </c>
      <c r="H153" s="1" t="s">
        <v>2087</v>
      </c>
      <c r="I153" s="1">
        <v>4</v>
      </c>
      <c r="J153" s="1">
        <v>1054.23</v>
      </c>
      <c r="K153" s="1">
        <v>8.23</v>
      </c>
      <c r="L153" s="1">
        <v>3869.87</v>
      </c>
      <c r="M153" s="1">
        <v>1145.46</v>
      </c>
      <c r="N153" s="1" t="s">
        <v>2092</v>
      </c>
    </row>
    <row r="154" spans="1:14">
      <c r="A154" s="1" t="s">
        <v>166</v>
      </c>
      <c r="B154" s="2">
        <v>45347</v>
      </c>
      <c r="C154" s="1" t="s">
        <v>2014</v>
      </c>
      <c r="D154" s="1" t="s">
        <v>2031</v>
      </c>
      <c r="E154" s="1" t="s">
        <v>2046</v>
      </c>
      <c r="F154" s="1" t="s">
        <v>2053</v>
      </c>
      <c r="G154" s="1" t="s">
        <v>2060</v>
      </c>
      <c r="H154" s="1" t="s">
        <v>2087</v>
      </c>
      <c r="I154" s="1">
        <v>1</v>
      </c>
      <c r="J154" s="1">
        <v>1664</v>
      </c>
      <c r="K154" s="1">
        <v>11.06</v>
      </c>
      <c r="L154" s="1">
        <v>1479.96</v>
      </c>
      <c r="M154" s="1">
        <v>393.8</v>
      </c>
      <c r="N154" s="1" t="s">
        <v>2091</v>
      </c>
    </row>
    <row r="155" spans="1:14">
      <c r="A155" s="1" t="s">
        <v>167</v>
      </c>
      <c r="B155" s="2">
        <v>45347</v>
      </c>
      <c r="C155" s="1" t="s">
        <v>2016</v>
      </c>
      <c r="D155" s="1" t="s">
        <v>2032</v>
      </c>
      <c r="E155" s="1" t="s">
        <v>2044</v>
      </c>
      <c r="F155" s="1" t="s">
        <v>2054</v>
      </c>
      <c r="G155" s="1" t="s">
        <v>2066</v>
      </c>
      <c r="H155" s="1" t="s">
        <v>2085</v>
      </c>
      <c r="I155" s="1">
        <v>5</v>
      </c>
      <c r="J155" s="1">
        <v>12715.81</v>
      </c>
      <c r="K155" s="1">
        <v>13.61</v>
      </c>
      <c r="L155" s="1">
        <v>54925.94</v>
      </c>
      <c r="M155" s="1">
        <v>10028.85</v>
      </c>
      <c r="N155" s="1" t="s">
        <v>2088</v>
      </c>
    </row>
    <row r="156" spans="1:14">
      <c r="A156" s="1" t="s">
        <v>168</v>
      </c>
      <c r="B156" s="2">
        <v>45348</v>
      </c>
      <c r="C156" s="1" t="s">
        <v>2024</v>
      </c>
      <c r="D156" s="1" t="s">
        <v>2033</v>
      </c>
      <c r="E156" s="1" t="s">
        <v>2048</v>
      </c>
      <c r="F156" s="1" t="s">
        <v>2053</v>
      </c>
      <c r="G156" s="1" t="s">
        <v>2067</v>
      </c>
      <c r="H156" s="1" t="s">
        <v>2087</v>
      </c>
      <c r="I156" s="1">
        <v>10</v>
      </c>
      <c r="J156" s="1">
        <v>1579.96</v>
      </c>
      <c r="K156" s="1">
        <v>23.9</v>
      </c>
      <c r="L156" s="1">
        <v>12023.5</v>
      </c>
      <c r="M156" s="1">
        <v>2048.5700000000002</v>
      </c>
      <c r="N156" s="1" t="s">
        <v>2088</v>
      </c>
    </row>
    <row r="157" spans="1:14">
      <c r="A157" s="1" t="s">
        <v>169</v>
      </c>
      <c r="B157" s="2">
        <v>45348</v>
      </c>
      <c r="C157" s="1" t="s">
        <v>2018</v>
      </c>
      <c r="D157" s="1" t="s">
        <v>2034</v>
      </c>
      <c r="E157" s="1" t="s">
        <v>2045</v>
      </c>
      <c r="F157" s="1" t="s">
        <v>2049</v>
      </c>
      <c r="G157" s="1" t="s">
        <v>2058</v>
      </c>
      <c r="H157" s="1" t="s">
        <v>2085</v>
      </c>
      <c r="I157" s="1">
        <v>9</v>
      </c>
      <c r="J157" s="1">
        <v>641.54999999999995</v>
      </c>
      <c r="K157" s="1">
        <v>14.75</v>
      </c>
      <c r="L157" s="1">
        <v>4922.29</v>
      </c>
      <c r="M157" s="1">
        <v>325.13</v>
      </c>
      <c r="N157" s="1" t="s">
        <v>2092</v>
      </c>
    </row>
    <row r="158" spans="1:14">
      <c r="A158" s="1" t="s">
        <v>170</v>
      </c>
      <c r="B158" s="2">
        <v>45348</v>
      </c>
      <c r="C158" s="1" t="s">
        <v>2024</v>
      </c>
      <c r="D158" s="1" t="s">
        <v>2035</v>
      </c>
      <c r="E158" s="1" t="s">
        <v>2044</v>
      </c>
      <c r="F158" s="1" t="s">
        <v>2050</v>
      </c>
      <c r="G158" s="1" t="s">
        <v>2056</v>
      </c>
      <c r="H158" s="1" t="s">
        <v>2085</v>
      </c>
      <c r="I158" s="1">
        <v>1</v>
      </c>
      <c r="J158" s="1">
        <v>389.48</v>
      </c>
      <c r="K158" s="1">
        <v>2.17</v>
      </c>
      <c r="L158" s="1">
        <v>381.03</v>
      </c>
      <c r="M158" s="1">
        <v>56.44</v>
      </c>
      <c r="N158" s="1" t="s">
        <v>2091</v>
      </c>
    </row>
    <row r="159" spans="1:14">
      <c r="A159" s="1" t="s">
        <v>171</v>
      </c>
      <c r="B159" s="2">
        <v>45349</v>
      </c>
      <c r="C159" s="1" t="s">
        <v>2028</v>
      </c>
      <c r="D159" s="1" t="s">
        <v>2036</v>
      </c>
      <c r="E159" s="1" t="s">
        <v>2048</v>
      </c>
      <c r="F159" s="1" t="s">
        <v>2054</v>
      </c>
      <c r="G159" s="1" t="s">
        <v>2079</v>
      </c>
      <c r="H159" s="1" t="s">
        <v>2085</v>
      </c>
      <c r="I159" s="1">
        <v>6</v>
      </c>
      <c r="J159" s="1">
        <v>72671.58</v>
      </c>
      <c r="K159" s="1">
        <v>21.73</v>
      </c>
      <c r="L159" s="1">
        <v>341280.27</v>
      </c>
      <c r="M159" s="1">
        <v>80982.539999999994</v>
      </c>
      <c r="N159" s="1" t="s">
        <v>2088</v>
      </c>
    </row>
    <row r="160" spans="1:14">
      <c r="A160" s="1" t="s">
        <v>172</v>
      </c>
      <c r="B160" s="2">
        <v>45349</v>
      </c>
      <c r="C160" s="1" t="s">
        <v>2023</v>
      </c>
      <c r="D160" s="1" t="s">
        <v>2037</v>
      </c>
      <c r="E160" s="1" t="s">
        <v>2048</v>
      </c>
      <c r="F160" s="1" t="s">
        <v>2049</v>
      </c>
      <c r="G160" s="1" t="s">
        <v>2071</v>
      </c>
      <c r="H160" s="1" t="s">
        <v>2085</v>
      </c>
      <c r="I160" s="1">
        <v>10</v>
      </c>
      <c r="J160" s="1">
        <v>2338.62</v>
      </c>
      <c r="K160" s="1">
        <v>28.24</v>
      </c>
      <c r="L160" s="1">
        <v>16781.939999999999</v>
      </c>
      <c r="M160" s="1">
        <v>1142.92</v>
      </c>
      <c r="N160" s="1" t="s">
        <v>2090</v>
      </c>
    </row>
    <row r="161" spans="1:14">
      <c r="A161" s="1" t="s">
        <v>173</v>
      </c>
      <c r="B161" s="2">
        <v>45350</v>
      </c>
      <c r="C161" s="1" t="s">
        <v>2027</v>
      </c>
      <c r="D161" s="1" t="s">
        <v>2038</v>
      </c>
      <c r="E161" s="1" t="s">
        <v>2047</v>
      </c>
      <c r="F161" s="1" t="s">
        <v>2052</v>
      </c>
      <c r="G161" s="1" t="s">
        <v>2083</v>
      </c>
      <c r="H161" s="1" t="s">
        <v>2087</v>
      </c>
      <c r="I161" s="1">
        <v>4</v>
      </c>
      <c r="J161" s="1">
        <v>3706.45</v>
      </c>
      <c r="K161" s="1">
        <v>9.66</v>
      </c>
      <c r="L161" s="1">
        <v>13393.63</v>
      </c>
      <c r="M161" s="1">
        <v>3942.64</v>
      </c>
      <c r="N161" s="1" t="s">
        <v>2092</v>
      </c>
    </row>
    <row r="162" spans="1:14">
      <c r="A162" s="1" t="s">
        <v>174</v>
      </c>
      <c r="B162" s="2">
        <v>45350</v>
      </c>
      <c r="C162" s="1" t="s">
        <v>2028</v>
      </c>
      <c r="D162" s="1" t="s">
        <v>2039</v>
      </c>
      <c r="E162" s="1" t="s">
        <v>2048</v>
      </c>
      <c r="F162" s="1" t="s">
        <v>2051</v>
      </c>
      <c r="G162" s="1" t="s">
        <v>2069</v>
      </c>
      <c r="H162" s="1" t="s">
        <v>2086</v>
      </c>
      <c r="I162" s="1">
        <v>1</v>
      </c>
      <c r="J162" s="1">
        <v>38110.449999999997</v>
      </c>
      <c r="K162" s="1">
        <v>3.73</v>
      </c>
      <c r="L162" s="1">
        <v>36688.93</v>
      </c>
      <c r="M162" s="1">
        <v>10054.799999999999</v>
      </c>
      <c r="N162" s="1" t="s">
        <v>2091</v>
      </c>
    </row>
    <row r="163" spans="1:14">
      <c r="A163" s="1" t="s">
        <v>175</v>
      </c>
      <c r="B163" s="2">
        <v>45350</v>
      </c>
      <c r="C163" s="1" t="s">
        <v>2017</v>
      </c>
      <c r="D163" s="1" t="s">
        <v>2040</v>
      </c>
      <c r="E163" s="1" t="s">
        <v>2044</v>
      </c>
      <c r="F163" s="1" t="s">
        <v>2051</v>
      </c>
      <c r="G163" s="1" t="s">
        <v>2069</v>
      </c>
      <c r="H163" s="1" t="s">
        <v>2086</v>
      </c>
      <c r="I163" s="1">
        <v>8</v>
      </c>
      <c r="J163" s="1">
        <v>37946.67</v>
      </c>
      <c r="K163" s="1">
        <v>18.760000000000002</v>
      </c>
      <c r="L163" s="1">
        <v>246623</v>
      </c>
      <c r="M163" s="1">
        <v>60633.67</v>
      </c>
      <c r="N163" s="1" t="s">
        <v>2089</v>
      </c>
    </row>
    <row r="164" spans="1:14">
      <c r="A164" s="1" t="s">
        <v>176</v>
      </c>
      <c r="B164" s="2">
        <v>45351</v>
      </c>
      <c r="C164" s="1" t="s">
        <v>2028</v>
      </c>
      <c r="D164" s="1" t="s">
        <v>2041</v>
      </c>
      <c r="E164" s="1" t="s">
        <v>2046</v>
      </c>
      <c r="F164" s="1" t="s">
        <v>2049</v>
      </c>
      <c r="G164" s="1" t="s">
        <v>2058</v>
      </c>
      <c r="H164" s="1" t="s">
        <v>2087</v>
      </c>
      <c r="I164" s="1">
        <v>6</v>
      </c>
      <c r="J164" s="1">
        <v>2461.0300000000002</v>
      </c>
      <c r="K164" s="1">
        <v>13.57</v>
      </c>
      <c r="L164" s="1">
        <v>12762.41</v>
      </c>
      <c r="M164" s="1">
        <v>2691.52</v>
      </c>
      <c r="N164" s="1" t="s">
        <v>2089</v>
      </c>
    </row>
    <row r="165" spans="1:14">
      <c r="A165" s="1" t="s">
        <v>177</v>
      </c>
      <c r="B165" s="2">
        <v>45351</v>
      </c>
      <c r="C165" s="1" t="s">
        <v>2020</v>
      </c>
      <c r="D165" s="1" t="s">
        <v>2042</v>
      </c>
      <c r="E165" s="1" t="s">
        <v>2046</v>
      </c>
      <c r="F165" s="1" t="s">
        <v>2051</v>
      </c>
      <c r="G165" s="1" t="s">
        <v>2069</v>
      </c>
      <c r="H165" s="1" t="s">
        <v>2085</v>
      </c>
      <c r="I165" s="1">
        <v>7</v>
      </c>
      <c r="J165" s="1">
        <v>26361.47</v>
      </c>
      <c r="K165" s="1">
        <v>14.38</v>
      </c>
      <c r="L165" s="1">
        <v>157994.82999999999</v>
      </c>
      <c r="M165" s="1">
        <v>32220.76</v>
      </c>
      <c r="N165" s="1" t="s">
        <v>2090</v>
      </c>
    </row>
    <row r="166" spans="1:14">
      <c r="A166" s="1" t="s">
        <v>178</v>
      </c>
      <c r="B166" s="2">
        <v>45351</v>
      </c>
      <c r="C166" s="1" t="s">
        <v>2022</v>
      </c>
      <c r="D166" s="1" t="s">
        <v>2043</v>
      </c>
      <c r="E166" s="1" t="s">
        <v>2048</v>
      </c>
      <c r="F166" s="1" t="s">
        <v>2053</v>
      </c>
      <c r="G166" s="1" t="s">
        <v>2060</v>
      </c>
      <c r="H166" s="1" t="s">
        <v>2086</v>
      </c>
      <c r="I166" s="1">
        <v>2</v>
      </c>
      <c r="J166" s="1">
        <v>150.07</v>
      </c>
      <c r="K166" s="1">
        <v>19.600000000000001</v>
      </c>
      <c r="L166" s="1">
        <v>241.31</v>
      </c>
      <c r="M166" s="1">
        <v>32.11</v>
      </c>
      <c r="N166" s="1" t="s">
        <v>2089</v>
      </c>
    </row>
    <row r="167" spans="1:14">
      <c r="A167" s="1" t="s">
        <v>179</v>
      </c>
      <c r="B167" s="2">
        <v>45352</v>
      </c>
      <c r="C167" s="1" t="s">
        <v>2023</v>
      </c>
      <c r="D167" s="1" t="s">
        <v>2029</v>
      </c>
      <c r="E167" s="1" t="s">
        <v>2046</v>
      </c>
      <c r="F167" s="1" t="s">
        <v>2049</v>
      </c>
      <c r="G167" s="1" t="s">
        <v>2082</v>
      </c>
      <c r="H167" s="1" t="s">
        <v>2085</v>
      </c>
      <c r="I167" s="1">
        <v>3</v>
      </c>
      <c r="J167" s="1">
        <v>2056.67</v>
      </c>
      <c r="K167" s="1">
        <v>2.17</v>
      </c>
      <c r="L167" s="1">
        <v>6036.12</v>
      </c>
      <c r="M167" s="1">
        <v>348.06</v>
      </c>
      <c r="N167" s="1" t="s">
        <v>2090</v>
      </c>
    </row>
    <row r="168" spans="1:14">
      <c r="A168" s="1" t="s">
        <v>180</v>
      </c>
      <c r="B168" s="2">
        <v>45352</v>
      </c>
      <c r="C168" s="1" t="s">
        <v>2025</v>
      </c>
      <c r="D168" s="1" t="s">
        <v>2030</v>
      </c>
      <c r="E168" s="1" t="s">
        <v>2046</v>
      </c>
      <c r="F168" s="1" t="s">
        <v>2051</v>
      </c>
      <c r="G168" s="1" t="s">
        <v>2057</v>
      </c>
      <c r="H168" s="1" t="s">
        <v>2087</v>
      </c>
      <c r="I168" s="1">
        <v>8</v>
      </c>
      <c r="J168" s="1">
        <v>17594.240000000002</v>
      </c>
      <c r="K168" s="1">
        <v>10.38</v>
      </c>
      <c r="L168" s="1">
        <v>126143.66</v>
      </c>
      <c r="M168" s="1">
        <v>18008.23</v>
      </c>
      <c r="N168" s="1" t="s">
        <v>2091</v>
      </c>
    </row>
    <row r="169" spans="1:14">
      <c r="A169" s="1" t="s">
        <v>181</v>
      </c>
      <c r="B169" s="2">
        <v>45352</v>
      </c>
      <c r="C169" s="1" t="s">
        <v>2017</v>
      </c>
      <c r="D169" s="1" t="s">
        <v>2031</v>
      </c>
      <c r="E169" s="1" t="s">
        <v>2047</v>
      </c>
      <c r="F169" s="1" t="s">
        <v>2050</v>
      </c>
      <c r="G169" s="1" t="s">
        <v>2084</v>
      </c>
      <c r="H169" s="1" t="s">
        <v>2087</v>
      </c>
      <c r="I169" s="1">
        <v>4</v>
      </c>
      <c r="J169" s="1">
        <v>526.34</v>
      </c>
      <c r="K169" s="1">
        <v>11.87</v>
      </c>
      <c r="L169" s="1">
        <v>1855.45</v>
      </c>
      <c r="M169" s="1">
        <v>373.96</v>
      </c>
      <c r="N169" s="1" t="s">
        <v>2092</v>
      </c>
    </row>
    <row r="170" spans="1:14">
      <c r="A170" s="1" t="s">
        <v>182</v>
      </c>
      <c r="B170" s="2">
        <v>45353</v>
      </c>
      <c r="C170" s="1" t="s">
        <v>2022</v>
      </c>
      <c r="D170" s="1" t="s">
        <v>2032</v>
      </c>
      <c r="E170" s="1" t="s">
        <v>2045</v>
      </c>
      <c r="F170" s="1" t="s">
        <v>2050</v>
      </c>
      <c r="G170" s="1" t="s">
        <v>2064</v>
      </c>
      <c r="H170" s="1" t="s">
        <v>2086</v>
      </c>
      <c r="I170" s="1">
        <v>10</v>
      </c>
      <c r="J170" s="1">
        <v>7325.2</v>
      </c>
      <c r="K170" s="1">
        <v>6.32</v>
      </c>
      <c r="L170" s="1">
        <v>68622.47</v>
      </c>
      <c r="M170" s="1">
        <v>14118.5</v>
      </c>
      <c r="N170" s="1" t="s">
        <v>2091</v>
      </c>
    </row>
    <row r="171" spans="1:14">
      <c r="A171" s="1" t="s">
        <v>183</v>
      </c>
      <c r="B171" s="2">
        <v>45353</v>
      </c>
      <c r="C171" s="1" t="s">
        <v>2024</v>
      </c>
      <c r="D171" s="1" t="s">
        <v>2033</v>
      </c>
      <c r="E171" s="1" t="s">
        <v>2047</v>
      </c>
      <c r="F171" s="1" t="s">
        <v>2050</v>
      </c>
      <c r="G171" s="1" t="s">
        <v>2075</v>
      </c>
      <c r="H171" s="1" t="s">
        <v>2086</v>
      </c>
      <c r="I171" s="1">
        <v>8</v>
      </c>
      <c r="J171" s="1">
        <v>3420.89</v>
      </c>
      <c r="K171" s="1">
        <v>18.059999999999999</v>
      </c>
      <c r="L171" s="1">
        <v>22424.62</v>
      </c>
      <c r="M171" s="1">
        <v>4667.3500000000004</v>
      </c>
      <c r="N171" s="1" t="s">
        <v>2090</v>
      </c>
    </row>
    <row r="172" spans="1:14">
      <c r="A172" s="1" t="s">
        <v>184</v>
      </c>
      <c r="B172" s="2">
        <v>45354</v>
      </c>
      <c r="C172" s="1" t="s">
        <v>2022</v>
      </c>
      <c r="D172" s="1" t="s">
        <v>2034</v>
      </c>
      <c r="E172" s="1" t="s">
        <v>2048</v>
      </c>
      <c r="F172" s="1" t="s">
        <v>2053</v>
      </c>
      <c r="G172" s="1" t="s">
        <v>2076</v>
      </c>
      <c r="H172" s="1" t="s">
        <v>2087</v>
      </c>
      <c r="I172" s="1">
        <v>9</v>
      </c>
      <c r="J172" s="1">
        <v>693.35</v>
      </c>
      <c r="K172" s="1">
        <v>26.12</v>
      </c>
      <c r="L172" s="1">
        <v>4610.22</v>
      </c>
      <c r="M172" s="1">
        <v>743.75</v>
      </c>
      <c r="N172" s="1" t="s">
        <v>2091</v>
      </c>
    </row>
    <row r="173" spans="1:14">
      <c r="A173" s="1" t="s">
        <v>185</v>
      </c>
      <c r="B173" s="2">
        <v>45354</v>
      </c>
      <c r="C173" s="1" t="s">
        <v>2023</v>
      </c>
      <c r="D173" s="1" t="s">
        <v>2035</v>
      </c>
      <c r="E173" s="1" t="s">
        <v>2046</v>
      </c>
      <c r="F173" s="1" t="s">
        <v>2050</v>
      </c>
      <c r="G173" s="1" t="s">
        <v>2084</v>
      </c>
      <c r="H173" s="1" t="s">
        <v>2085</v>
      </c>
      <c r="I173" s="1">
        <v>9</v>
      </c>
      <c r="J173" s="1">
        <v>3372.65</v>
      </c>
      <c r="K173" s="1">
        <v>25.74</v>
      </c>
      <c r="L173" s="1">
        <v>22540.77</v>
      </c>
      <c r="M173" s="1">
        <v>1177.93</v>
      </c>
      <c r="N173" s="1" t="s">
        <v>2089</v>
      </c>
    </row>
    <row r="174" spans="1:14">
      <c r="A174" s="1" t="s">
        <v>186</v>
      </c>
      <c r="B174" s="2">
        <v>45354</v>
      </c>
      <c r="C174" s="1" t="s">
        <v>2024</v>
      </c>
      <c r="D174" s="1" t="s">
        <v>2036</v>
      </c>
      <c r="E174" s="1" t="s">
        <v>2048</v>
      </c>
      <c r="F174" s="1" t="s">
        <v>2051</v>
      </c>
      <c r="G174" s="1" t="s">
        <v>2080</v>
      </c>
      <c r="H174" s="1" t="s">
        <v>2085</v>
      </c>
      <c r="I174" s="1">
        <v>6</v>
      </c>
      <c r="J174" s="1">
        <v>7620.56</v>
      </c>
      <c r="K174" s="1">
        <v>15.59</v>
      </c>
      <c r="L174" s="1">
        <v>38595.089999999997</v>
      </c>
      <c r="M174" s="1">
        <v>5181.42</v>
      </c>
      <c r="N174" s="1" t="s">
        <v>2090</v>
      </c>
    </row>
    <row r="175" spans="1:14">
      <c r="A175" s="1" t="s">
        <v>187</v>
      </c>
      <c r="B175" s="2">
        <v>45355</v>
      </c>
      <c r="C175" s="1" t="s">
        <v>2014</v>
      </c>
      <c r="D175" s="1" t="s">
        <v>2037</v>
      </c>
      <c r="E175" s="1" t="s">
        <v>2045</v>
      </c>
      <c r="F175" s="1" t="s">
        <v>2049</v>
      </c>
      <c r="G175" s="1" t="s">
        <v>2074</v>
      </c>
      <c r="H175" s="1" t="s">
        <v>2086</v>
      </c>
      <c r="I175" s="1">
        <v>1</v>
      </c>
      <c r="J175" s="1">
        <v>794.96</v>
      </c>
      <c r="K175" s="1">
        <v>10.78</v>
      </c>
      <c r="L175" s="1">
        <v>709.26</v>
      </c>
      <c r="M175" s="1">
        <v>102.73</v>
      </c>
      <c r="N175" s="1" t="s">
        <v>2090</v>
      </c>
    </row>
    <row r="176" spans="1:14">
      <c r="A176" s="1" t="s">
        <v>188</v>
      </c>
      <c r="B176" s="2">
        <v>45355</v>
      </c>
      <c r="C176" s="1" t="s">
        <v>2017</v>
      </c>
      <c r="D176" s="1" t="s">
        <v>2038</v>
      </c>
      <c r="E176" s="1" t="s">
        <v>2046</v>
      </c>
      <c r="F176" s="1" t="s">
        <v>2049</v>
      </c>
      <c r="G176" s="1" t="s">
        <v>2055</v>
      </c>
      <c r="H176" s="1" t="s">
        <v>2086</v>
      </c>
      <c r="I176" s="1">
        <v>1</v>
      </c>
      <c r="J176" s="1">
        <v>2540.3000000000002</v>
      </c>
      <c r="K176" s="1">
        <v>24.17</v>
      </c>
      <c r="L176" s="1">
        <v>1926.31</v>
      </c>
      <c r="M176" s="1">
        <v>378.21</v>
      </c>
      <c r="N176" s="1" t="s">
        <v>2090</v>
      </c>
    </row>
    <row r="177" spans="1:14">
      <c r="A177" s="1" t="s">
        <v>189</v>
      </c>
      <c r="B177" s="2">
        <v>45355</v>
      </c>
      <c r="C177" s="1" t="s">
        <v>2023</v>
      </c>
      <c r="D177" s="1" t="s">
        <v>2039</v>
      </c>
      <c r="E177" s="1" t="s">
        <v>2044</v>
      </c>
      <c r="F177" s="1" t="s">
        <v>2049</v>
      </c>
      <c r="G177" s="1" t="s">
        <v>2082</v>
      </c>
      <c r="H177" s="1" t="s">
        <v>2087</v>
      </c>
      <c r="I177" s="1">
        <v>2</v>
      </c>
      <c r="J177" s="1">
        <v>412.76</v>
      </c>
      <c r="K177" s="1">
        <v>6.93</v>
      </c>
      <c r="L177" s="1">
        <v>768.31</v>
      </c>
      <c r="M177" s="1">
        <v>48.35</v>
      </c>
      <c r="N177" s="1" t="s">
        <v>2090</v>
      </c>
    </row>
    <row r="178" spans="1:14">
      <c r="A178" s="1" t="s">
        <v>190</v>
      </c>
      <c r="B178" s="2">
        <v>45356</v>
      </c>
      <c r="C178" s="1" t="s">
        <v>2025</v>
      </c>
      <c r="D178" s="1" t="s">
        <v>2040</v>
      </c>
      <c r="E178" s="1" t="s">
        <v>2045</v>
      </c>
      <c r="F178" s="1" t="s">
        <v>2053</v>
      </c>
      <c r="G178" s="1" t="s">
        <v>2060</v>
      </c>
      <c r="H178" s="1" t="s">
        <v>2087</v>
      </c>
      <c r="I178" s="1">
        <v>5</v>
      </c>
      <c r="J178" s="1">
        <v>347.94</v>
      </c>
      <c r="K178" s="1">
        <v>17.54</v>
      </c>
      <c r="L178" s="1">
        <v>1434.56</v>
      </c>
      <c r="M178" s="1">
        <v>318.55</v>
      </c>
      <c r="N178" s="1" t="s">
        <v>2089</v>
      </c>
    </row>
    <row r="179" spans="1:14">
      <c r="A179" s="1" t="s">
        <v>191</v>
      </c>
      <c r="B179" s="2">
        <v>45356</v>
      </c>
      <c r="C179" s="1" t="s">
        <v>2017</v>
      </c>
      <c r="D179" s="1" t="s">
        <v>2041</v>
      </c>
      <c r="E179" s="1" t="s">
        <v>2044</v>
      </c>
      <c r="F179" s="1" t="s">
        <v>2050</v>
      </c>
      <c r="G179" s="1" t="s">
        <v>2075</v>
      </c>
      <c r="H179" s="1" t="s">
        <v>2087</v>
      </c>
      <c r="I179" s="1">
        <v>9</v>
      </c>
      <c r="J179" s="1">
        <v>5221.22</v>
      </c>
      <c r="K179" s="1">
        <v>26.04</v>
      </c>
      <c r="L179" s="1">
        <v>34754.53</v>
      </c>
      <c r="M179" s="1">
        <v>5688.79</v>
      </c>
      <c r="N179" s="1" t="s">
        <v>2088</v>
      </c>
    </row>
    <row r="180" spans="1:14">
      <c r="A180" s="1" t="s">
        <v>192</v>
      </c>
      <c r="B180" s="2">
        <v>45357</v>
      </c>
      <c r="C180" s="1" t="s">
        <v>2027</v>
      </c>
      <c r="D180" s="1" t="s">
        <v>2042</v>
      </c>
      <c r="E180" s="1" t="s">
        <v>2046</v>
      </c>
      <c r="F180" s="1" t="s">
        <v>2052</v>
      </c>
      <c r="G180" s="1" t="s">
        <v>2078</v>
      </c>
      <c r="H180" s="1" t="s">
        <v>2086</v>
      </c>
      <c r="I180" s="1">
        <v>7</v>
      </c>
      <c r="J180" s="1">
        <v>493.74</v>
      </c>
      <c r="K180" s="1">
        <v>9.24</v>
      </c>
      <c r="L180" s="1">
        <v>3136.83</v>
      </c>
      <c r="M180" s="1">
        <v>709.46</v>
      </c>
      <c r="N180" s="1" t="s">
        <v>2092</v>
      </c>
    </row>
    <row r="181" spans="1:14">
      <c r="A181" s="1" t="s">
        <v>193</v>
      </c>
      <c r="B181" s="2">
        <v>45357</v>
      </c>
      <c r="C181" s="1" t="s">
        <v>2018</v>
      </c>
      <c r="D181" s="1" t="s">
        <v>2043</v>
      </c>
      <c r="E181" s="1" t="s">
        <v>2047</v>
      </c>
      <c r="F181" s="1" t="s">
        <v>2053</v>
      </c>
      <c r="G181" s="1" t="s">
        <v>2073</v>
      </c>
      <c r="H181" s="1" t="s">
        <v>2085</v>
      </c>
      <c r="I181" s="1">
        <v>7</v>
      </c>
      <c r="J181" s="1">
        <v>1714.25</v>
      </c>
      <c r="K181" s="1">
        <v>13.31</v>
      </c>
      <c r="L181" s="1">
        <v>10402.58</v>
      </c>
      <c r="M181" s="1">
        <v>2777.86</v>
      </c>
      <c r="N181" s="1" t="s">
        <v>2092</v>
      </c>
    </row>
    <row r="182" spans="1:14">
      <c r="A182" s="1" t="s">
        <v>194</v>
      </c>
      <c r="B182" s="2">
        <v>45357</v>
      </c>
      <c r="C182" s="1" t="s">
        <v>2023</v>
      </c>
      <c r="D182" s="1" t="s">
        <v>2029</v>
      </c>
      <c r="E182" s="1" t="s">
        <v>2046</v>
      </c>
      <c r="F182" s="1" t="s">
        <v>2050</v>
      </c>
      <c r="G182" s="1" t="s">
        <v>2075</v>
      </c>
      <c r="H182" s="1" t="s">
        <v>2086</v>
      </c>
      <c r="I182" s="1">
        <v>2</v>
      </c>
      <c r="J182" s="1">
        <v>2179.9299999999998</v>
      </c>
      <c r="K182" s="1">
        <v>24.93</v>
      </c>
      <c r="L182" s="1">
        <v>3272.95</v>
      </c>
      <c r="M182" s="1">
        <v>871.1</v>
      </c>
      <c r="N182" s="1" t="s">
        <v>2091</v>
      </c>
    </row>
    <row r="183" spans="1:14">
      <c r="A183" s="1" t="s">
        <v>195</v>
      </c>
      <c r="B183" s="2">
        <v>45358</v>
      </c>
      <c r="C183" s="1" t="s">
        <v>2021</v>
      </c>
      <c r="D183" s="1" t="s">
        <v>2030</v>
      </c>
      <c r="E183" s="1" t="s">
        <v>2048</v>
      </c>
      <c r="F183" s="1" t="s">
        <v>2052</v>
      </c>
      <c r="G183" s="1" t="s">
        <v>2078</v>
      </c>
      <c r="H183" s="1" t="s">
        <v>2087</v>
      </c>
      <c r="I183" s="1">
        <v>1</v>
      </c>
      <c r="J183" s="1">
        <v>6085.97</v>
      </c>
      <c r="K183" s="1">
        <v>28.23</v>
      </c>
      <c r="L183" s="1">
        <v>4367.8999999999996</v>
      </c>
      <c r="M183" s="1">
        <v>1121.28</v>
      </c>
      <c r="N183" s="1" t="s">
        <v>2088</v>
      </c>
    </row>
    <row r="184" spans="1:14">
      <c r="A184" s="1" t="s">
        <v>196</v>
      </c>
      <c r="B184" s="2">
        <v>45358</v>
      </c>
      <c r="C184" s="1" t="s">
        <v>2019</v>
      </c>
      <c r="D184" s="1" t="s">
        <v>2031</v>
      </c>
      <c r="E184" s="1" t="s">
        <v>2048</v>
      </c>
      <c r="F184" s="1" t="s">
        <v>2051</v>
      </c>
      <c r="G184" s="1" t="s">
        <v>2061</v>
      </c>
      <c r="H184" s="1" t="s">
        <v>2085</v>
      </c>
      <c r="I184" s="1">
        <v>6</v>
      </c>
      <c r="J184" s="1">
        <v>13406.35</v>
      </c>
      <c r="K184" s="1">
        <v>25.99</v>
      </c>
      <c r="L184" s="1">
        <v>59532.24</v>
      </c>
      <c r="M184" s="1">
        <v>17760.509999999998</v>
      </c>
      <c r="N184" s="1" t="s">
        <v>2090</v>
      </c>
    </row>
    <row r="185" spans="1:14">
      <c r="A185" s="1" t="s">
        <v>197</v>
      </c>
      <c r="B185" s="2">
        <v>45358</v>
      </c>
      <c r="C185" s="1" t="s">
        <v>2020</v>
      </c>
      <c r="D185" s="1" t="s">
        <v>2032</v>
      </c>
      <c r="E185" s="1" t="s">
        <v>2047</v>
      </c>
      <c r="F185" s="1" t="s">
        <v>2054</v>
      </c>
      <c r="G185" s="1" t="s">
        <v>2068</v>
      </c>
      <c r="H185" s="1" t="s">
        <v>2087</v>
      </c>
      <c r="I185" s="1">
        <v>4</v>
      </c>
      <c r="J185" s="1">
        <v>52215.68</v>
      </c>
      <c r="K185" s="1">
        <v>22.96</v>
      </c>
      <c r="L185" s="1">
        <v>160907.84</v>
      </c>
      <c r="M185" s="1">
        <v>45282.48</v>
      </c>
      <c r="N185" s="1" t="s">
        <v>2090</v>
      </c>
    </row>
    <row r="186" spans="1:14">
      <c r="A186" s="1" t="s">
        <v>198</v>
      </c>
      <c r="B186" s="2">
        <v>45359</v>
      </c>
      <c r="C186" s="1" t="s">
        <v>2017</v>
      </c>
      <c r="D186" s="1" t="s">
        <v>2033</v>
      </c>
      <c r="E186" s="1" t="s">
        <v>2048</v>
      </c>
      <c r="F186" s="1" t="s">
        <v>2054</v>
      </c>
      <c r="G186" s="1" t="s">
        <v>2068</v>
      </c>
      <c r="H186" s="1" t="s">
        <v>2087</v>
      </c>
      <c r="I186" s="1">
        <v>1</v>
      </c>
      <c r="J186" s="1">
        <v>10056.620000000001</v>
      </c>
      <c r="K186" s="1">
        <v>16.329999999999998</v>
      </c>
      <c r="L186" s="1">
        <v>8414.3700000000008</v>
      </c>
      <c r="M186" s="1">
        <v>432.83</v>
      </c>
      <c r="N186" s="1" t="s">
        <v>2090</v>
      </c>
    </row>
    <row r="187" spans="1:14">
      <c r="A187" s="1" t="s">
        <v>199</v>
      </c>
      <c r="B187" s="2">
        <v>45359</v>
      </c>
      <c r="C187" s="1" t="s">
        <v>2018</v>
      </c>
      <c r="D187" s="1" t="s">
        <v>2034</v>
      </c>
      <c r="E187" s="1" t="s">
        <v>2047</v>
      </c>
      <c r="F187" s="1" t="s">
        <v>2050</v>
      </c>
      <c r="G187" s="1" t="s">
        <v>2070</v>
      </c>
      <c r="H187" s="1" t="s">
        <v>2086</v>
      </c>
      <c r="I187" s="1">
        <v>9</v>
      </c>
      <c r="J187" s="1">
        <v>4892.9399999999996</v>
      </c>
      <c r="K187" s="1">
        <v>16.37</v>
      </c>
      <c r="L187" s="1">
        <v>36827.69</v>
      </c>
      <c r="M187" s="1">
        <v>5933.12</v>
      </c>
      <c r="N187" s="1" t="s">
        <v>2089</v>
      </c>
    </row>
    <row r="188" spans="1:14">
      <c r="A188" s="1" t="s">
        <v>200</v>
      </c>
      <c r="B188" s="2">
        <v>45359</v>
      </c>
      <c r="C188" s="1" t="s">
        <v>2026</v>
      </c>
      <c r="D188" s="1" t="s">
        <v>2035</v>
      </c>
      <c r="E188" s="1" t="s">
        <v>2046</v>
      </c>
      <c r="F188" s="1" t="s">
        <v>2052</v>
      </c>
      <c r="G188" s="1" t="s">
        <v>2059</v>
      </c>
      <c r="H188" s="1" t="s">
        <v>2085</v>
      </c>
      <c r="I188" s="1">
        <v>2</v>
      </c>
      <c r="J188" s="1">
        <v>4742.24</v>
      </c>
      <c r="K188" s="1">
        <v>11.39</v>
      </c>
      <c r="L188" s="1">
        <v>8404.2000000000007</v>
      </c>
      <c r="M188" s="1">
        <v>2234.12</v>
      </c>
      <c r="N188" s="1" t="s">
        <v>2090</v>
      </c>
    </row>
    <row r="189" spans="1:14">
      <c r="A189" s="1" t="s">
        <v>201</v>
      </c>
      <c r="B189" s="2">
        <v>45360</v>
      </c>
      <c r="C189" s="1" t="s">
        <v>2017</v>
      </c>
      <c r="D189" s="1" t="s">
        <v>2036</v>
      </c>
      <c r="E189" s="1" t="s">
        <v>2044</v>
      </c>
      <c r="F189" s="1" t="s">
        <v>2051</v>
      </c>
      <c r="G189" s="1" t="s">
        <v>2077</v>
      </c>
      <c r="H189" s="1" t="s">
        <v>2086</v>
      </c>
      <c r="I189" s="1">
        <v>5</v>
      </c>
      <c r="J189" s="1">
        <v>16554.09</v>
      </c>
      <c r="K189" s="1">
        <v>17.41</v>
      </c>
      <c r="L189" s="1">
        <v>68360.11</v>
      </c>
      <c r="M189" s="1">
        <v>12537.29</v>
      </c>
      <c r="N189" s="1" t="s">
        <v>2092</v>
      </c>
    </row>
    <row r="190" spans="1:14">
      <c r="A190" s="1" t="s">
        <v>202</v>
      </c>
      <c r="B190" s="2">
        <v>45360</v>
      </c>
      <c r="C190" s="1" t="s">
        <v>2015</v>
      </c>
      <c r="D190" s="1" t="s">
        <v>2037</v>
      </c>
      <c r="E190" s="1" t="s">
        <v>2048</v>
      </c>
      <c r="F190" s="1" t="s">
        <v>2049</v>
      </c>
      <c r="G190" s="1" t="s">
        <v>2074</v>
      </c>
      <c r="H190" s="1" t="s">
        <v>2086</v>
      </c>
      <c r="I190" s="1">
        <v>5</v>
      </c>
      <c r="J190" s="1">
        <v>627.54999999999995</v>
      </c>
      <c r="K190" s="1">
        <v>0.23</v>
      </c>
      <c r="L190" s="1">
        <v>3130.53</v>
      </c>
      <c r="M190" s="1">
        <v>663.26</v>
      </c>
      <c r="N190" s="1" t="s">
        <v>2089</v>
      </c>
    </row>
    <row r="191" spans="1:14">
      <c r="A191" s="1" t="s">
        <v>203</v>
      </c>
      <c r="B191" s="2">
        <v>45361</v>
      </c>
      <c r="C191" s="1" t="s">
        <v>2021</v>
      </c>
      <c r="D191" s="1" t="s">
        <v>2038</v>
      </c>
      <c r="E191" s="1" t="s">
        <v>2046</v>
      </c>
      <c r="F191" s="1" t="s">
        <v>2049</v>
      </c>
      <c r="G191" s="1" t="s">
        <v>2055</v>
      </c>
      <c r="H191" s="1" t="s">
        <v>2087</v>
      </c>
      <c r="I191" s="1">
        <v>6</v>
      </c>
      <c r="J191" s="1">
        <v>623.95000000000005</v>
      </c>
      <c r="K191" s="1">
        <v>4.99</v>
      </c>
      <c r="L191" s="1">
        <v>3556.89</v>
      </c>
      <c r="M191" s="1">
        <v>726.81</v>
      </c>
      <c r="N191" s="1" t="s">
        <v>2089</v>
      </c>
    </row>
    <row r="192" spans="1:14">
      <c r="A192" s="1" t="s">
        <v>204</v>
      </c>
      <c r="B192" s="2">
        <v>45361</v>
      </c>
      <c r="C192" s="1" t="s">
        <v>2026</v>
      </c>
      <c r="D192" s="1" t="s">
        <v>2039</v>
      </c>
      <c r="E192" s="1" t="s">
        <v>2048</v>
      </c>
      <c r="F192" s="1" t="s">
        <v>2053</v>
      </c>
      <c r="G192" s="1" t="s">
        <v>2067</v>
      </c>
      <c r="H192" s="1" t="s">
        <v>2085</v>
      </c>
      <c r="I192" s="1">
        <v>3</v>
      </c>
      <c r="J192" s="1">
        <v>1494.24</v>
      </c>
      <c r="K192" s="1">
        <v>2.69</v>
      </c>
      <c r="L192" s="1">
        <v>4362.13</v>
      </c>
      <c r="M192" s="1">
        <v>1000.71</v>
      </c>
      <c r="N192" s="1" t="s">
        <v>2088</v>
      </c>
    </row>
    <row r="193" spans="1:14">
      <c r="A193" s="1" t="s">
        <v>205</v>
      </c>
      <c r="B193" s="2">
        <v>45361</v>
      </c>
      <c r="C193" s="1" t="s">
        <v>2016</v>
      </c>
      <c r="D193" s="1" t="s">
        <v>2040</v>
      </c>
      <c r="E193" s="1" t="s">
        <v>2048</v>
      </c>
      <c r="F193" s="1" t="s">
        <v>2051</v>
      </c>
      <c r="G193" s="1" t="s">
        <v>2077</v>
      </c>
      <c r="H193" s="1" t="s">
        <v>2087</v>
      </c>
      <c r="I193" s="1">
        <v>7</v>
      </c>
      <c r="J193" s="1">
        <v>27563.599999999999</v>
      </c>
      <c r="K193" s="1">
        <v>5.44</v>
      </c>
      <c r="L193" s="1">
        <v>182448.98</v>
      </c>
      <c r="M193" s="1">
        <v>33076.33</v>
      </c>
      <c r="N193" s="1" t="s">
        <v>2090</v>
      </c>
    </row>
    <row r="194" spans="1:14">
      <c r="A194" s="1" t="s">
        <v>206</v>
      </c>
      <c r="B194" s="2">
        <v>45362</v>
      </c>
      <c r="C194" s="1" t="s">
        <v>2022</v>
      </c>
      <c r="D194" s="1" t="s">
        <v>2041</v>
      </c>
      <c r="E194" s="1" t="s">
        <v>2045</v>
      </c>
      <c r="F194" s="1" t="s">
        <v>2051</v>
      </c>
      <c r="G194" s="1" t="s">
        <v>2069</v>
      </c>
      <c r="H194" s="1" t="s">
        <v>2087</v>
      </c>
      <c r="I194" s="1">
        <v>4</v>
      </c>
      <c r="J194" s="1">
        <v>19858.28</v>
      </c>
      <c r="K194" s="1">
        <v>24.18</v>
      </c>
      <c r="L194" s="1">
        <v>60226.19</v>
      </c>
      <c r="M194" s="1">
        <v>11295.82</v>
      </c>
      <c r="N194" s="1" t="s">
        <v>2089</v>
      </c>
    </row>
    <row r="195" spans="1:14">
      <c r="A195" s="1" t="s">
        <v>207</v>
      </c>
      <c r="B195" s="2">
        <v>45362</v>
      </c>
      <c r="C195" s="1" t="s">
        <v>2022</v>
      </c>
      <c r="D195" s="1" t="s">
        <v>2042</v>
      </c>
      <c r="E195" s="1" t="s">
        <v>2047</v>
      </c>
      <c r="F195" s="1" t="s">
        <v>2053</v>
      </c>
      <c r="G195" s="1" t="s">
        <v>2076</v>
      </c>
      <c r="H195" s="1" t="s">
        <v>2085</v>
      </c>
      <c r="I195" s="1">
        <v>6</v>
      </c>
      <c r="J195" s="1">
        <v>1524.49</v>
      </c>
      <c r="K195" s="1">
        <v>23.81</v>
      </c>
      <c r="L195" s="1">
        <v>6969.05</v>
      </c>
      <c r="M195" s="1">
        <v>1475.01</v>
      </c>
      <c r="N195" s="1" t="s">
        <v>2090</v>
      </c>
    </row>
    <row r="196" spans="1:14">
      <c r="A196" s="1" t="s">
        <v>208</v>
      </c>
      <c r="B196" s="2">
        <v>45362</v>
      </c>
      <c r="C196" s="1" t="s">
        <v>2025</v>
      </c>
      <c r="D196" s="1" t="s">
        <v>2043</v>
      </c>
      <c r="E196" s="1" t="s">
        <v>2046</v>
      </c>
      <c r="F196" s="1" t="s">
        <v>2051</v>
      </c>
      <c r="G196" s="1" t="s">
        <v>2077</v>
      </c>
      <c r="H196" s="1" t="s">
        <v>2086</v>
      </c>
      <c r="I196" s="1">
        <v>10</v>
      </c>
      <c r="J196" s="1">
        <v>10970.15</v>
      </c>
      <c r="K196" s="1">
        <v>9.06</v>
      </c>
      <c r="L196" s="1">
        <v>99762.54</v>
      </c>
      <c r="M196" s="1">
        <v>23243.63</v>
      </c>
      <c r="N196" s="1" t="s">
        <v>2092</v>
      </c>
    </row>
    <row r="197" spans="1:14">
      <c r="A197" s="1" t="s">
        <v>209</v>
      </c>
      <c r="B197" s="2">
        <v>45363</v>
      </c>
      <c r="C197" s="1" t="s">
        <v>2017</v>
      </c>
      <c r="D197" s="1" t="s">
        <v>2029</v>
      </c>
      <c r="E197" s="1" t="s">
        <v>2048</v>
      </c>
      <c r="F197" s="1" t="s">
        <v>2054</v>
      </c>
      <c r="G197" s="1" t="s">
        <v>2081</v>
      </c>
      <c r="H197" s="1" t="s">
        <v>2086</v>
      </c>
      <c r="I197" s="1">
        <v>3</v>
      </c>
      <c r="J197" s="1">
        <v>50096.82</v>
      </c>
      <c r="K197" s="1">
        <v>13.55</v>
      </c>
      <c r="L197" s="1">
        <v>129926.1</v>
      </c>
      <c r="M197" s="1">
        <v>25550.240000000002</v>
      </c>
      <c r="N197" s="1" t="s">
        <v>2088</v>
      </c>
    </row>
    <row r="198" spans="1:14">
      <c r="A198" s="1" t="s">
        <v>210</v>
      </c>
      <c r="B198" s="2">
        <v>45363</v>
      </c>
      <c r="C198" s="1" t="s">
        <v>2020</v>
      </c>
      <c r="D198" s="1" t="s">
        <v>2030</v>
      </c>
      <c r="E198" s="1" t="s">
        <v>2046</v>
      </c>
      <c r="F198" s="1" t="s">
        <v>2051</v>
      </c>
      <c r="G198" s="1" t="s">
        <v>2077</v>
      </c>
      <c r="H198" s="1" t="s">
        <v>2086</v>
      </c>
      <c r="I198" s="1">
        <v>7</v>
      </c>
      <c r="J198" s="1">
        <v>21878.97</v>
      </c>
      <c r="K198" s="1">
        <v>5.35</v>
      </c>
      <c r="L198" s="1">
        <v>144959.12</v>
      </c>
      <c r="M198" s="1">
        <v>18564.62</v>
      </c>
      <c r="N198" s="1" t="s">
        <v>2089</v>
      </c>
    </row>
    <row r="199" spans="1:14">
      <c r="A199" s="1" t="s">
        <v>211</v>
      </c>
      <c r="B199" s="2">
        <v>45363</v>
      </c>
      <c r="C199" s="1" t="s">
        <v>2021</v>
      </c>
      <c r="D199" s="1" t="s">
        <v>2031</v>
      </c>
      <c r="E199" s="1" t="s">
        <v>2047</v>
      </c>
      <c r="F199" s="1" t="s">
        <v>2051</v>
      </c>
      <c r="G199" s="1" t="s">
        <v>2077</v>
      </c>
      <c r="H199" s="1" t="s">
        <v>2086</v>
      </c>
      <c r="I199" s="1">
        <v>9</v>
      </c>
      <c r="J199" s="1">
        <v>20373.91</v>
      </c>
      <c r="K199" s="1">
        <v>29.63</v>
      </c>
      <c r="L199" s="1">
        <v>129034.08</v>
      </c>
      <c r="M199" s="1">
        <v>10853.05</v>
      </c>
      <c r="N199" s="1" t="s">
        <v>2092</v>
      </c>
    </row>
    <row r="200" spans="1:14">
      <c r="A200" s="1" t="s">
        <v>212</v>
      </c>
      <c r="B200" s="2">
        <v>45364</v>
      </c>
      <c r="C200" s="1" t="s">
        <v>2024</v>
      </c>
      <c r="D200" s="1" t="s">
        <v>2032</v>
      </c>
      <c r="E200" s="1" t="s">
        <v>2044</v>
      </c>
      <c r="F200" s="1" t="s">
        <v>2052</v>
      </c>
      <c r="G200" s="1" t="s">
        <v>2065</v>
      </c>
      <c r="H200" s="1" t="s">
        <v>2087</v>
      </c>
      <c r="I200" s="1">
        <v>7</v>
      </c>
      <c r="J200" s="1">
        <v>7300.27</v>
      </c>
      <c r="K200" s="1">
        <v>0.47</v>
      </c>
      <c r="L200" s="1">
        <v>50861.71</v>
      </c>
      <c r="M200" s="1">
        <v>6880.19</v>
      </c>
      <c r="N200" s="1" t="s">
        <v>2092</v>
      </c>
    </row>
    <row r="201" spans="1:14">
      <c r="A201" s="1" t="s">
        <v>213</v>
      </c>
      <c r="B201" s="2">
        <v>45364</v>
      </c>
      <c r="C201" s="1" t="s">
        <v>2023</v>
      </c>
      <c r="D201" s="1" t="s">
        <v>2033</v>
      </c>
      <c r="E201" s="1" t="s">
        <v>2044</v>
      </c>
      <c r="F201" s="1" t="s">
        <v>2053</v>
      </c>
      <c r="G201" s="1" t="s">
        <v>2067</v>
      </c>
      <c r="H201" s="1" t="s">
        <v>2087</v>
      </c>
      <c r="I201" s="1">
        <v>8</v>
      </c>
      <c r="J201" s="1">
        <v>1648.7</v>
      </c>
      <c r="K201" s="1">
        <v>17.87</v>
      </c>
      <c r="L201" s="1">
        <v>10832.62</v>
      </c>
      <c r="M201" s="1">
        <v>1628.11</v>
      </c>
      <c r="N201" s="1" t="s">
        <v>2091</v>
      </c>
    </row>
    <row r="202" spans="1:14">
      <c r="A202" s="1" t="s">
        <v>214</v>
      </c>
      <c r="B202" s="2">
        <v>45365</v>
      </c>
      <c r="C202" s="1" t="s">
        <v>2021</v>
      </c>
      <c r="D202" s="1" t="s">
        <v>2034</v>
      </c>
      <c r="E202" s="1" t="s">
        <v>2047</v>
      </c>
      <c r="F202" s="1" t="s">
        <v>2049</v>
      </c>
      <c r="G202" s="1" t="s">
        <v>2055</v>
      </c>
      <c r="H202" s="1" t="s">
        <v>2086</v>
      </c>
      <c r="I202" s="1">
        <v>1</v>
      </c>
      <c r="J202" s="1">
        <v>2504</v>
      </c>
      <c r="K202" s="1">
        <v>20.09</v>
      </c>
      <c r="L202" s="1">
        <v>2000.95</v>
      </c>
      <c r="M202" s="1">
        <v>135.03</v>
      </c>
      <c r="N202" s="1" t="s">
        <v>2088</v>
      </c>
    </row>
    <row r="203" spans="1:14">
      <c r="A203" s="1" t="s">
        <v>215</v>
      </c>
      <c r="B203" s="2">
        <v>45365</v>
      </c>
      <c r="C203" s="1" t="s">
        <v>2018</v>
      </c>
      <c r="D203" s="1" t="s">
        <v>2035</v>
      </c>
      <c r="E203" s="1" t="s">
        <v>2048</v>
      </c>
      <c r="F203" s="1" t="s">
        <v>2053</v>
      </c>
      <c r="G203" s="1" t="s">
        <v>2062</v>
      </c>
      <c r="H203" s="1" t="s">
        <v>2086</v>
      </c>
      <c r="I203" s="1">
        <v>3</v>
      </c>
      <c r="J203" s="1">
        <v>556.78</v>
      </c>
      <c r="K203" s="1">
        <v>1.57</v>
      </c>
      <c r="L203" s="1">
        <v>1644.12</v>
      </c>
      <c r="M203" s="1">
        <v>237.77</v>
      </c>
      <c r="N203" s="1" t="s">
        <v>2092</v>
      </c>
    </row>
    <row r="204" spans="1:14">
      <c r="A204" s="1" t="s">
        <v>216</v>
      </c>
      <c r="B204" s="2">
        <v>45365</v>
      </c>
      <c r="C204" s="1" t="s">
        <v>2019</v>
      </c>
      <c r="D204" s="1" t="s">
        <v>2036</v>
      </c>
      <c r="E204" s="1" t="s">
        <v>2048</v>
      </c>
      <c r="F204" s="1" t="s">
        <v>2052</v>
      </c>
      <c r="G204" s="1" t="s">
        <v>2078</v>
      </c>
      <c r="H204" s="1" t="s">
        <v>2086</v>
      </c>
      <c r="I204" s="1">
        <v>8</v>
      </c>
      <c r="J204" s="1">
        <v>5888.66</v>
      </c>
      <c r="K204" s="1">
        <v>2.66</v>
      </c>
      <c r="L204" s="1">
        <v>45856.17</v>
      </c>
      <c r="M204" s="1">
        <v>13317.39</v>
      </c>
      <c r="N204" s="1" t="s">
        <v>2092</v>
      </c>
    </row>
    <row r="205" spans="1:14">
      <c r="A205" s="1" t="s">
        <v>217</v>
      </c>
      <c r="B205" s="2">
        <v>45366</v>
      </c>
      <c r="C205" s="1" t="s">
        <v>2025</v>
      </c>
      <c r="D205" s="1" t="s">
        <v>2037</v>
      </c>
      <c r="E205" s="1" t="s">
        <v>2044</v>
      </c>
      <c r="F205" s="1" t="s">
        <v>2052</v>
      </c>
      <c r="G205" s="1" t="s">
        <v>2083</v>
      </c>
      <c r="H205" s="1" t="s">
        <v>2087</v>
      </c>
      <c r="I205" s="1">
        <v>7</v>
      </c>
      <c r="J205" s="1">
        <v>7610.4</v>
      </c>
      <c r="K205" s="1">
        <v>10.43</v>
      </c>
      <c r="L205" s="1">
        <v>47716.45</v>
      </c>
      <c r="M205" s="1">
        <v>10317.629999999999</v>
      </c>
      <c r="N205" s="1" t="s">
        <v>2090</v>
      </c>
    </row>
    <row r="206" spans="1:14">
      <c r="A206" s="1" t="s">
        <v>218</v>
      </c>
      <c r="B206" s="2">
        <v>45366</v>
      </c>
      <c r="C206" s="1" t="s">
        <v>2023</v>
      </c>
      <c r="D206" s="1" t="s">
        <v>2038</v>
      </c>
      <c r="E206" s="1" t="s">
        <v>2048</v>
      </c>
      <c r="F206" s="1" t="s">
        <v>2049</v>
      </c>
      <c r="G206" s="1" t="s">
        <v>2074</v>
      </c>
      <c r="H206" s="1" t="s">
        <v>2087</v>
      </c>
      <c r="I206" s="1">
        <v>8</v>
      </c>
      <c r="J206" s="1">
        <v>109.08</v>
      </c>
      <c r="K206" s="1">
        <v>22.12</v>
      </c>
      <c r="L206" s="1">
        <v>679.61</v>
      </c>
      <c r="M206" s="1">
        <v>164.57</v>
      </c>
      <c r="N206" s="1" t="s">
        <v>2090</v>
      </c>
    </row>
    <row r="207" spans="1:14">
      <c r="A207" s="1" t="s">
        <v>219</v>
      </c>
      <c r="B207" s="2">
        <v>45366</v>
      </c>
      <c r="C207" s="1" t="s">
        <v>2018</v>
      </c>
      <c r="D207" s="1" t="s">
        <v>2039</v>
      </c>
      <c r="E207" s="1" t="s">
        <v>2046</v>
      </c>
      <c r="F207" s="1" t="s">
        <v>2049</v>
      </c>
      <c r="G207" s="1" t="s">
        <v>2082</v>
      </c>
      <c r="H207" s="1" t="s">
        <v>2087</v>
      </c>
      <c r="I207" s="1">
        <v>8</v>
      </c>
      <c r="J207" s="1">
        <v>2278.0500000000002</v>
      </c>
      <c r="K207" s="1">
        <v>3.83</v>
      </c>
      <c r="L207" s="1">
        <v>17526.41</v>
      </c>
      <c r="M207" s="1">
        <v>4495.82</v>
      </c>
      <c r="N207" s="1" t="s">
        <v>2090</v>
      </c>
    </row>
    <row r="208" spans="1:14">
      <c r="A208" s="1" t="s">
        <v>220</v>
      </c>
      <c r="B208" s="2">
        <v>45367</v>
      </c>
      <c r="C208" s="1" t="s">
        <v>2026</v>
      </c>
      <c r="D208" s="1" t="s">
        <v>2040</v>
      </c>
      <c r="E208" s="1" t="s">
        <v>2044</v>
      </c>
      <c r="F208" s="1" t="s">
        <v>2052</v>
      </c>
      <c r="G208" s="1" t="s">
        <v>2078</v>
      </c>
      <c r="H208" s="1" t="s">
        <v>2085</v>
      </c>
      <c r="I208" s="1">
        <v>1</v>
      </c>
      <c r="J208" s="1">
        <v>2428.1</v>
      </c>
      <c r="K208" s="1">
        <v>10.25</v>
      </c>
      <c r="L208" s="1">
        <v>2179.2199999999998</v>
      </c>
      <c r="M208" s="1">
        <v>316.48</v>
      </c>
      <c r="N208" s="1" t="s">
        <v>2091</v>
      </c>
    </row>
    <row r="209" spans="1:14">
      <c r="A209" s="1" t="s">
        <v>221</v>
      </c>
      <c r="B209" s="2">
        <v>45367</v>
      </c>
      <c r="C209" s="1" t="s">
        <v>2016</v>
      </c>
      <c r="D209" s="1" t="s">
        <v>2041</v>
      </c>
      <c r="E209" s="1" t="s">
        <v>2044</v>
      </c>
      <c r="F209" s="1" t="s">
        <v>2054</v>
      </c>
      <c r="G209" s="1" t="s">
        <v>2068</v>
      </c>
      <c r="H209" s="1" t="s">
        <v>2087</v>
      </c>
      <c r="I209" s="1">
        <v>3</v>
      </c>
      <c r="J209" s="1">
        <v>32060.03</v>
      </c>
      <c r="K209" s="1">
        <v>13.42</v>
      </c>
      <c r="L209" s="1">
        <v>83272.72</v>
      </c>
      <c r="M209" s="1">
        <v>16666.919999999998</v>
      </c>
      <c r="N209" s="1" t="s">
        <v>2089</v>
      </c>
    </row>
    <row r="210" spans="1:14">
      <c r="A210" s="1" t="s">
        <v>222</v>
      </c>
      <c r="B210" s="2">
        <v>45367</v>
      </c>
      <c r="C210" s="1" t="s">
        <v>2018</v>
      </c>
      <c r="D210" s="1" t="s">
        <v>2042</v>
      </c>
      <c r="E210" s="1" t="s">
        <v>2047</v>
      </c>
      <c r="F210" s="1" t="s">
        <v>2052</v>
      </c>
      <c r="G210" s="1" t="s">
        <v>2078</v>
      </c>
      <c r="H210" s="1" t="s">
        <v>2085</v>
      </c>
      <c r="I210" s="1">
        <v>5</v>
      </c>
      <c r="J210" s="1">
        <v>4032.22</v>
      </c>
      <c r="K210" s="1">
        <v>15.03</v>
      </c>
      <c r="L210" s="1">
        <v>17130.89</v>
      </c>
      <c r="M210" s="1">
        <v>2557.5500000000002</v>
      </c>
      <c r="N210" s="1" t="s">
        <v>2089</v>
      </c>
    </row>
    <row r="211" spans="1:14">
      <c r="A211" s="1" t="s">
        <v>223</v>
      </c>
      <c r="B211" s="2">
        <v>45368</v>
      </c>
      <c r="C211" s="1" t="s">
        <v>2017</v>
      </c>
      <c r="D211" s="1" t="s">
        <v>2043</v>
      </c>
      <c r="E211" s="1" t="s">
        <v>2045</v>
      </c>
      <c r="F211" s="1" t="s">
        <v>2052</v>
      </c>
      <c r="G211" s="1" t="s">
        <v>2059</v>
      </c>
      <c r="H211" s="1" t="s">
        <v>2086</v>
      </c>
      <c r="I211" s="1">
        <v>6</v>
      </c>
      <c r="J211" s="1">
        <v>1584.52</v>
      </c>
      <c r="K211" s="1">
        <v>6.36</v>
      </c>
      <c r="L211" s="1">
        <v>8902.4699999999993</v>
      </c>
      <c r="M211" s="1">
        <v>2267.31</v>
      </c>
      <c r="N211" s="1" t="s">
        <v>2092</v>
      </c>
    </row>
    <row r="212" spans="1:14">
      <c r="A212" s="1" t="s">
        <v>224</v>
      </c>
      <c r="B212" s="2">
        <v>45368</v>
      </c>
      <c r="C212" s="1" t="s">
        <v>2028</v>
      </c>
      <c r="D212" s="1" t="s">
        <v>2029</v>
      </c>
      <c r="E212" s="1" t="s">
        <v>2047</v>
      </c>
      <c r="F212" s="1" t="s">
        <v>2050</v>
      </c>
      <c r="G212" s="1" t="s">
        <v>2075</v>
      </c>
      <c r="H212" s="1" t="s">
        <v>2085</v>
      </c>
      <c r="I212" s="1">
        <v>3</v>
      </c>
      <c r="J212" s="1">
        <v>2964.97</v>
      </c>
      <c r="K212" s="1">
        <v>29.27</v>
      </c>
      <c r="L212" s="1">
        <v>6291.37</v>
      </c>
      <c r="M212" s="1">
        <v>1322.72</v>
      </c>
      <c r="N212" s="1" t="s">
        <v>2090</v>
      </c>
    </row>
    <row r="213" spans="1:14">
      <c r="A213" s="1" t="s">
        <v>225</v>
      </c>
      <c r="B213" s="2">
        <v>45369</v>
      </c>
      <c r="C213" s="1" t="s">
        <v>2024</v>
      </c>
      <c r="D213" s="1" t="s">
        <v>2030</v>
      </c>
      <c r="E213" s="1" t="s">
        <v>2045</v>
      </c>
      <c r="F213" s="1" t="s">
        <v>2052</v>
      </c>
      <c r="G213" s="1" t="s">
        <v>2083</v>
      </c>
      <c r="H213" s="1" t="s">
        <v>2086</v>
      </c>
      <c r="I213" s="1">
        <v>4</v>
      </c>
      <c r="J213" s="1">
        <v>6142.44</v>
      </c>
      <c r="K213" s="1">
        <v>4.18</v>
      </c>
      <c r="L213" s="1">
        <v>23542.74</v>
      </c>
      <c r="M213" s="1">
        <v>6464.02</v>
      </c>
      <c r="N213" s="1" t="s">
        <v>2089</v>
      </c>
    </row>
    <row r="214" spans="1:14">
      <c r="A214" s="1" t="s">
        <v>226</v>
      </c>
      <c r="B214" s="2">
        <v>45369</v>
      </c>
      <c r="C214" s="1" t="s">
        <v>2017</v>
      </c>
      <c r="D214" s="1" t="s">
        <v>2031</v>
      </c>
      <c r="E214" s="1" t="s">
        <v>2046</v>
      </c>
      <c r="F214" s="1" t="s">
        <v>2054</v>
      </c>
      <c r="G214" s="1" t="s">
        <v>2063</v>
      </c>
      <c r="H214" s="1" t="s">
        <v>2085</v>
      </c>
      <c r="I214" s="1">
        <v>5</v>
      </c>
      <c r="J214" s="1">
        <v>10180.07</v>
      </c>
      <c r="K214" s="1">
        <v>14.35</v>
      </c>
      <c r="L214" s="1">
        <v>43596.15</v>
      </c>
      <c r="M214" s="1">
        <v>7695.89</v>
      </c>
      <c r="N214" s="1" t="s">
        <v>2088</v>
      </c>
    </row>
    <row r="215" spans="1:14">
      <c r="A215" s="1" t="s">
        <v>227</v>
      </c>
      <c r="B215" s="2">
        <v>45369</v>
      </c>
      <c r="C215" s="1" t="s">
        <v>2019</v>
      </c>
      <c r="D215" s="1" t="s">
        <v>2032</v>
      </c>
      <c r="E215" s="1" t="s">
        <v>2044</v>
      </c>
      <c r="F215" s="1" t="s">
        <v>2049</v>
      </c>
      <c r="G215" s="1" t="s">
        <v>2058</v>
      </c>
      <c r="H215" s="1" t="s">
        <v>2087</v>
      </c>
      <c r="I215" s="1">
        <v>4</v>
      </c>
      <c r="J215" s="1">
        <v>1346.56</v>
      </c>
      <c r="K215" s="1">
        <v>3.17</v>
      </c>
      <c r="L215" s="1">
        <v>5215.5</v>
      </c>
      <c r="M215" s="1">
        <v>1096.33</v>
      </c>
      <c r="N215" s="1" t="s">
        <v>2092</v>
      </c>
    </row>
    <row r="216" spans="1:14">
      <c r="A216" s="1" t="s">
        <v>228</v>
      </c>
      <c r="B216" s="2">
        <v>45370</v>
      </c>
      <c r="C216" s="1" t="s">
        <v>2024</v>
      </c>
      <c r="D216" s="1" t="s">
        <v>2033</v>
      </c>
      <c r="E216" s="1" t="s">
        <v>2044</v>
      </c>
      <c r="F216" s="1" t="s">
        <v>2049</v>
      </c>
      <c r="G216" s="1" t="s">
        <v>2074</v>
      </c>
      <c r="H216" s="1" t="s">
        <v>2087</v>
      </c>
      <c r="I216" s="1">
        <v>3</v>
      </c>
      <c r="J216" s="1">
        <v>1715.1</v>
      </c>
      <c r="K216" s="1">
        <v>5.75</v>
      </c>
      <c r="L216" s="1">
        <v>4849.45</v>
      </c>
      <c r="M216" s="1">
        <v>499.2</v>
      </c>
      <c r="N216" s="1" t="s">
        <v>2090</v>
      </c>
    </row>
    <row r="217" spans="1:14">
      <c r="A217" s="1" t="s">
        <v>229</v>
      </c>
      <c r="B217" s="2">
        <v>45370</v>
      </c>
      <c r="C217" s="1" t="s">
        <v>2020</v>
      </c>
      <c r="D217" s="1" t="s">
        <v>2034</v>
      </c>
      <c r="E217" s="1" t="s">
        <v>2046</v>
      </c>
      <c r="F217" s="1" t="s">
        <v>2054</v>
      </c>
      <c r="G217" s="1" t="s">
        <v>2068</v>
      </c>
      <c r="H217" s="1" t="s">
        <v>2085</v>
      </c>
      <c r="I217" s="1">
        <v>9</v>
      </c>
      <c r="J217" s="1">
        <v>11808.82</v>
      </c>
      <c r="K217" s="1">
        <v>3.64</v>
      </c>
      <c r="L217" s="1">
        <v>102410.81</v>
      </c>
      <c r="M217" s="1">
        <v>12885.2</v>
      </c>
      <c r="N217" s="1" t="s">
        <v>2088</v>
      </c>
    </row>
    <row r="218" spans="1:14">
      <c r="A218" s="1" t="s">
        <v>230</v>
      </c>
      <c r="B218" s="2">
        <v>45370</v>
      </c>
      <c r="C218" s="1" t="s">
        <v>2015</v>
      </c>
      <c r="D218" s="1" t="s">
        <v>2035</v>
      </c>
      <c r="E218" s="1" t="s">
        <v>2047</v>
      </c>
      <c r="F218" s="1" t="s">
        <v>2049</v>
      </c>
      <c r="G218" s="1" t="s">
        <v>2071</v>
      </c>
      <c r="H218" s="1" t="s">
        <v>2086</v>
      </c>
      <c r="I218" s="1">
        <v>5</v>
      </c>
      <c r="J218" s="1">
        <v>1864.9</v>
      </c>
      <c r="K218" s="1">
        <v>9.19</v>
      </c>
      <c r="L218" s="1">
        <v>8467.58</v>
      </c>
      <c r="M218" s="1">
        <v>1744.1</v>
      </c>
      <c r="N218" s="1" t="s">
        <v>2090</v>
      </c>
    </row>
    <row r="219" spans="1:14">
      <c r="A219" s="1" t="s">
        <v>231</v>
      </c>
      <c r="B219" s="2">
        <v>45371</v>
      </c>
      <c r="C219" s="1" t="s">
        <v>2021</v>
      </c>
      <c r="D219" s="1" t="s">
        <v>2036</v>
      </c>
      <c r="E219" s="1" t="s">
        <v>2045</v>
      </c>
      <c r="F219" s="1" t="s">
        <v>2049</v>
      </c>
      <c r="G219" s="1" t="s">
        <v>2055</v>
      </c>
      <c r="H219" s="1" t="s">
        <v>2087</v>
      </c>
      <c r="I219" s="1">
        <v>3</v>
      </c>
      <c r="J219" s="1">
        <v>1134.8900000000001</v>
      </c>
      <c r="K219" s="1">
        <v>12.42</v>
      </c>
      <c r="L219" s="1">
        <v>2981.81</v>
      </c>
      <c r="M219" s="1">
        <v>765.98</v>
      </c>
      <c r="N219" s="1" t="s">
        <v>2090</v>
      </c>
    </row>
    <row r="220" spans="1:14">
      <c r="A220" s="1" t="s">
        <v>232</v>
      </c>
      <c r="B220" s="2">
        <v>45371</v>
      </c>
      <c r="C220" s="1" t="s">
        <v>2027</v>
      </c>
      <c r="D220" s="1" t="s">
        <v>2037</v>
      </c>
      <c r="E220" s="1" t="s">
        <v>2045</v>
      </c>
      <c r="F220" s="1" t="s">
        <v>2052</v>
      </c>
      <c r="G220" s="1" t="s">
        <v>2059</v>
      </c>
      <c r="H220" s="1" t="s">
        <v>2085</v>
      </c>
      <c r="I220" s="1">
        <v>5</v>
      </c>
      <c r="J220" s="1">
        <v>388.08</v>
      </c>
      <c r="K220" s="1">
        <v>7.79</v>
      </c>
      <c r="L220" s="1">
        <v>1789.24</v>
      </c>
      <c r="M220" s="1">
        <v>429.55</v>
      </c>
      <c r="N220" s="1" t="s">
        <v>2090</v>
      </c>
    </row>
    <row r="221" spans="1:14">
      <c r="A221" s="1" t="s">
        <v>233</v>
      </c>
      <c r="B221" s="2">
        <v>45371</v>
      </c>
      <c r="C221" s="1" t="s">
        <v>2025</v>
      </c>
      <c r="D221" s="1" t="s">
        <v>2038</v>
      </c>
      <c r="E221" s="1" t="s">
        <v>2048</v>
      </c>
      <c r="F221" s="1" t="s">
        <v>2053</v>
      </c>
      <c r="G221" s="1" t="s">
        <v>2062</v>
      </c>
      <c r="H221" s="1" t="s">
        <v>2086</v>
      </c>
      <c r="I221" s="1">
        <v>2</v>
      </c>
      <c r="J221" s="1">
        <v>1610.32</v>
      </c>
      <c r="K221" s="1">
        <v>5.97</v>
      </c>
      <c r="L221" s="1">
        <v>3028.37</v>
      </c>
      <c r="M221" s="1">
        <v>200.34</v>
      </c>
      <c r="N221" s="1" t="s">
        <v>2091</v>
      </c>
    </row>
    <row r="222" spans="1:14">
      <c r="A222" s="1" t="s">
        <v>234</v>
      </c>
      <c r="B222" s="2">
        <v>45372</v>
      </c>
      <c r="C222" s="1" t="s">
        <v>2025</v>
      </c>
      <c r="D222" s="1" t="s">
        <v>2039</v>
      </c>
      <c r="E222" s="1" t="s">
        <v>2047</v>
      </c>
      <c r="F222" s="1" t="s">
        <v>2049</v>
      </c>
      <c r="G222" s="1" t="s">
        <v>2074</v>
      </c>
      <c r="H222" s="1" t="s">
        <v>2087</v>
      </c>
      <c r="I222" s="1">
        <v>5</v>
      </c>
      <c r="J222" s="1">
        <v>2540.85</v>
      </c>
      <c r="K222" s="1">
        <v>2.94</v>
      </c>
      <c r="L222" s="1">
        <v>12330.75</v>
      </c>
      <c r="M222" s="1">
        <v>2121.63</v>
      </c>
      <c r="N222" s="1" t="s">
        <v>2089</v>
      </c>
    </row>
    <row r="223" spans="1:14">
      <c r="A223" s="1" t="s">
        <v>235</v>
      </c>
      <c r="B223" s="2">
        <v>45372</v>
      </c>
      <c r="C223" s="1" t="s">
        <v>2023</v>
      </c>
      <c r="D223" s="1" t="s">
        <v>2040</v>
      </c>
      <c r="E223" s="1" t="s">
        <v>2048</v>
      </c>
      <c r="F223" s="1" t="s">
        <v>2054</v>
      </c>
      <c r="G223" s="1" t="s">
        <v>2066</v>
      </c>
      <c r="H223" s="1" t="s">
        <v>2085</v>
      </c>
      <c r="I223" s="1">
        <v>4</v>
      </c>
      <c r="J223" s="1">
        <v>68835.44</v>
      </c>
      <c r="K223" s="1">
        <v>11.77</v>
      </c>
      <c r="L223" s="1">
        <v>242934.03</v>
      </c>
      <c r="M223" s="1">
        <v>70221.429999999993</v>
      </c>
      <c r="N223" s="1" t="s">
        <v>2091</v>
      </c>
    </row>
    <row r="224" spans="1:14">
      <c r="A224" s="1" t="s">
        <v>236</v>
      </c>
      <c r="B224" s="2">
        <v>45373</v>
      </c>
      <c r="C224" s="1" t="s">
        <v>2027</v>
      </c>
      <c r="D224" s="1" t="s">
        <v>2041</v>
      </c>
      <c r="E224" s="1" t="s">
        <v>2046</v>
      </c>
      <c r="F224" s="1" t="s">
        <v>2054</v>
      </c>
      <c r="G224" s="1" t="s">
        <v>2063</v>
      </c>
      <c r="H224" s="1" t="s">
        <v>2085</v>
      </c>
      <c r="I224" s="1">
        <v>2</v>
      </c>
      <c r="J224" s="1">
        <v>35289.449999999997</v>
      </c>
      <c r="K224" s="1">
        <v>7.64</v>
      </c>
      <c r="L224" s="1">
        <v>65186.67</v>
      </c>
      <c r="M224" s="1">
        <v>16962.740000000002</v>
      </c>
      <c r="N224" s="1" t="s">
        <v>2088</v>
      </c>
    </row>
    <row r="225" spans="1:14">
      <c r="A225" s="1" t="s">
        <v>237</v>
      </c>
      <c r="B225" s="2">
        <v>45373</v>
      </c>
      <c r="C225" s="1" t="s">
        <v>2015</v>
      </c>
      <c r="D225" s="1" t="s">
        <v>2042</v>
      </c>
      <c r="E225" s="1" t="s">
        <v>2045</v>
      </c>
      <c r="F225" s="1" t="s">
        <v>2050</v>
      </c>
      <c r="G225" s="1" t="s">
        <v>2075</v>
      </c>
      <c r="H225" s="1" t="s">
        <v>2086</v>
      </c>
      <c r="I225" s="1">
        <v>8</v>
      </c>
      <c r="J225" s="1">
        <v>7192.41</v>
      </c>
      <c r="K225" s="1">
        <v>19.100000000000001</v>
      </c>
      <c r="L225" s="1">
        <v>46549.279999999999</v>
      </c>
      <c r="M225" s="1">
        <v>9472.01</v>
      </c>
      <c r="N225" s="1" t="s">
        <v>2090</v>
      </c>
    </row>
    <row r="226" spans="1:14">
      <c r="A226" s="1" t="s">
        <v>238</v>
      </c>
      <c r="B226" s="2">
        <v>45373</v>
      </c>
      <c r="C226" s="1" t="s">
        <v>2014</v>
      </c>
      <c r="D226" s="1" t="s">
        <v>2043</v>
      </c>
      <c r="E226" s="1" t="s">
        <v>2048</v>
      </c>
      <c r="F226" s="1" t="s">
        <v>2049</v>
      </c>
      <c r="G226" s="1" t="s">
        <v>2071</v>
      </c>
      <c r="H226" s="1" t="s">
        <v>2085</v>
      </c>
      <c r="I226" s="1">
        <v>7</v>
      </c>
      <c r="J226" s="1">
        <v>2056.67</v>
      </c>
      <c r="K226" s="1">
        <v>1.25</v>
      </c>
      <c r="L226" s="1">
        <v>14216.73</v>
      </c>
      <c r="M226" s="1">
        <v>1012.2</v>
      </c>
      <c r="N226" s="1" t="s">
        <v>2089</v>
      </c>
    </row>
    <row r="227" spans="1:14">
      <c r="A227" s="1" t="s">
        <v>239</v>
      </c>
      <c r="B227" s="2">
        <v>45374</v>
      </c>
      <c r="C227" s="1" t="s">
        <v>2025</v>
      </c>
      <c r="D227" s="1" t="s">
        <v>2029</v>
      </c>
      <c r="E227" s="1" t="s">
        <v>2044</v>
      </c>
      <c r="F227" s="1" t="s">
        <v>2050</v>
      </c>
      <c r="G227" s="1" t="s">
        <v>2084</v>
      </c>
      <c r="H227" s="1" t="s">
        <v>2086</v>
      </c>
      <c r="I227" s="1">
        <v>5</v>
      </c>
      <c r="J227" s="1">
        <v>4216.0600000000004</v>
      </c>
      <c r="K227" s="1">
        <v>11.63</v>
      </c>
      <c r="L227" s="1">
        <v>18628.66</v>
      </c>
      <c r="M227" s="1">
        <v>3082.8</v>
      </c>
      <c r="N227" s="1" t="s">
        <v>2089</v>
      </c>
    </row>
    <row r="228" spans="1:14">
      <c r="A228" s="1" t="s">
        <v>240</v>
      </c>
      <c r="B228" s="2">
        <v>45374</v>
      </c>
      <c r="C228" s="1" t="s">
        <v>2022</v>
      </c>
      <c r="D228" s="1" t="s">
        <v>2030</v>
      </c>
      <c r="E228" s="1" t="s">
        <v>2047</v>
      </c>
      <c r="F228" s="1" t="s">
        <v>2050</v>
      </c>
      <c r="G228" s="1" t="s">
        <v>2070</v>
      </c>
      <c r="H228" s="1" t="s">
        <v>2087</v>
      </c>
      <c r="I228" s="1">
        <v>3</v>
      </c>
      <c r="J228" s="1">
        <v>1640.64</v>
      </c>
      <c r="K228" s="1">
        <v>2.95</v>
      </c>
      <c r="L228" s="1">
        <v>4776.72</v>
      </c>
      <c r="M228" s="1">
        <v>1027.3599999999999</v>
      </c>
      <c r="N228" s="1" t="s">
        <v>2088</v>
      </c>
    </row>
    <row r="229" spans="1:14">
      <c r="A229" s="1" t="s">
        <v>241</v>
      </c>
      <c r="B229" s="2">
        <v>45374</v>
      </c>
      <c r="C229" s="1" t="s">
        <v>2024</v>
      </c>
      <c r="D229" s="1" t="s">
        <v>2031</v>
      </c>
      <c r="E229" s="1" t="s">
        <v>2046</v>
      </c>
      <c r="F229" s="1" t="s">
        <v>2054</v>
      </c>
      <c r="G229" s="1" t="s">
        <v>2063</v>
      </c>
      <c r="H229" s="1" t="s">
        <v>2087</v>
      </c>
      <c r="I229" s="1">
        <v>9</v>
      </c>
      <c r="J229" s="1">
        <v>30864.2</v>
      </c>
      <c r="K229" s="1">
        <v>6.17</v>
      </c>
      <c r="L229" s="1">
        <v>260638.91</v>
      </c>
      <c r="M229" s="1">
        <v>20941.45</v>
      </c>
      <c r="N229" s="1" t="s">
        <v>2091</v>
      </c>
    </row>
    <row r="230" spans="1:14">
      <c r="A230" s="1" t="s">
        <v>242</v>
      </c>
      <c r="B230" s="2">
        <v>45375</v>
      </c>
      <c r="C230" s="1" t="s">
        <v>2025</v>
      </c>
      <c r="D230" s="1" t="s">
        <v>2032</v>
      </c>
      <c r="E230" s="1" t="s">
        <v>2046</v>
      </c>
      <c r="F230" s="1" t="s">
        <v>2054</v>
      </c>
      <c r="G230" s="1" t="s">
        <v>2063</v>
      </c>
      <c r="H230" s="1" t="s">
        <v>2086</v>
      </c>
      <c r="I230" s="1">
        <v>10</v>
      </c>
      <c r="J230" s="1">
        <v>38521.300000000003</v>
      </c>
      <c r="K230" s="1">
        <v>26.87</v>
      </c>
      <c r="L230" s="1">
        <v>281706.27</v>
      </c>
      <c r="M230" s="1">
        <v>36777.85</v>
      </c>
      <c r="N230" s="1" t="s">
        <v>2092</v>
      </c>
    </row>
    <row r="231" spans="1:14">
      <c r="A231" s="1" t="s">
        <v>243</v>
      </c>
      <c r="B231" s="2">
        <v>45375</v>
      </c>
      <c r="C231" s="1" t="s">
        <v>2026</v>
      </c>
      <c r="D231" s="1" t="s">
        <v>2033</v>
      </c>
      <c r="E231" s="1" t="s">
        <v>2044</v>
      </c>
      <c r="F231" s="1" t="s">
        <v>2052</v>
      </c>
      <c r="G231" s="1" t="s">
        <v>2065</v>
      </c>
      <c r="H231" s="1" t="s">
        <v>2087</v>
      </c>
      <c r="I231" s="1">
        <v>5</v>
      </c>
      <c r="J231" s="1">
        <v>9218.91</v>
      </c>
      <c r="K231" s="1">
        <v>15.62</v>
      </c>
      <c r="L231" s="1">
        <v>38894.58</v>
      </c>
      <c r="M231" s="1">
        <v>7939.35</v>
      </c>
      <c r="N231" s="1" t="s">
        <v>2091</v>
      </c>
    </row>
    <row r="232" spans="1:14">
      <c r="A232" s="1" t="s">
        <v>244</v>
      </c>
      <c r="B232" s="2">
        <v>45375</v>
      </c>
      <c r="C232" s="1" t="s">
        <v>2026</v>
      </c>
      <c r="D232" s="1" t="s">
        <v>2034</v>
      </c>
      <c r="E232" s="1" t="s">
        <v>2046</v>
      </c>
      <c r="F232" s="1" t="s">
        <v>2051</v>
      </c>
      <c r="G232" s="1" t="s">
        <v>2077</v>
      </c>
      <c r="H232" s="1" t="s">
        <v>2087</v>
      </c>
      <c r="I232" s="1">
        <v>9</v>
      </c>
      <c r="J232" s="1">
        <v>15663.72</v>
      </c>
      <c r="K232" s="1">
        <v>16.5</v>
      </c>
      <c r="L232" s="1">
        <v>117712.86</v>
      </c>
      <c r="M232" s="1">
        <v>17323</v>
      </c>
      <c r="N232" s="1" t="s">
        <v>2088</v>
      </c>
    </row>
    <row r="233" spans="1:14">
      <c r="A233" s="1" t="s">
        <v>245</v>
      </c>
      <c r="B233" s="2">
        <v>45376</v>
      </c>
      <c r="C233" s="1" t="s">
        <v>2024</v>
      </c>
      <c r="D233" s="1" t="s">
        <v>2035</v>
      </c>
      <c r="E233" s="1" t="s">
        <v>2048</v>
      </c>
      <c r="F233" s="1" t="s">
        <v>2053</v>
      </c>
      <c r="G233" s="1" t="s">
        <v>2067</v>
      </c>
      <c r="H233" s="1" t="s">
        <v>2085</v>
      </c>
      <c r="I233" s="1">
        <v>3</v>
      </c>
      <c r="J233" s="1">
        <v>2228.62</v>
      </c>
      <c r="K233" s="1">
        <v>19.37</v>
      </c>
      <c r="L233" s="1">
        <v>5390.81</v>
      </c>
      <c r="M233" s="1">
        <v>654.86</v>
      </c>
      <c r="N233" s="1" t="s">
        <v>2092</v>
      </c>
    </row>
    <row r="234" spans="1:14">
      <c r="A234" s="1" t="s">
        <v>246</v>
      </c>
      <c r="B234" s="2">
        <v>45376</v>
      </c>
      <c r="C234" s="1" t="s">
        <v>2016</v>
      </c>
      <c r="D234" s="1" t="s">
        <v>2036</v>
      </c>
      <c r="E234" s="1" t="s">
        <v>2046</v>
      </c>
      <c r="F234" s="1" t="s">
        <v>2053</v>
      </c>
      <c r="G234" s="1" t="s">
        <v>2076</v>
      </c>
      <c r="H234" s="1" t="s">
        <v>2086</v>
      </c>
      <c r="I234" s="1">
        <v>5</v>
      </c>
      <c r="J234" s="1">
        <v>2448.15</v>
      </c>
      <c r="K234" s="1">
        <v>22.45</v>
      </c>
      <c r="L234" s="1">
        <v>9492.7000000000007</v>
      </c>
      <c r="M234" s="1">
        <v>1798.42</v>
      </c>
      <c r="N234" s="1" t="s">
        <v>2089</v>
      </c>
    </row>
    <row r="235" spans="1:14">
      <c r="A235" s="1" t="s">
        <v>247</v>
      </c>
      <c r="B235" s="2">
        <v>45377</v>
      </c>
      <c r="C235" s="1" t="s">
        <v>2026</v>
      </c>
      <c r="D235" s="1" t="s">
        <v>2037</v>
      </c>
      <c r="E235" s="1" t="s">
        <v>2044</v>
      </c>
      <c r="F235" s="1" t="s">
        <v>2054</v>
      </c>
      <c r="G235" s="1" t="s">
        <v>2079</v>
      </c>
      <c r="H235" s="1" t="s">
        <v>2086</v>
      </c>
      <c r="I235" s="1">
        <v>2</v>
      </c>
      <c r="J235" s="1">
        <v>9081.5300000000007</v>
      </c>
      <c r="K235" s="1">
        <v>20.56</v>
      </c>
      <c r="L235" s="1">
        <v>14428.73</v>
      </c>
      <c r="M235" s="1">
        <v>1052.83</v>
      </c>
      <c r="N235" s="1" t="s">
        <v>2088</v>
      </c>
    </row>
    <row r="236" spans="1:14">
      <c r="A236" s="1" t="s">
        <v>248</v>
      </c>
      <c r="B236" s="2">
        <v>45377</v>
      </c>
      <c r="C236" s="1" t="s">
        <v>2020</v>
      </c>
      <c r="D236" s="1" t="s">
        <v>2038</v>
      </c>
      <c r="E236" s="1" t="s">
        <v>2045</v>
      </c>
      <c r="F236" s="1" t="s">
        <v>2053</v>
      </c>
      <c r="G236" s="1" t="s">
        <v>2060</v>
      </c>
      <c r="H236" s="1" t="s">
        <v>2087</v>
      </c>
      <c r="I236" s="1">
        <v>5</v>
      </c>
      <c r="J236" s="1">
        <v>1516.83</v>
      </c>
      <c r="K236" s="1">
        <v>15.25</v>
      </c>
      <c r="L236" s="1">
        <v>6427.57</v>
      </c>
      <c r="M236" s="1">
        <v>799.51</v>
      </c>
      <c r="N236" s="1" t="s">
        <v>2088</v>
      </c>
    </row>
    <row r="237" spans="1:14">
      <c r="A237" s="1" t="s">
        <v>249</v>
      </c>
      <c r="B237" s="2">
        <v>45377</v>
      </c>
      <c r="C237" s="1" t="s">
        <v>2021</v>
      </c>
      <c r="D237" s="1" t="s">
        <v>2039</v>
      </c>
      <c r="E237" s="1" t="s">
        <v>2044</v>
      </c>
      <c r="F237" s="1" t="s">
        <v>2054</v>
      </c>
      <c r="G237" s="1" t="s">
        <v>2066</v>
      </c>
      <c r="H237" s="1" t="s">
        <v>2085</v>
      </c>
      <c r="I237" s="1">
        <v>8</v>
      </c>
      <c r="J237" s="1">
        <v>37193.82</v>
      </c>
      <c r="K237" s="1">
        <v>0.28000000000000003</v>
      </c>
      <c r="L237" s="1">
        <v>296717.42</v>
      </c>
      <c r="M237" s="1">
        <v>33134.35</v>
      </c>
      <c r="N237" s="1" t="s">
        <v>2088</v>
      </c>
    </row>
    <row r="238" spans="1:14">
      <c r="A238" s="1" t="s">
        <v>250</v>
      </c>
      <c r="B238" s="2">
        <v>45378</v>
      </c>
      <c r="C238" s="1" t="s">
        <v>2016</v>
      </c>
      <c r="D238" s="1" t="s">
        <v>2040</v>
      </c>
      <c r="E238" s="1" t="s">
        <v>2044</v>
      </c>
      <c r="F238" s="1" t="s">
        <v>2050</v>
      </c>
      <c r="G238" s="1" t="s">
        <v>2075</v>
      </c>
      <c r="H238" s="1" t="s">
        <v>2086</v>
      </c>
      <c r="I238" s="1">
        <v>2</v>
      </c>
      <c r="J238" s="1">
        <v>1871.07</v>
      </c>
      <c r="K238" s="1">
        <v>16.649999999999999</v>
      </c>
      <c r="L238" s="1">
        <v>3119.07</v>
      </c>
      <c r="M238" s="1">
        <v>727.58</v>
      </c>
      <c r="N238" s="1" t="s">
        <v>2092</v>
      </c>
    </row>
    <row r="239" spans="1:14">
      <c r="A239" s="1" t="s">
        <v>251</v>
      </c>
      <c r="B239" s="2">
        <v>45378</v>
      </c>
      <c r="C239" s="1" t="s">
        <v>2018</v>
      </c>
      <c r="D239" s="1" t="s">
        <v>2041</v>
      </c>
      <c r="E239" s="1" t="s">
        <v>2046</v>
      </c>
      <c r="F239" s="1" t="s">
        <v>2054</v>
      </c>
      <c r="G239" s="1" t="s">
        <v>2066</v>
      </c>
      <c r="H239" s="1" t="s">
        <v>2085</v>
      </c>
      <c r="I239" s="1">
        <v>9</v>
      </c>
      <c r="J239" s="1">
        <v>44561.01</v>
      </c>
      <c r="K239" s="1">
        <v>0.16</v>
      </c>
      <c r="L239" s="1">
        <v>400407.41</v>
      </c>
      <c r="M239" s="1">
        <v>96196.96</v>
      </c>
      <c r="N239" s="1" t="s">
        <v>2091</v>
      </c>
    </row>
    <row r="240" spans="1:14">
      <c r="A240" s="1" t="s">
        <v>252</v>
      </c>
      <c r="B240" s="2">
        <v>45378</v>
      </c>
      <c r="C240" s="1" t="s">
        <v>2018</v>
      </c>
      <c r="D240" s="1" t="s">
        <v>2042</v>
      </c>
      <c r="E240" s="1" t="s">
        <v>2044</v>
      </c>
      <c r="F240" s="1" t="s">
        <v>2051</v>
      </c>
      <c r="G240" s="1" t="s">
        <v>2057</v>
      </c>
      <c r="H240" s="1" t="s">
        <v>2085</v>
      </c>
      <c r="I240" s="1">
        <v>9</v>
      </c>
      <c r="J240" s="1">
        <v>27456.77</v>
      </c>
      <c r="K240" s="1">
        <v>22.69</v>
      </c>
      <c r="L240" s="1">
        <v>191041.46</v>
      </c>
      <c r="M240" s="1">
        <v>49764.89</v>
      </c>
      <c r="N240" s="1" t="s">
        <v>2092</v>
      </c>
    </row>
    <row r="241" spans="1:14">
      <c r="A241" s="1" t="s">
        <v>253</v>
      </c>
      <c r="B241" s="2">
        <v>45379</v>
      </c>
      <c r="C241" s="1" t="s">
        <v>2021</v>
      </c>
      <c r="D241" s="1" t="s">
        <v>2043</v>
      </c>
      <c r="E241" s="1" t="s">
        <v>2045</v>
      </c>
      <c r="F241" s="1" t="s">
        <v>2049</v>
      </c>
      <c r="G241" s="1" t="s">
        <v>2055</v>
      </c>
      <c r="H241" s="1" t="s">
        <v>2087</v>
      </c>
      <c r="I241" s="1">
        <v>4</v>
      </c>
      <c r="J241" s="1">
        <v>2180.11</v>
      </c>
      <c r="K241" s="1">
        <v>26.59</v>
      </c>
      <c r="L241" s="1">
        <v>6401.68</v>
      </c>
      <c r="M241" s="1">
        <v>1269.2</v>
      </c>
      <c r="N241" s="1" t="s">
        <v>2090</v>
      </c>
    </row>
    <row r="242" spans="1:14">
      <c r="A242" s="1" t="s">
        <v>254</v>
      </c>
      <c r="B242" s="2">
        <v>45379</v>
      </c>
      <c r="C242" s="1" t="s">
        <v>2019</v>
      </c>
      <c r="D242" s="1" t="s">
        <v>2029</v>
      </c>
      <c r="E242" s="1" t="s">
        <v>2044</v>
      </c>
      <c r="F242" s="1" t="s">
        <v>2051</v>
      </c>
      <c r="G242" s="1" t="s">
        <v>2069</v>
      </c>
      <c r="H242" s="1" t="s">
        <v>2085</v>
      </c>
      <c r="I242" s="1">
        <v>9</v>
      </c>
      <c r="J242" s="1">
        <v>16119.27</v>
      </c>
      <c r="K242" s="1">
        <v>12.07</v>
      </c>
      <c r="L242" s="1">
        <v>127563.07</v>
      </c>
      <c r="M242" s="1">
        <v>34259.050000000003</v>
      </c>
      <c r="N242" s="1" t="s">
        <v>2092</v>
      </c>
    </row>
    <row r="243" spans="1:14">
      <c r="A243" s="1" t="s">
        <v>255</v>
      </c>
      <c r="B243" s="2">
        <v>45380</v>
      </c>
      <c r="C243" s="1" t="s">
        <v>2017</v>
      </c>
      <c r="D243" s="1" t="s">
        <v>2030</v>
      </c>
      <c r="E243" s="1" t="s">
        <v>2046</v>
      </c>
      <c r="F243" s="1" t="s">
        <v>2049</v>
      </c>
      <c r="G243" s="1" t="s">
        <v>2058</v>
      </c>
      <c r="H243" s="1" t="s">
        <v>2086</v>
      </c>
      <c r="I243" s="1">
        <v>8</v>
      </c>
      <c r="J243" s="1">
        <v>1830.29</v>
      </c>
      <c r="K243" s="1">
        <v>20.29</v>
      </c>
      <c r="L243" s="1">
        <v>11671.39</v>
      </c>
      <c r="M243" s="1">
        <v>2932.4</v>
      </c>
      <c r="N243" s="1" t="s">
        <v>2091</v>
      </c>
    </row>
    <row r="244" spans="1:14">
      <c r="A244" s="1" t="s">
        <v>256</v>
      </c>
      <c r="B244" s="2">
        <v>45380</v>
      </c>
      <c r="C244" s="1" t="s">
        <v>2021</v>
      </c>
      <c r="D244" s="1" t="s">
        <v>2031</v>
      </c>
      <c r="E244" s="1" t="s">
        <v>2046</v>
      </c>
      <c r="F244" s="1" t="s">
        <v>2052</v>
      </c>
      <c r="G244" s="1" t="s">
        <v>2072</v>
      </c>
      <c r="H244" s="1" t="s">
        <v>2086</v>
      </c>
      <c r="I244" s="1">
        <v>6</v>
      </c>
      <c r="J244" s="1">
        <v>7015.07</v>
      </c>
      <c r="K244" s="1">
        <v>22.38</v>
      </c>
      <c r="L244" s="1">
        <v>32670.58</v>
      </c>
      <c r="M244" s="1">
        <v>9653.9</v>
      </c>
      <c r="N244" s="1" t="s">
        <v>2090</v>
      </c>
    </row>
    <row r="245" spans="1:14">
      <c r="A245" s="1" t="s">
        <v>257</v>
      </c>
      <c r="B245" s="2">
        <v>45380</v>
      </c>
      <c r="C245" s="1" t="s">
        <v>2015</v>
      </c>
      <c r="D245" s="1" t="s">
        <v>2032</v>
      </c>
      <c r="E245" s="1" t="s">
        <v>2044</v>
      </c>
      <c r="F245" s="1" t="s">
        <v>2049</v>
      </c>
      <c r="G245" s="1" t="s">
        <v>2071</v>
      </c>
      <c r="H245" s="1" t="s">
        <v>2086</v>
      </c>
      <c r="I245" s="1">
        <v>7</v>
      </c>
      <c r="J245" s="1">
        <v>745.78</v>
      </c>
      <c r="K245" s="1">
        <v>11.14</v>
      </c>
      <c r="L245" s="1">
        <v>4638.8999999999996</v>
      </c>
      <c r="M245" s="1">
        <v>304.48</v>
      </c>
      <c r="N245" s="1" t="s">
        <v>2089</v>
      </c>
    </row>
    <row r="246" spans="1:14">
      <c r="A246" s="1" t="s">
        <v>258</v>
      </c>
      <c r="B246" s="2">
        <v>45381</v>
      </c>
      <c r="C246" s="1" t="s">
        <v>2017</v>
      </c>
      <c r="D246" s="1" t="s">
        <v>2033</v>
      </c>
      <c r="E246" s="1" t="s">
        <v>2044</v>
      </c>
      <c r="F246" s="1" t="s">
        <v>2054</v>
      </c>
      <c r="G246" s="1" t="s">
        <v>2079</v>
      </c>
      <c r="H246" s="1" t="s">
        <v>2086</v>
      </c>
      <c r="I246" s="1">
        <v>6</v>
      </c>
      <c r="J246" s="1">
        <v>51583.93</v>
      </c>
      <c r="K246" s="1">
        <v>12.64</v>
      </c>
      <c r="L246" s="1">
        <v>270382.33</v>
      </c>
      <c r="M246" s="1">
        <v>56521.9</v>
      </c>
      <c r="N246" s="1" t="s">
        <v>2088</v>
      </c>
    </row>
    <row r="247" spans="1:14">
      <c r="A247" s="1" t="s">
        <v>259</v>
      </c>
      <c r="B247" s="2">
        <v>45381</v>
      </c>
      <c r="C247" s="1" t="s">
        <v>2026</v>
      </c>
      <c r="D247" s="1" t="s">
        <v>2034</v>
      </c>
      <c r="E247" s="1" t="s">
        <v>2044</v>
      </c>
      <c r="F247" s="1" t="s">
        <v>2050</v>
      </c>
      <c r="G247" s="1" t="s">
        <v>2084</v>
      </c>
      <c r="H247" s="1" t="s">
        <v>2085</v>
      </c>
      <c r="I247" s="1">
        <v>10</v>
      </c>
      <c r="J247" s="1">
        <v>4825.82</v>
      </c>
      <c r="K247" s="1">
        <v>5.53</v>
      </c>
      <c r="L247" s="1">
        <v>45589.52</v>
      </c>
      <c r="M247" s="1">
        <v>6408.01</v>
      </c>
      <c r="N247" s="1" t="s">
        <v>2089</v>
      </c>
    </row>
    <row r="248" spans="1:14">
      <c r="A248" s="1" t="s">
        <v>260</v>
      </c>
      <c r="B248" s="2">
        <v>45381</v>
      </c>
      <c r="C248" s="1" t="s">
        <v>2027</v>
      </c>
      <c r="D248" s="1" t="s">
        <v>2035</v>
      </c>
      <c r="E248" s="1" t="s">
        <v>2044</v>
      </c>
      <c r="F248" s="1" t="s">
        <v>2054</v>
      </c>
      <c r="G248" s="1" t="s">
        <v>2066</v>
      </c>
      <c r="H248" s="1" t="s">
        <v>2087</v>
      </c>
      <c r="I248" s="1">
        <v>6</v>
      </c>
      <c r="J248" s="1">
        <v>41687.26</v>
      </c>
      <c r="K248" s="1">
        <v>8.9600000000000009</v>
      </c>
      <c r="L248" s="1">
        <v>227712.49</v>
      </c>
      <c r="M248" s="1">
        <v>64936.73</v>
      </c>
      <c r="N248" s="1" t="s">
        <v>2092</v>
      </c>
    </row>
    <row r="249" spans="1:14">
      <c r="A249" s="1" t="s">
        <v>261</v>
      </c>
      <c r="B249" s="2">
        <v>45382</v>
      </c>
      <c r="C249" s="1" t="s">
        <v>2025</v>
      </c>
      <c r="D249" s="1" t="s">
        <v>2036</v>
      </c>
      <c r="E249" s="1" t="s">
        <v>2047</v>
      </c>
      <c r="F249" s="1" t="s">
        <v>2050</v>
      </c>
      <c r="G249" s="1" t="s">
        <v>2056</v>
      </c>
      <c r="H249" s="1" t="s">
        <v>2087</v>
      </c>
      <c r="I249" s="1">
        <v>5</v>
      </c>
      <c r="J249" s="1">
        <v>4002.98</v>
      </c>
      <c r="K249" s="1">
        <v>13.06</v>
      </c>
      <c r="L249" s="1">
        <v>17400.95</v>
      </c>
      <c r="M249" s="1">
        <v>4947.76</v>
      </c>
      <c r="N249" s="1" t="s">
        <v>2092</v>
      </c>
    </row>
    <row r="250" spans="1:14">
      <c r="A250" s="1" t="s">
        <v>262</v>
      </c>
      <c r="B250" s="2">
        <v>45382</v>
      </c>
      <c r="C250" s="1" t="s">
        <v>2015</v>
      </c>
      <c r="D250" s="1" t="s">
        <v>2037</v>
      </c>
      <c r="E250" s="1" t="s">
        <v>2046</v>
      </c>
      <c r="F250" s="1" t="s">
        <v>2050</v>
      </c>
      <c r="G250" s="1" t="s">
        <v>2084</v>
      </c>
      <c r="H250" s="1" t="s">
        <v>2085</v>
      </c>
      <c r="I250" s="1">
        <v>8</v>
      </c>
      <c r="J250" s="1">
        <v>5917.21</v>
      </c>
      <c r="K250" s="1">
        <v>22.97</v>
      </c>
      <c r="L250" s="1">
        <v>36464.21</v>
      </c>
      <c r="M250" s="1">
        <v>3271.83</v>
      </c>
      <c r="N250" s="1" t="s">
        <v>2088</v>
      </c>
    </row>
    <row r="251" spans="1:14">
      <c r="A251" s="1" t="s">
        <v>263</v>
      </c>
      <c r="B251" s="2">
        <v>45382</v>
      </c>
      <c r="C251" s="1" t="s">
        <v>2015</v>
      </c>
      <c r="D251" s="1" t="s">
        <v>2038</v>
      </c>
      <c r="E251" s="1" t="s">
        <v>2044</v>
      </c>
      <c r="F251" s="1" t="s">
        <v>2054</v>
      </c>
      <c r="G251" s="1" t="s">
        <v>2079</v>
      </c>
      <c r="H251" s="1" t="s">
        <v>2086</v>
      </c>
      <c r="I251" s="1">
        <v>5</v>
      </c>
      <c r="J251" s="1">
        <v>5982.16</v>
      </c>
      <c r="K251" s="1">
        <v>1.71</v>
      </c>
      <c r="L251" s="1">
        <v>29399.33</v>
      </c>
      <c r="M251" s="1">
        <v>3543.99</v>
      </c>
      <c r="N251" s="1" t="s">
        <v>2088</v>
      </c>
    </row>
    <row r="252" spans="1:14">
      <c r="A252" s="1" t="s">
        <v>264</v>
      </c>
      <c r="B252" s="2">
        <v>45383</v>
      </c>
      <c r="C252" s="1" t="s">
        <v>2028</v>
      </c>
      <c r="D252" s="1" t="s">
        <v>2039</v>
      </c>
      <c r="E252" s="1" t="s">
        <v>2045</v>
      </c>
      <c r="F252" s="1" t="s">
        <v>2052</v>
      </c>
      <c r="G252" s="1" t="s">
        <v>2059</v>
      </c>
      <c r="H252" s="1" t="s">
        <v>2086</v>
      </c>
      <c r="I252" s="1">
        <v>6</v>
      </c>
      <c r="J252" s="1">
        <v>4403.09</v>
      </c>
      <c r="K252" s="1">
        <v>25.34</v>
      </c>
      <c r="L252" s="1">
        <v>19724.080000000002</v>
      </c>
      <c r="M252" s="1">
        <v>2308.4</v>
      </c>
      <c r="N252" s="1" t="s">
        <v>2088</v>
      </c>
    </row>
    <row r="253" spans="1:14">
      <c r="A253" s="1" t="s">
        <v>265</v>
      </c>
      <c r="B253" s="2">
        <v>45383</v>
      </c>
      <c r="C253" s="1" t="s">
        <v>2018</v>
      </c>
      <c r="D253" s="1" t="s">
        <v>2040</v>
      </c>
      <c r="E253" s="1" t="s">
        <v>2047</v>
      </c>
      <c r="F253" s="1" t="s">
        <v>2051</v>
      </c>
      <c r="G253" s="1" t="s">
        <v>2061</v>
      </c>
      <c r="H253" s="1" t="s">
        <v>2086</v>
      </c>
      <c r="I253" s="1">
        <v>9</v>
      </c>
      <c r="J253" s="1">
        <v>14490.9</v>
      </c>
      <c r="K253" s="1">
        <v>9.4600000000000009</v>
      </c>
      <c r="L253" s="1">
        <v>118080.55</v>
      </c>
      <c r="M253" s="1">
        <v>28689.37</v>
      </c>
      <c r="N253" s="1" t="s">
        <v>2088</v>
      </c>
    </row>
    <row r="254" spans="1:14">
      <c r="A254" s="1" t="s">
        <v>266</v>
      </c>
      <c r="B254" s="2">
        <v>45384</v>
      </c>
      <c r="C254" s="1" t="s">
        <v>2027</v>
      </c>
      <c r="D254" s="1" t="s">
        <v>2041</v>
      </c>
      <c r="E254" s="1" t="s">
        <v>2045</v>
      </c>
      <c r="F254" s="1" t="s">
        <v>2053</v>
      </c>
      <c r="G254" s="1" t="s">
        <v>2062</v>
      </c>
      <c r="H254" s="1" t="s">
        <v>2087</v>
      </c>
      <c r="I254" s="1">
        <v>10</v>
      </c>
      <c r="J254" s="1">
        <v>1105.0999999999999</v>
      </c>
      <c r="K254" s="1">
        <v>7.8</v>
      </c>
      <c r="L254" s="1">
        <v>10189.02</v>
      </c>
      <c r="M254" s="1">
        <v>2371.04</v>
      </c>
      <c r="N254" s="1" t="s">
        <v>2090</v>
      </c>
    </row>
    <row r="255" spans="1:14">
      <c r="A255" s="1" t="s">
        <v>267</v>
      </c>
      <c r="B255" s="2">
        <v>45384</v>
      </c>
      <c r="C255" s="1" t="s">
        <v>2015</v>
      </c>
      <c r="D255" s="1" t="s">
        <v>2042</v>
      </c>
      <c r="E255" s="1" t="s">
        <v>2048</v>
      </c>
      <c r="F255" s="1" t="s">
        <v>2050</v>
      </c>
      <c r="G255" s="1" t="s">
        <v>2075</v>
      </c>
      <c r="H255" s="1" t="s">
        <v>2085</v>
      </c>
      <c r="I255" s="1">
        <v>5</v>
      </c>
      <c r="J255" s="1">
        <v>4653.04</v>
      </c>
      <c r="K255" s="1">
        <v>13.92</v>
      </c>
      <c r="L255" s="1">
        <v>20026.68</v>
      </c>
      <c r="M255" s="1">
        <v>5867.84</v>
      </c>
      <c r="N255" s="1" t="s">
        <v>2091</v>
      </c>
    </row>
    <row r="256" spans="1:14">
      <c r="A256" s="1" t="s">
        <v>268</v>
      </c>
      <c r="B256" s="2">
        <v>45384</v>
      </c>
      <c r="C256" s="1" t="s">
        <v>2016</v>
      </c>
      <c r="D256" s="1" t="s">
        <v>2043</v>
      </c>
      <c r="E256" s="1" t="s">
        <v>2048</v>
      </c>
      <c r="F256" s="1" t="s">
        <v>2054</v>
      </c>
      <c r="G256" s="1" t="s">
        <v>2081</v>
      </c>
      <c r="H256" s="1" t="s">
        <v>2085</v>
      </c>
      <c r="I256" s="1">
        <v>5</v>
      </c>
      <c r="J256" s="1">
        <v>18412.7</v>
      </c>
      <c r="K256" s="1">
        <v>7.53</v>
      </c>
      <c r="L256" s="1">
        <v>85131.12</v>
      </c>
      <c r="M256" s="1">
        <v>22360.03</v>
      </c>
      <c r="N256" s="1" t="s">
        <v>2090</v>
      </c>
    </row>
    <row r="257" spans="1:14">
      <c r="A257" s="1" t="s">
        <v>269</v>
      </c>
      <c r="B257" s="2">
        <v>45385</v>
      </c>
      <c r="C257" s="1" t="s">
        <v>2026</v>
      </c>
      <c r="D257" s="1" t="s">
        <v>2029</v>
      </c>
      <c r="E257" s="1" t="s">
        <v>2047</v>
      </c>
      <c r="F257" s="1" t="s">
        <v>2053</v>
      </c>
      <c r="G257" s="1" t="s">
        <v>2062</v>
      </c>
      <c r="H257" s="1" t="s">
        <v>2085</v>
      </c>
      <c r="I257" s="1">
        <v>10</v>
      </c>
      <c r="J257" s="1">
        <v>1402.11</v>
      </c>
      <c r="K257" s="1">
        <v>23.75</v>
      </c>
      <c r="L257" s="1">
        <v>10691.09</v>
      </c>
      <c r="M257" s="1">
        <v>2001.48</v>
      </c>
      <c r="N257" s="1" t="s">
        <v>2092</v>
      </c>
    </row>
    <row r="258" spans="1:14">
      <c r="A258" s="1" t="s">
        <v>270</v>
      </c>
      <c r="B258" s="2">
        <v>45385</v>
      </c>
      <c r="C258" s="1" t="s">
        <v>2020</v>
      </c>
      <c r="D258" s="1" t="s">
        <v>2030</v>
      </c>
      <c r="E258" s="1" t="s">
        <v>2045</v>
      </c>
      <c r="F258" s="1" t="s">
        <v>2053</v>
      </c>
      <c r="G258" s="1" t="s">
        <v>2076</v>
      </c>
      <c r="H258" s="1" t="s">
        <v>2086</v>
      </c>
      <c r="I258" s="1">
        <v>2</v>
      </c>
      <c r="J258" s="1">
        <v>1694.05</v>
      </c>
      <c r="K258" s="1">
        <v>6.48</v>
      </c>
      <c r="L258" s="1">
        <v>3168.55</v>
      </c>
      <c r="M258" s="1">
        <v>235.71</v>
      </c>
      <c r="N258" s="1" t="s">
        <v>2088</v>
      </c>
    </row>
    <row r="259" spans="1:14">
      <c r="A259" s="1" t="s">
        <v>271</v>
      </c>
      <c r="B259" s="2">
        <v>45385</v>
      </c>
      <c r="C259" s="1" t="s">
        <v>2016</v>
      </c>
      <c r="D259" s="1" t="s">
        <v>2031</v>
      </c>
      <c r="E259" s="1" t="s">
        <v>2045</v>
      </c>
      <c r="F259" s="1" t="s">
        <v>2052</v>
      </c>
      <c r="G259" s="1" t="s">
        <v>2078</v>
      </c>
      <c r="H259" s="1" t="s">
        <v>2087</v>
      </c>
      <c r="I259" s="1">
        <v>10</v>
      </c>
      <c r="J259" s="1">
        <v>9785.01</v>
      </c>
      <c r="K259" s="1">
        <v>23.82</v>
      </c>
      <c r="L259" s="1">
        <v>74542.210000000006</v>
      </c>
      <c r="M259" s="1">
        <v>12993.75</v>
      </c>
      <c r="N259" s="1" t="s">
        <v>2088</v>
      </c>
    </row>
    <row r="260" spans="1:14">
      <c r="A260" s="1" t="s">
        <v>272</v>
      </c>
      <c r="B260" s="2">
        <v>45386</v>
      </c>
      <c r="C260" s="1" t="s">
        <v>2025</v>
      </c>
      <c r="D260" s="1" t="s">
        <v>2032</v>
      </c>
      <c r="E260" s="1" t="s">
        <v>2046</v>
      </c>
      <c r="F260" s="1" t="s">
        <v>2052</v>
      </c>
      <c r="G260" s="1" t="s">
        <v>2078</v>
      </c>
      <c r="H260" s="1" t="s">
        <v>2087</v>
      </c>
      <c r="I260" s="1">
        <v>6</v>
      </c>
      <c r="J260" s="1">
        <v>375.87</v>
      </c>
      <c r="K260" s="1">
        <v>3.79</v>
      </c>
      <c r="L260" s="1">
        <v>2169.75</v>
      </c>
      <c r="M260" s="1">
        <v>466.3</v>
      </c>
      <c r="N260" s="1" t="s">
        <v>2089</v>
      </c>
    </row>
    <row r="261" spans="1:14">
      <c r="A261" s="1" t="s">
        <v>273</v>
      </c>
      <c r="B261" s="2">
        <v>45386</v>
      </c>
      <c r="C261" s="1" t="s">
        <v>2028</v>
      </c>
      <c r="D261" s="1" t="s">
        <v>2033</v>
      </c>
      <c r="E261" s="1" t="s">
        <v>2044</v>
      </c>
      <c r="F261" s="1" t="s">
        <v>2053</v>
      </c>
      <c r="G261" s="1" t="s">
        <v>2073</v>
      </c>
      <c r="H261" s="1" t="s">
        <v>2085</v>
      </c>
      <c r="I261" s="1">
        <v>8</v>
      </c>
      <c r="J261" s="1">
        <v>2463.98</v>
      </c>
      <c r="K261" s="1">
        <v>23.16</v>
      </c>
      <c r="L261" s="1">
        <v>15146.58</v>
      </c>
      <c r="M261" s="1">
        <v>860.2</v>
      </c>
      <c r="N261" s="1" t="s">
        <v>2092</v>
      </c>
    </row>
    <row r="262" spans="1:14">
      <c r="A262" s="1" t="s">
        <v>274</v>
      </c>
      <c r="B262" s="2">
        <v>45386</v>
      </c>
      <c r="C262" s="1" t="s">
        <v>2014</v>
      </c>
      <c r="D262" s="1" t="s">
        <v>2034</v>
      </c>
      <c r="E262" s="1" t="s">
        <v>2044</v>
      </c>
      <c r="F262" s="1" t="s">
        <v>2049</v>
      </c>
      <c r="G262" s="1" t="s">
        <v>2074</v>
      </c>
      <c r="H262" s="1" t="s">
        <v>2085</v>
      </c>
      <c r="I262" s="1">
        <v>6</v>
      </c>
      <c r="J262" s="1">
        <v>1147.2</v>
      </c>
      <c r="K262" s="1">
        <v>13.55</v>
      </c>
      <c r="L262" s="1">
        <v>5950.53</v>
      </c>
      <c r="M262" s="1">
        <v>888.68</v>
      </c>
      <c r="N262" s="1" t="s">
        <v>2089</v>
      </c>
    </row>
    <row r="263" spans="1:14">
      <c r="A263" s="1" t="s">
        <v>275</v>
      </c>
      <c r="B263" s="2">
        <v>45387</v>
      </c>
      <c r="C263" s="1" t="s">
        <v>2021</v>
      </c>
      <c r="D263" s="1" t="s">
        <v>2035</v>
      </c>
      <c r="E263" s="1" t="s">
        <v>2045</v>
      </c>
      <c r="F263" s="1" t="s">
        <v>2050</v>
      </c>
      <c r="G263" s="1" t="s">
        <v>2070</v>
      </c>
      <c r="H263" s="1" t="s">
        <v>2086</v>
      </c>
      <c r="I263" s="1">
        <v>10</v>
      </c>
      <c r="J263" s="1">
        <v>1024.08</v>
      </c>
      <c r="K263" s="1">
        <v>10.7</v>
      </c>
      <c r="L263" s="1">
        <v>9145.0300000000007</v>
      </c>
      <c r="M263" s="1">
        <v>2189.0500000000002</v>
      </c>
      <c r="N263" s="1" t="s">
        <v>2091</v>
      </c>
    </row>
    <row r="264" spans="1:14">
      <c r="A264" s="1" t="s">
        <v>276</v>
      </c>
      <c r="B264" s="2">
        <v>45387</v>
      </c>
      <c r="C264" s="1" t="s">
        <v>2020</v>
      </c>
      <c r="D264" s="1" t="s">
        <v>2036</v>
      </c>
      <c r="E264" s="1" t="s">
        <v>2045</v>
      </c>
      <c r="F264" s="1" t="s">
        <v>2052</v>
      </c>
      <c r="G264" s="1" t="s">
        <v>2059</v>
      </c>
      <c r="H264" s="1" t="s">
        <v>2086</v>
      </c>
      <c r="I264" s="1">
        <v>10</v>
      </c>
      <c r="J264" s="1">
        <v>4586.51</v>
      </c>
      <c r="K264" s="1">
        <v>16.73</v>
      </c>
      <c r="L264" s="1">
        <v>38191.870000000003</v>
      </c>
      <c r="M264" s="1">
        <v>3494.88</v>
      </c>
      <c r="N264" s="1" t="s">
        <v>2089</v>
      </c>
    </row>
    <row r="265" spans="1:14">
      <c r="A265" s="1" t="s">
        <v>277</v>
      </c>
      <c r="B265" s="2">
        <v>45388</v>
      </c>
      <c r="C265" s="1" t="s">
        <v>2022</v>
      </c>
      <c r="D265" s="1" t="s">
        <v>2037</v>
      </c>
      <c r="E265" s="1" t="s">
        <v>2045</v>
      </c>
      <c r="F265" s="1" t="s">
        <v>2051</v>
      </c>
      <c r="G265" s="1" t="s">
        <v>2080</v>
      </c>
      <c r="H265" s="1" t="s">
        <v>2086</v>
      </c>
      <c r="I265" s="1">
        <v>8</v>
      </c>
      <c r="J265" s="1">
        <v>20774.990000000002</v>
      </c>
      <c r="K265" s="1">
        <v>17.940000000000001</v>
      </c>
      <c r="L265" s="1">
        <v>136383.65</v>
      </c>
      <c r="M265" s="1">
        <v>7957.43</v>
      </c>
      <c r="N265" s="1" t="s">
        <v>2090</v>
      </c>
    </row>
    <row r="266" spans="1:14">
      <c r="A266" s="1" t="s">
        <v>278</v>
      </c>
      <c r="B266" s="2">
        <v>45388</v>
      </c>
      <c r="C266" s="1" t="s">
        <v>2017</v>
      </c>
      <c r="D266" s="1" t="s">
        <v>2038</v>
      </c>
      <c r="E266" s="1" t="s">
        <v>2045</v>
      </c>
      <c r="F266" s="1" t="s">
        <v>2049</v>
      </c>
      <c r="G266" s="1" t="s">
        <v>2074</v>
      </c>
      <c r="H266" s="1" t="s">
        <v>2086</v>
      </c>
      <c r="I266" s="1">
        <v>9</v>
      </c>
      <c r="J266" s="1">
        <v>2420.63</v>
      </c>
      <c r="K266" s="1">
        <v>15.16</v>
      </c>
      <c r="L266" s="1">
        <v>18482.96</v>
      </c>
      <c r="M266" s="1">
        <v>5392.99</v>
      </c>
      <c r="N266" s="1" t="s">
        <v>2090</v>
      </c>
    </row>
    <row r="267" spans="1:14">
      <c r="A267" s="1" t="s">
        <v>279</v>
      </c>
      <c r="B267" s="2">
        <v>45388</v>
      </c>
      <c r="C267" s="1" t="s">
        <v>2016</v>
      </c>
      <c r="D267" s="1" t="s">
        <v>2039</v>
      </c>
      <c r="E267" s="1" t="s">
        <v>2044</v>
      </c>
      <c r="F267" s="1" t="s">
        <v>2053</v>
      </c>
      <c r="G267" s="1" t="s">
        <v>2076</v>
      </c>
      <c r="H267" s="1" t="s">
        <v>2085</v>
      </c>
      <c r="I267" s="1">
        <v>2</v>
      </c>
      <c r="J267" s="1">
        <v>498.29</v>
      </c>
      <c r="K267" s="1">
        <v>26.46</v>
      </c>
      <c r="L267" s="1">
        <v>732.88</v>
      </c>
      <c r="M267" s="1">
        <v>114.97</v>
      </c>
      <c r="N267" s="1" t="s">
        <v>2091</v>
      </c>
    </row>
    <row r="268" spans="1:14">
      <c r="A268" s="1" t="s">
        <v>280</v>
      </c>
      <c r="B268" s="2">
        <v>45389</v>
      </c>
      <c r="C268" s="1" t="s">
        <v>2021</v>
      </c>
      <c r="D268" s="1" t="s">
        <v>2040</v>
      </c>
      <c r="E268" s="1" t="s">
        <v>2044</v>
      </c>
      <c r="F268" s="1" t="s">
        <v>2050</v>
      </c>
      <c r="G268" s="1" t="s">
        <v>2084</v>
      </c>
      <c r="H268" s="1" t="s">
        <v>2085</v>
      </c>
      <c r="I268" s="1">
        <v>4</v>
      </c>
      <c r="J268" s="1">
        <v>5839.02</v>
      </c>
      <c r="K268" s="1">
        <v>26.71</v>
      </c>
      <c r="L268" s="1">
        <v>17117.669999999998</v>
      </c>
      <c r="M268" s="1">
        <v>1195.7</v>
      </c>
      <c r="N268" s="1" t="s">
        <v>2088</v>
      </c>
    </row>
    <row r="269" spans="1:14">
      <c r="A269" s="1" t="s">
        <v>281</v>
      </c>
      <c r="B269" s="2">
        <v>45389</v>
      </c>
      <c r="C269" s="1" t="s">
        <v>2028</v>
      </c>
      <c r="D269" s="1" t="s">
        <v>2041</v>
      </c>
      <c r="E269" s="1" t="s">
        <v>2044</v>
      </c>
      <c r="F269" s="1" t="s">
        <v>2053</v>
      </c>
      <c r="G269" s="1" t="s">
        <v>2073</v>
      </c>
      <c r="H269" s="1" t="s">
        <v>2087</v>
      </c>
      <c r="I269" s="1">
        <v>4</v>
      </c>
      <c r="J269" s="1">
        <v>2303.6999999999998</v>
      </c>
      <c r="K269" s="1">
        <v>3.32</v>
      </c>
      <c r="L269" s="1">
        <v>8908.8700000000008</v>
      </c>
      <c r="M269" s="1">
        <v>2137.1999999999998</v>
      </c>
      <c r="N269" s="1" t="s">
        <v>2088</v>
      </c>
    </row>
    <row r="270" spans="1:14">
      <c r="A270" s="1" t="s">
        <v>282</v>
      </c>
      <c r="B270" s="2">
        <v>45389</v>
      </c>
      <c r="C270" s="1" t="s">
        <v>2024</v>
      </c>
      <c r="D270" s="1" t="s">
        <v>2042</v>
      </c>
      <c r="E270" s="1" t="s">
        <v>2047</v>
      </c>
      <c r="F270" s="1" t="s">
        <v>2049</v>
      </c>
      <c r="G270" s="1" t="s">
        <v>2071</v>
      </c>
      <c r="H270" s="1" t="s">
        <v>2085</v>
      </c>
      <c r="I270" s="1">
        <v>5</v>
      </c>
      <c r="J270" s="1">
        <v>800.25</v>
      </c>
      <c r="K270" s="1">
        <v>24.58</v>
      </c>
      <c r="L270" s="1">
        <v>3017.74</v>
      </c>
      <c r="M270" s="1">
        <v>814.66</v>
      </c>
      <c r="N270" s="1" t="s">
        <v>2088</v>
      </c>
    </row>
    <row r="271" spans="1:14">
      <c r="A271" s="1" t="s">
        <v>283</v>
      </c>
      <c r="B271" s="2">
        <v>45390</v>
      </c>
      <c r="C271" s="1" t="s">
        <v>2026</v>
      </c>
      <c r="D271" s="1" t="s">
        <v>2043</v>
      </c>
      <c r="E271" s="1" t="s">
        <v>2047</v>
      </c>
      <c r="F271" s="1" t="s">
        <v>2051</v>
      </c>
      <c r="G271" s="1" t="s">
        <v>2077</v>
      </c>
      <c r="H271" s="1" t="s">
        <v>2086</v>
      </c>
      <c r="I271" s="1">
        <v>5</v>
      </c>
      <c r="J271" s="1">
        <v>17384.63</v>
      </c>
      <c r="K271" s="1">
        <v>27.16</v>
      </c>
      <c r="L271" s="1">
        <v>63314.82</v>
      </c>
      <c r="M271" s="1">
        <v>14873.78</v>
      </c>
      <c r="N271" s="1" t="s">
        <v>2091</v>
      </c>
    </row>
    <row r="272" spans="1:14">
      <c r="A272" s="1" t="s">
        <v>284</v>
      </c>
      <c r="B272" s="2">
        <v>45390</v>
      </c>
      <c r="C272" s="1" t="s">
        <v>2023</v>
      </c>
      <c r="D272" s="1" t="s">
        <v>2029</v>
      </c>
      <c r="E272" s="1" t="s">
        <v>2046</v>
      </c>
      <c r="F272" s="1" t="s">
        <v>2052</v>
      </c>
      <c r="G272" s="1" t="s">
        <v>2083</v>
      </c>
      <c r="H272" s="1" t="s">
        <v>2085</v>
      </c>
      <c r="I272" s="1">
        <v>5</v>
      </c>
      <c r="J272" s="1">
        <v>8100.72</v>
      </c>
      <c r="K272" s="1">
        <v>25.31</v>
      </c>
      <c r="L272" s="1">
        <v>30252.14</v>
      </c>
      <c r="M272" s="1">
        <v>3433.43</v>
      </c>
      <c r="N272" s="1" t="s">
        <v>2092</v>
      </c>
    </row>
    <row r="273" spans="1:14">
      <c r="A273" s="1" t="s">
        <v>285</v>
      </c>
      <c r="B273" s="2">
        <v>45390</v>
      </c>
      <c r="C273" s="1" t="s">
        <v>2025</v>
      </c>
      <c r="D273" s="1" t="s">
        <v>2030</v>
      </c>
      <c r="E273" s="1" t="s">
        <v>2046</v>
      </c>
      <c r="F273" s="1" t="s">
        <v>2051</v>
      </c>
      <c r="G273" s="1" t="s">
        <v>2080</v>
      </c>
      <c r="H273" s="1" t="s">
        <v>2085</v>
      </c>
      <c r="I273" s="1">
        <v>8</v>
      </c>
      <c r="J273" s="1">
        <v>1148.8699999999999</v>
      </c>
      <c r="K273" s="1">
        <v>20.45</v>
      </c>
      <c r="L273" s="1">
        <v>7311.41</v>
      </c>
      <c r="M273" s="1">
        <v>671.06</v>
      </c>
      <c r="N273" s="1" t="s">
        <v>2089</v>
      </c>
    </row>
    <row r="274" spans="1:14">
      <c r="A274" s="1" t="s">
        <v>286</v>
      </c>
      <c r="B274" s="2">
        <v>45391</v>
      </c>
      <c r="C274" s="1" t="s">
        <v>2028</v>
      </c>
      <c r="D274" s="1" t="s">
        <v>2031</v>
      </c>
      <c r="E274" s="1" t="s">
        <v>2045</v>
      </c>
      <c r="F274" s="1" t="s">
        <v>2049</v>
      </c>
      <c r="G274" s="1" t="s">
        <v>2082</v>
      </c>
      <c r="H274" s="1" t="s">
        <v>2085</v>
      </c>
      <c r="I274" s="1">
        <v>9</v>
      </c>
      <c r="J274" s="1">
        <v>685.81</v>
      </c>
      <c r="K274" s="1">
        <v>10.81</v>
      </c>
      <c r="L274" s="1">
        <v>5505.07</v>
      </c>
      <c r="M274" s="1">
        <v>369.54</v>
      </c>
      <c r="N274" s="1" t="s">
        <v>2088</v>
      </c>
    </row>
    <row r="275" spans="1:14">
      <c r="A275" s="1" t="s">
        <v>287</v>
      </c>
      <c r="B275" s="2">
        <v>45391</v>
      </c>
      <c r="C275" s="1" t="s">
        <v>2026</v>
      </c>
      <c r="D275" s="1" t="s">
        <v>2032</v>
      </c>
      <c r="E275" s="1" t="s">
        <v>2044</v>
      </c>
      <c r="F275" s="1" t="s">
        <v>2052</v>
      </c>
      <c r="G275" s="1" t="s">
        <v>2078</v>
      </c>
      <c r="H275" s="1" t="s">
        <v>2085</v>
      </c>
      <c r="I275" s="1">
        <v>1</v>
      </c>
      <c r="J275" s="1">
        <v>7707.43</v>
      </c>
      <c r="K275" s="1">
        <v>23.65</v>
      </c>
      <c r="L275" s="1">
        <v>5884.62</v>
      </c>
      <c r="M275" s="1">
        <v>1272.53</v>
      </c>
      <c r="N275" s="1" t="s">
        <v>2089</v>
      </c>
    </row>
    <row r="276" spans="1:14">
      <c r="A276" s="1" t="s">
        <v>288</v>
      </c>
      <c r="B276" s="2">
        <v>45392</v>
      </c>
      <c r="C276" s="1" t="s">
        <v>2022</v>
      </c>
      <c r="D276" s="1" t="s">
        <v>2033</v>
      </c>
      <c r="E276" s="1" t="s">
        <v>2044</v>
      </c>
      <c r="F276" s="1" t="s">
        <v>2050</v>
      </c>
      <c r="G276" s="1" t="s">
        <v>2064</v>
      </c>
      <c r="H276" s="1" t="s">
        <v>2086</v>
      </c>
      <c r="I276" s="1">
        <v>2</v>
      </c>
      <c r="J276" s="1">
        <v>3742.33</v>
      </c>
      <c r="K276" s="1">
        <v>13.81</v>
      </c>
      <c r="L276" s="1">
        <v>6451.03</v>
      </c>
      <c r="M276" s="1">
        <v>1716.88</v>
      </c>
      <c r="N276" s="1" t="s">
        <v>2089</v>
      </c>
    </row>
    <row r="277" spans="1:14">
      <c r="A277" s="1" t="s">
        <v>289</v>
      </c>
      <c r="B277" s="2">
        <v>45392</v>
      </c>
      <c r="C277" s="1" t="s">
        <v>2018</v>
      </c>
      <c r="D277" s="1" t="s">
        <v>2034</v>
      </c>
      <c r="E277" s="1" t="s">
        <v>2048</v>
      </c>
      <c r="F277" s="1" t="s">
        <v>2049</v>
      </c>
      <c r="G277" s="1" t="s">
        <v>2071</v>
      </c>
      <c r="H277" s="1" t="s">
        <v>2086</v>
      </c>
      <c r="I277" s="1">
        <v>9</v>
      </c>
      <c r="J277" s="1">
        <v>1293.26</v>
      </c>
      <c r="K277" s="1">
        <v>0.82</v>
      </c>
      <c r="L277" s="1">
        <v>11543.9</v>
      </c>
      <c r="M277" s="1">
        <v>3365.75</v>
      </c>
      <c r="N277" s="1" t="s">
        <v>2089</v>
      </c>
    </row>
    <row r="278" spans="1:14">
      <c r="A278" s="1" t="s">
        <v>290</v>
      </c>
      <c r="B278" s="2">
        <v>45392</v>
      </c>
      <c r="C278" s="1" t="s">
        <v>2017</v>
      </c>
      <c r="D278" s="1" t="s">
        <v>2035</v>
      </c>
      <c r="E278" s="1" t="s">
        <v>2048</v>
      </c>
      <c r="F278" s="1" t="s">
        <v>2050</v>
      </c>
      <c r="G278" s="1" t="s">
        <v>2075</v>
      </c>
      <c r="H278" s="1" t="s">
        <v>2086</v>
      </c>
      <c r="I278" s="1">
        <v>3</v>
      </c>
      <c r="J278" s="1">
        <v>6497.78</v>
      </c>
      <c r="K278" s="1">
        <v>0.54</v>
      </c>
      <c r="L278" s="1">
        <v>19388.080000000002</v>
      </c>
      <c r="M278" s="1">
        <v>5636.17</v>
      </c>
      <c r="N278" s="1" t="s">
        <v>2088</v>
      </c>
    </row>
    <row r="279" spans="1:14">
      <c r="A279" s="1" t="s">
        <v>291</v>
      </c>
      <c r="B279" s="2">
        <v>45393</v>
      </c>
      <c r="C279" s="1" t="s">
        <v>2019</v>
      </c>
      <c r="D279" s="1" t="s">
        <v>2036</v>
      </c>
      <c r="E279" s="1" t="s">
        <v>2046</v>
      </c>
      <c r="F279" s="1" t="s">
        <v>2054</v>
      </c>
      <c r="G279" s="1" t="s">
        <v>2079</v>
      </c>
      <c r="H279" s="1" t="s">
        <v>2085</v>
      </c>
      <c r="I279" s="1">
        <v>3</v>
      </c>
      <c r="J279" s="1">
        <v>69883.929999999993</v>
      </c>
      <c r="K279" s="1">
        <v>3.38</v>
      </c>
      <c r="L279" s="1">
        <v>202565.56</v>
      </c>
      <c r="M279" s="1">
        <v>45763.91</v>
      </c>
      <c r="N279" s="1" t="s">
        <v>2091</v>
      </c>
    </row>
    <row r="280" spans="1:14">
      <c r="A280" s="1" t="s">
        <v>292</v>
      </c>
      <c r="B280" s="2">
        <v>45393</v>
      </c>
      <c r="C280" s="1" t="s">
        <v>2024</v>
      </c>
      <c r="D280" s="1" t="s">
        <v>2037</v>
      </c>
      <c r="E280" s="1" t="s">
        <v>2048</v>
      </c>
      <c r="F280" s="1" t="s">
        <v>2054</v>
      </c>
      <c r="G280" s="1" t="s">
        <v>2079</v>
      </c>
      <c r="H280" s="1" t="s">
        <v>2086</v>
      </c>
      <c r="I280" s="1">
        <v>9</v>
      </c>
      <c r="J280" s="1">
        <v>66050.52</v>
      </c>
      <c r="K280" s="1">
        <v>2.23</v>
      </c>
      <c r="L280" s="1">
        <v>581198.34</v>
      </c>
      <c r="M280" s="1">
        <v>61948.7</v>
      </c>
      <c r="N280" s="1" t="s">
        <v>2088</v>
      </c>
    </row>
    <row r="281" spans="1:14">
      <c r="A281" s="1" t="s">
        <v>293</v>
      </c>
      <c r="B281" s="2">
        <v>45393</v>
      </c>
      <c r="C281" s="1" t="s">
        <v>2017</v>
      </c>
      <c r="D281" s="1" t="s">
        <v>2038</v>
      </c>
      <c r="E281" s="1" t="s">
        <v>2045</v>
      </c>
      <c r="F281" s="1" t="s">
        <v>2049</v>
      </c>
      <c r="G281" s="1" t="s">
        <v>2082</v>
      </c>
      <c r="H281" s="1" t="s">
        <v>2087</v>
      </c>
      <c r="I281" s="1">
        <v>9</v>
      </c>
      <c r="J281" s="1">
        <v>1024.7</v>
      </c>
      <c r="K281" s="1">
        <v>10.210000000000001</v>
      </c>
      <c r="L281" s="1">
        <v>8280.7000000000007</v>
      </c>
      <c r="M281" s="1">
        <v>2461.5</v>
      </c>
      <c r="N281" s="1" t="s">
        <v>2091</v>
      </c>
    </row>
    <row r="282" spans="1:14">
      <c r="A282" s="1" t="s">
        <v>294</v>
      </c>
      <c r="B282" s="2">
        <v>45394</v>
      </c>
      <c r="C282" s="1" t="s">
        <v>2021</v>
      </c>
      <c r="D282" s="1" t="s">
        <v>2039</v>
      </c>
      <c r="E282" s="1" t="s">
        <v>2045</v>
      </c>
      <c r="F282" s="1" t="s">
        <v>2052</v>
      </c>
      <c r="G282" s="1" t="s">
        <v>2078</v>
      </c>
      <c r="H282" s="1" t="s">
        <v>2085</v>
      </c>
      <c r="I282" s="1">
        <v>3</v>
      </c>
      <c r="J282" s="1">
        <v>2824.21</v>
      </c>
      <c r="K282" s="1">
        <v>23.67</v>
      </c>
      <c r="L282" s="1">
        <v>6467.16</v>
      </c>
      <c r="M282" s="1">
        <v>1250.3399999999999</v>
      </c>
      <c r="N282" s="1" t="s">
        <v>2089</v>
      </c>
    </row>
    <row r="283" spans="1:14">
      <c r="A283" s="1" t="s">
        <v>295</v>
      </c>
      <c r="B283" s="2">
        <v>45394</v>
      </c>
      <c r="C283" s="1" t="s">
        <v>2023</v>
      </c>
      <c r="D283" s="1" t="s">
        <v>2040</v>
      </c>
      <c r="E283" s="1" t="s">
        <v>2047</v>
      </c>
      <c r="F283" s="1" t="s">
        <v>2049</v>
      </c>
      <c r="G283" s="1" t="s">
        <v>2071</v>
      </c>
      <c r="H283" s="1" t="s">
        <v>2085</v>
      </c>
      <c r="I283" s="1">
        <v>5</v>
      </c>
      <c r="J283" s="1">
        <v>326.88</v>
      </c>
      <c r="K283" s="1">
        <v>27.29</v>
      </c>
      <c r="L283" s="1">
        <v>1188.3699999999999</v>
      </c>
      <c r="M283" s="1">
        <v>258.23</v>
      </c>
      <c r="N283" s="1" t="s">
        <v>2090</v>
      </c>
    </row>
    <row r="284" spans="1:14">
      <c r="A284" s="1" t="s">
        <v>296</v>
      </c>
      <c r="B284" s="2">
        <v>45394</v>
      </c>
      <c r="C284" s="1" t="s">
        <v>2021</v>
      </c>
      <c r="D284" s="1" t="s">
        <v>2041</v>
      </c>
      <c r="E284" s="1" t="s">
        <v>2044</v>
      </c>
      <c r="F284" s="1" t="s">
        <v>2049</v>
      </c>
      <c r="G284" s="1" t="s">
        <v>2058</v>
      </c>
      <c r="H284" s="1" t="s">
        <v>2087</v>
      </c>
      <c r="I284" s="1">
        <v>9</v>
      </c>
      <c r="J284" s="1">
        <v>1055.4100000000001</v>
      </c>
      <c r="K284" s="1">
        <v>4.9400000000000004</v>
      </c>
      <c r="L284" s="1">
        <v>9029.4500000000007</v>
      </c>
      <c r="M284" s="1">
        <v>836.54</v>
      </c>
      <c r="N284" s="1" t="s">
        <v>2088</v>
      </c>
    </row>
    <row r="285" spans="1:14">
      <c r="A285" s="1" t="s">
        <v>297</v>
      </c>
      <c r="B285" s="2">
        <v>45395</v>
      </c>
      <c r="C285" s="1" t="s">
        <v>2018</v>
      </c>
      <c r="D285" s="1" t="s">
        <v>2042</v>
      </c>
      <c r="E285" s="1" t="s">
        <v>2046</v>
      </c>
      <c r="F285" s="1" t="s">
        <v>2054</v>
      </c>
      <c r="G285" s="1" t="s">
        <v>2066</v>
      </c>
      <c r="H285" s="1" t="s">
        <v>2085</v>
      </c>
      <c r="I285" s="1">
        <v>3</v>
      </c>
      <c r="J285" s="1">
        <v>19375.96</v>
      </c>
      <c r="K285" s="1">
        <v>15.37</v>
      </c>
      <c r="L285" s="1">
        <v>49193.62</v>
      </c>
      <c r="M285" s="1">
        <v>3741.48</v>
      </c>
      <c r="N285" s="1" t="s">
        <v>2089</v>
      </c>
    </row>
    <row r="286" spans="1:14">
      <c r="A286" s="1" t="s">
        <v>298</v>
      </c>
      <c r="B286" s="2">
        <v>45395</v>
      </c>
      <c r="C286" s="1" t="s">
        <v>2022</v>
      </c>
      <c r="D286" s="1" t="s">
        <v>2043</v>
      </c>
      <c r="E286" s="1" t="s">
        <v>2048</v>
      </c>
      <c r="F286" s="1" t="s">
        <v>2052</v>
      </c>
      <c r="G286" s="1" t="s">
        <v>2078</v>
      </c>
      <c r="H286" s="1" t="s">
        <v>2087</v>
      </c>
      <c r="I286" s="1">
        <v>2</v>
      </c>
      <c r="J286" s="1">
        <v>2861.37</v>
      </c>
      <c r="K286" s="1">
        <v>14.19</v>
      </c>
      <c r="L286" s="1">
        <v>4910.68</v>
      </c>
      <c r="M286" s="1">
        <v>1453.37</v>
      </c>
      <c r="N286" s="1" t="s">
        <v>2091</v>
      </c>
    </row>
    <row r="287" spans="1:14">
      <c r="A287" s="1" t="s">
        <v>299</v>
      </c>
      <c r="B287" s="2">
        <v>45396</v>
      </c>
      <c r="C287" s="1" t="s">
        <v>2023</v>
      </c>
      <c r="D287" s="1" t="s">
        <v>2029</v>
      </c>
      <c r="E287" s="1" t="s">
        <v>2048</v>
      </c>
      <c r="F287" s="1" t="s">
        <v>2053</v>
      </c>
      <c r="G287" s="1" t="s">
        <v>2067</v>
      </c>
      <c r="H287" s="1" t="s">
        <v>2085</v>
      </c>
      <c r="I287" s="1">
        <v>6</v>
      </c>
      <c r="J287" s="1">
        <v>209.56</v>
      </c>
      <c r="K287" s="1">
        <v>4.2</v>
      </c>
      <c r="L287" s="1">
        <v>1204.55</v>
      </c>
      <c r="M287" s="1">
        <v>143.59</v>
      </c>
      <c r="N287" s="1" t="s">
        <v>2090</v>
      </c>
    </row>
    <row r="288" spans="1:14">
      <c r="A288" s="1" t="s">
        <v>300</v>
      </c>
      <c r="B288" s="2">
        <v>45396</v>
      </c>
      <c r="C288" s="1" t="s">
        <v>2023</v>
      </c>
      <c r="D288" s="1" t="s">
        <v>2030</v>
      </c>
      <c r="E288" s="1" t="s">
        <v>2045</v>
      </c>
      <c r="F288" s="1" t="s">
        <v>2054</v>
      </c>
      <c r="G288" s="1" t="s">
        <v>2068</v>
      </c>
      <c r="H288" s="1" t="s">
        <v>2085</v>
      </c>
      <c r="I288" s="1">
        <v>8</v>
      </c>
      <c r="J288" s="1">
        <v>37844.629999999997</v>
      </c>
      <c r="K288" s="1">
        <v>13.42</v>
      </c>
      <c r="L288" s="1">
        <v>262127.05</v>
      </c>
      <c r="M288" s="1">
        <v>44187.31</v>
      </c>
      <c r="N288" s="1" t="s">
        <v>2091</v>
      </c>
    </row>
    <row r="289" spans="1:14">
      <c r="A289" s="1" t="s">
        <v>301</v>
      </c>
      <c r="B289" s="2">
        <v>45396</v>
      </c>
      <c r="C289" s="1" t="s">
        <v>2021</v>
      </c>
      <c r="D289" s="1" t="s">
        <v>2031</v>
      </c>
      <c r="E289" s="1" t="s">
        <v>2045</v>
      </c>
      <c r="F289" s="1" t="s">
        <v>2052</v>
      </c>
      <c r="G289" s="1" t="s">
        <v>2083</v>
      </c>
      <c r="H289" s="1" t="s">
        <v>2085</v>
      </c>
      <c r="I289" s="1">
        <v>8</v>
      </c>
      <c r="J289" s="1">
        <v>559.87</v>
      </c>
      <c r="K289" s="1">
        <v>3.24</v>
      </c>
      <c r="L289" s="1">
        <v>4333.84</v>
      </c>
      <c r="M289" s="1">
        <v>583.83000000000004</v>
      </c>
      <c r="N289" s="1" t="s">
        <v>2092</v>
      </c>
    </row>
    <row r="290" spans="1:14">
      <c r="A290" s="1" t="s">
        <v>302</v>
      </c>
      <c r="B290" s="2">
        <v>45397</v>
      </c>
      <c r="C290" s="1" t="s">
        <v>2021</v>
      </c>
      <c r="D290" s="1" t="s">
        <v>2032</v>
      </c>
      <c r="E290" s="1" t="s">
        <v>2044</v>
      </c>
      <c r="F290" s="1" t="s">
        <v>2050</v>
      </c>
      <c r="G290" s="1" t="s">
        <v>2084</v>
      </c>
      <c r="H290" s="1" t="s">
        <v>2086</v>
      </c>
      <c r="I290" s="1">
        <v>9</v>
      </c>
      <c r="J290" s="1">
        <v>6588.45</v>
      </c>
      <c r="K290" s="1">
        <v>8.5399999999999991</v>
      </c>
      <c r="L290" s="1">
        <v>54232.17</v>
      </c>
      <c r="M290" s="1">
        <v>13804.89</v>
      </c>
      <c r="N290" s="1" t="s">
        <v>2091</v>
      </c>
    </row>
    <row r="291" spans="1:14">
      <c r="A291" s="1" t="s">
        <v>303</v>
      </c>
      <c r="B291" s="2">
        <v>45397</v>
      </c>
      <c r="C291" s="1" t="s">
        <v>2022</v>
      </c>
      <c r="D291" s="1" t="s">
        <v>2033</v>
      </c>
      <c r="E291" s="1" t="s">
        <v>2046</v>
      </c>
      <c r="F291" s="1" t="s">
        <v>2053</v>
      </c>
      <c r="G291" s="1" t="s">
        <v>2060</v>
      </c>
      <c r="H291" s="1" t="s">
        <v>2086</v>
      </c>
      <c r="I291" s="1">
        <v>3</v>
      </c>
      <c r="J291" s="1">
        <v>1181.43</v>
      </c>
      <c r="K291" s="1">
        <v>27.88</v>
      </c>
      <c r="L291" s="1">
        <v>2556.14</v>
      </c>
      <c r="M291" s="1">
        <v>233.38</v>
      </c>
      <c r="N291" s="1" t="s">
        <v>2088</v>
      </c>
    </row>
    <row r="292" spans="1:14">
      <c r="A292" s="1" t="s">
        <v>304</v>
      </c>
      <c r="B292" s="2">
        <v>45397</v>
      </c>
      <c r="C292" s="1" t="s">
        <v>2022</v>
      </c>
      <c r="D292" s="1" t="s">
        <v>2034</v>
      </c>
      <c r="E292" s="1" t="s">
        <v>2048</v>
      </c>
      <c r="F292" s="1" t="s">
        <v>2053</v>
      </c>
      <c r="G292" s="1" t="s">
        <v>2076</v>
      </c>
      <c r="H292" s="1" t="s">
        <v>2086</v>
      </c>
      <c r="I292" s="1">
        <v>1</v>
      </c>
      <c r="J292" s="1">
        <v>2077.1</v>
      </c>
      <c r="K292" s="1">
        <v>28.65</v>
      </c>
      <c r="L292" s="1">
        <v>1482.01</v>
      </c>
      <c r="M292" s="1">
        <v>378.36</v>
      </c>
      <c r="N292" s="1" t="s">
        <v>2090</v>
      </c>
    </row>
    <row r="293" spans="1:14">
      <c r="A293" s="1" t="s">
        <v>305</v>
      </c>
      <c r="B293" s="2">
        <v>45398</v>
      </c>
      <c r="C293" s="1" t="s">
        <v>2025</v>
      </c>
      <c r="D293" s="1" t="s">
        <v>2035</v>
      </c>
      <c r="E293" s="1" t="s">
        <v>2047</v>
      </c>
      <c r="F293" s="1" t="s">
        <v>2054</v>
      </c>
      <c r="G293" s="1" t="s">
        <v>2079</v>
      </c>
      <c r="H293" s="1" t="s">
        <v>2085</v>
      </c>
      <c r="I293" s="1">
        <v>2</v>
      </c>
      <c r="J293" s="1">
        <v>20907.189999999999</v>
      </c>
      <c r="K293" s="1">
        <v>19.96</v>
      </c>
      <c r="L293" s="1">
        <v>33468.230000000003</v>
      </c>
      <c r="M293" s="1">
        <v>8370.0300000000007</v>
      </c>
      <c r="N293" s="1" t="s">
        <v>2089</v>
      </c>
    </row>
    <row r="294" spans="1:14">
      <c r="A294" s="1" t="s">
        <v>306</v>
      </c>
      <c r="B294" s="2">
        <v>45398</v>
      </c>
      <c r="C294" s="1" t="s">
        <v>2016</v>
      </c>
      <c r="D294" s="1" t="s">
        <v>2036</v>
      </c>
      <c r="E294" s="1" t="s">
        <v>2047</v>
      </c>
      <c r="F294" s="1" t="s">
        <v>2049</v>
      </c>
      <c r="G294" s="1" t="s">
        <v>2058</v>
      </c>
      <c r="H294" s="1" t="s">
        <v>2086</v>
      </c>
      <c r="I294" s="1">
        <v>1</v>
      </c>
      <c r="J294" s="1">
        <v>259.47000000000003</v>
      </c>
      <c r="K294" s="1">
        <v>2.41</v>
      </c>
      <c r="L294" s="1">
        <v>253.22</v>
      </c>
      <c r="M294" s="1">
        <v>35.119999999999997</v>
      </c>
      <c r="N294" s="1" t="s">
        <v>2090</v>
      </c>
    </row>
    <row r="295" spans="1:14">
      <c r="A295" s="1" t="s">
        <v>307</v>
      </c>
      <c r="B295" s="2">
        <v>45398</v>
      </c>
      <c r="C295" s="1" t="s">
        <v>2020</v>
      </c>
      <c r="D295" s="1" t="s">
        <v>2037</v>
      </c>
      <c r="E295" s="1" t="s">
        <v>2048</v>
      </c>
      <c r="F295" s="1" t="s">
        <v>2054</v>
      </c>
      <c r="G295" s="1" t="s">
        <v>2081</v>
      </c>
      <c r="H295" s="1" t="s">
        <v>2085</v>
      </c>
      <c r="I295" s="1">
        <v>2</v>
      </c>
      <c r="J295" s="1">
        <v>71099.11</v>
      </c>
      <c r="K295" s="1">
        <v>17.96</v>
      </c>
      <c r="L295" s="1">
        <v>116659.42</v>
      </c>
      <c r="M295" s="1">
        <v>20478.21</v>
      </c>
      <c r="N295" s="1" t="s">
        <v>2088</v>
      </c>
    </row>
    <row r="296" spans="1:14">
      <c r="A296" s="1" t="s">
        <v>308</v>
      </c>
      <c r="B296" s="2">
        <v>45399</v>
      </c>
      <c r="C296" s="1" t="s">
        <v>2024</v>
      </c>
      <c r="D296" s="1" t="s">
        <v>2038</v>
      </c>
      <c r="E296" s="1" t="s">
        <v>2047</v>
      </c>
      <c r="F296" s="1" t="s">
        <v>2050</v>
      </c>
      <c r="G296" s="1" t="s">
        <v>2070</v>
      </c>
      <c r="H296" s="1" t="s">
        <v>2085</v>
      </c>
      <c r="I296" s="1">
        <v>6</v>
      </c>
      <c r="J296" s="1">
        <v>1228.3</v>
      </c>
      <c r="K296" s="1">
        <v>27.07</v>
      </c>
      <c r="L296" s="1">
        <v>5374.8</v>
      </c>
      <c r="M296" s="1">
        <v>358.02</v>
      </c>
      <c r="N296" s="1" t="s">
        <v>2091</v>
      </c>
    </row>
    <row r="297" spans="1:14">
      <c r="A297" s="1" t="s">
        <v>309</v>
      </c>
      <c r="B297" s="2">
        <v>45399</v>
      </c>
      <c r="C297" s="1" t="s">
        <v>2021</v>
      </c>
      <c r="D297" s="1" t="s">
        <v>2039</v>
      </c>
      <c r="E297" s="1" t="s">
        <v>2045</v>
      </c>
      <c r="F297" s="1" t="s">
        <v>2052</v>
      </c>
      <c r="G297" s="1" t="s">
        <v>2078</v>
      </c>
      <c r="H297" s="1" t="s">
        <v>2087</v>
      </c>
      <c r="I297" s="1">
        <v>3</v>
      </c>
      <c r="J297" s="1">
        <v>4598.76</v>
      </c>
      <c r="K297" s="1">
        <v>2.5299999999999998</v>
      </c>
      <c r="L297" s="1">
        <v>13447.23</v>
      </c>
      <c r="M297" s="1">
        <v>2014.96</v>
      </c>
      <c r="N297" s="1" t="s">
        <v>2091</v>
      </c>
    </row>
    <row r="298" spans="1:14">
      <c r="A298" s="1" t="s">
        <v>310</v>
      </c>
      <c r="B298" s="2">
        <v>45400</v>
      </c>
      <c r="C298" s="1" t="s">
        <v>2020</v>
      </c>
      <c r="D298" s="1" t="s">
        <v>2040</v>
      </c>
      <c r="E298" s="1" t="s">
        <v>2045</v>
      </c>
      <c r="F298" s="1" t="s">
        <v>2054</v>
      </c>
      <c r="G298" s="1" t="s">
        <v>2063</v>
      </c>
      <c r="H298" s="1" t="s">
        <v>2086</v>
      </c>
      <c r="I298" s="1">
        <v>6</v>
      </c>
      <c r="J298" s="1">
        <v>67725.55</v>
      </c>
      <c r="K298" s="1">
        <v>20.77</v>
      </c>
      <c r="L298" s="1">
        <v>321953.71999999997</v>
      </c>
      <c r="M298" s="1">
        <v>50702.16</v>
      </c>
      <c r="N298" s="1" t="s">
        <v>2091</v>
      </c>
    </row>
    <row r="299" spans="1:14">
      <c r="A299" s="1" t="s">
        <v>311</v>
      </c>
      <c r="B299" s="2">
        <v>45400</v>
      </c>
      <c r="C299" s="1" t="s">
        <v>2028</v>
      </c>
      <c r="D299" s="1" t="s">
        <v>2041</v>
      </c>
      <c r="E299" s="1" t="s">
        <v>2044</v>
      </c>
      <c r="F299" s="1" t="s">
        <v>2053</v>
      </c>
      <c r="G299" s="1" t="s">
        <v>2062</v>
      </c>
      <c r="H299" s="1" t="s">
        <v>2087</v>
      </c>
      <c r="I299" s="1">
        <v>2</v>
      </c>
      <c r="J299" s="1">
        <v>1022.18</v>
      </c>
      <c r="K299" s="1">
        <v>13.5</v>
      </c>
      <c r="L299" s="1">
        <v>1768.37</v>
      </c>
      <c r="M299" s="1">
        <v>344.51</v>
      </c>
      <c r="N299" s="1" t="s">
        <v>2089</v>
      </c>
    </row>
    <row r="300" spans="1:14">
      <c r="A300" s="1" t="s">
        <v>312</v>
      </c>
      <c r="B300" s="2">
        <v>45400</v>
      </c>
      <c r="C300" s="1" t="s">
        <v>2016</v>
      </c>
      <c r="D300" s="1" t="s">
        <v>2042</v>
      </c>
      <c r="E300" s="1" t="s">
        <v>2046</v>
      </c>
      <c r="F300" s="1" t="s">
        <v>2054</v>
      </c>
      <c r="G300" s="1" t="s">
        <v>2079</v>
      </c>
      <c r="H300" s="1" t="s">
        <v>2085</v>
      </c>
      <c r="I300" s="1">
        <v>1</v>
      </c>
      <c r="J300" s="1">
        <v>42302.1</v>
      </c>
      <c r="K300" s="1">
        <v>15.35</v>
      </c>
      <c r="L300" s="1">
        <v>35808.730000000003</v>
      </c>
      <c r="M300" s="1">
        <v>3273.17</v>
      </c>
      <c r="N300" s="1" t="s">
        <v>2091</v>
      </c>
    </row>
    <row r="301" spans="1:14">
      <c r="A301" s="1" t="s">
        <v>313</v>
      </c>
      <c r="B301" s="2">
        <v>45401</v>
      </c>
      <c r="C301" s="1" t="s">
        <v>2014</v>
      </c>
      <c r="D301" s="1" t="s">
        <v>2043</v>
      </c>
      <c r="E301" s="1" t="s">
        <v>2044</v>
      </c>
      <c r="F301" s="1" t="s">
        <v>2054</v>
      </c>
      <c r="G301" s="1" t="s">
        <v>2079</v>
      </c>
      <c r="H301" s="1" t="s">
        <v>2087</v>
      </c>
      <c r="I301" s="1">
        <v>3</v>
      </c>
      <c r="J301" s="1">
        <v>2523.1</v>
      </c>
      <c r="K301" s="1">
        <v>19.37</v>
      </c>
      <c r="L301" s="1">
        <v>6103.13</v>
      </c>
      <c r="M301" s="1">
        <v>1276.93</v>
      </c>
      <c r="N301" s="1" t="s">
        <v>2089</v>
      </c>
    </row>
    <row r="302" spans="1:14">
      <c r="A302" s="1" t="s">
        <v>314</v>
      </c>
      <c r="B302" s="2">
        <v>45401</v>
      </c>
      <c r="C302" s="1" t="s">
        <v>2022</v>
      </c>
      <c r="D302" s="1" t="s">
        <v>2029</v>
      </c>
      <c r="E302" s="1" t="s">
        <v>2046</v>
      </c>
      <c r="F302" s="1" t="s">
        <v>2054</v>
      </c>
      <c r="G302" s="1" t="s">
        <v>2063</v>
      </c>
      <c r="H302" s="1" t="s">
        <v>2087</v>
      </c>
      <c r="I302" s="1">
        <v>6</v>
      </c>
      <c r="J302" s="1">
        <v>67847.59</v>
      </c>
      <c r="K302" s="1">
        <v>15.93</v>
      </c>
      <c r="L302" s="1">
        <v>342236.81</v>
      </c>
      <c r="M302" s="1">
        <v>89129.02</v>
      </c>
      <c r="N302" s="1" t="s">
        <v>2091</v>
      </c>
    </row>
    <row r="303" spans="1:14">
      <c r="A303" s="1" t="s">
        <v>315</v>
      </c>
      <c r="B303" s="2">
        <v>45401</v>
      </c>
      <c r="C303" s="1" t="s">
        <v>2014</v>
      </c>
      <c r="D303" s="1" t="s">
        <v>2030</v>
      </c>
      <c r="E303" s="1" t="s">
        <v>2045</v>
      </c>
      <c r="F303" s="1" t="s">
        <v>2049</v>
      </c>
      <c r="G303" s="1" t="s">
        <v>2071</v>
      </c>
      <c r="H303" s="1" t="s">
        <v>2087</v>
      </c>
      <c r="I303" s="1">
        <v>2</v>
      </c>
      <c r="J303" s="1">
        <v>1482.49</v>
      </c>
      <c r="K303" s="1">
        <v>0.83</v>
      </c>
      <c r="L303" s="1">
        <v>2940.37</v>
      </c>
      <c r="M303" s="1">
        <v>518.57000000000005</v>
      </c>
      <c r="N303" s="1" t="s">
        <v>2089</v>
      </c>
    </row>
    <row r="304" spans="1:14">
      <c r="A304" s="1" t="s">
        <v>316</v>
      </c>
      <c r="B304" s="2">
        <v>45402</v>
      </c>
      <c r="C304" s="1" t="s">
        <v>2021</v>
      </c>
      <c r="D304" s="1" t="s">
        <v>2031</v>
      </c>
      <c r="E304" s="1" t="s">
        <v>2047</v>
      </c>
      <c r="F304" s="1" t="s">
        <v>2052</v>
      </c>
      <c r="G304" s="1" t="s">
        <v>2072</v>
      </c>
      <c r="H304" s="1" t="s">
        <v>2085</v>
      </c>
      <c r="I304" s="1">
        <v>10</v>
      </c>
      <c r="J304" s="1">
        <v>4075.26</v>
      </c>
      <c r="K304" s="1">
        <v>9.4</v>
      </c>
      <c r="L304" s="1">
        <v>36921.86</v>
      </c>
      <c r="M304" s="1">
        <v>3203.54</v>
      </c>
      <c r="N304" s="1" t="s">
        <v>2092</v>
      </c>
    </row>
    <row r="305" spans="1:14">
      <c r="A305" s="1" t="s">
        <v>317</v>
      </c>
      <c r="B305" s="2">
        <v>45402</v>
      </c>
      <c r="C305" s="1" t="s">
        <v>2026</v>
      </c>
      <c r="D305" s="1" t="s">
        <v>2032</v>
      </c>
      <c r="E305" s="1" t="s">
        <v>2046</v>
      </c>
      <c r="F305" s="1" t="s">
        <v>2053</v>
      </c>
      <c r="G305" s="1" t="s">
        <v>2076</v>
      </c>
      <c r="H305" s="1" t="s">
        <v>2085</v>
      </c>
      <c r="I305" s="1">
        <v>10</v>
      </c>
      <c r="J305" s="1">
        <v>999.53</v>
      </c>
      <c r="K305" s="1">
        <v>14.22</v>
      </c>
      <c r="L305" s="1">
        <v>8573.9699999999993</v>
      </c>
      <c r="M305" s="1">
        <v>1380.68</v>
      </c>
      <c r="N305" s="1" t="s">
        <v>2091</v>
      </c>
    </row>
    <row r="306" spans="1:14">
      <c r="A306" s="1" t="s">
        <v>318</v>
      </c>
      <c r="B306" s="2">
        <v>45403</v>
      </c>
      <c r="C306" s="1" t="s">
        <v>2021</v>
      </c>
      <c r="D306" s="1" t="s">
        <v>2033</v>
      </c>
      <c r="E306" s="1" t="s">
        <v>2045</v>
      </c>
      <c r="F306" s="1" t="s">
        <v>2053</v>
      </c>
      <c r="G306" s="1" t="s">
        <v>2076</v>
      </c>
      <c r="H306" s="1" t="s">
        <v>2085</v>
      </c>
      <c r="I306" s="1">
        <v>4</v>
      </c>
      <c r="J306" s="1">
        <v>174.25</v>
      </c>
      <c r="K306" s="1">
        <v>29.12</v>
      </c>
      <c r="L306" s="1">
        <v>494.03</v>
      </c>
      <c r="M306" s="1">
        <v>120.24</v>
      </c>
      <c r="N306" s="1" t="s">
        <v>2091</v>
      </c>
    </row>
    <row r="307" spans="1:14">
      <c r="A307" s="1" t="s">
        <v>319</v>
      </c>
      <c r="B307" s="2">
        <v>45403</v>
      </c>
      <c r="C307" s="1" t="s">
        <v>2026</v>
      </c>
      <c r="D307" s="1" t="s">
        <v>2034</v>
      </c>
      <c r="E307" s="1" t="s">
        <v>2045</v>
      </c>
      <c r="F307" s="1" t="s">
        <v>2053</v>
      </c>
      <c r="G307" s="1" t="s">
        <v>2062</v>
      </c>
      <c r="H307" s="1" t="s">
        <v>2086</v>
      </c>
      <c r="I307" s="1">
        <v>6</v>
      </c>
      <c r="J307" s="1">
        <v>692.58</v>
      </c>
      <c r="K307" s="1">
        <v>25.16</v>
      </c>
      <c r="L307" s="1">
        <v>3109.96</v>
      </c>
      <c r="M307" s="1">
        <v>432.43</v>
      </c>
      <c r="N307" s="1" t="s">
        <v>2092</v>
      </c>
    </row>
    <row r="308" spans="1:14">
      <c r="A308" s="1" t="s">
        <v>320</v>
      </c>
      <c r="B308" s="2">
        <v>45403</v>
      </c>
      <c r="C308" s="1" t="s">
        <v>2015</v>
      </c>
      <c r="D308" s="1" t="s">
        <v>2035</v>
      </c>
      <c r="E308" s="1" t="s">
        <v>2045</v>
      </c>
      <c r="F308" s="1" t="s">
        <v>2054</v>
      </c>
      <c r="G308" s="1" t="s">
        <v>2066</v>
      </c>
      <c r="H308" s="1" t="s">
        <v>2086</v>
      </c>
      <c r="I308" s="1">
        <v>5</v>
      </c>
      <c r="J308" s="1">
        <v>77330.179999999993</v>
      </c>
      <c r="K308" s="1">
        <v>16.73</v>
      </c>
      <c r="L308" s="1">
        <v>321964.2</v>
      </c>
      <c r="M308" s="1">
        <v>44050.9</v>
      </c>
      <c r="N308" s="1" t="s">
        <v>2090</v>
      </c>
    </row>
    <row r="309" spans="1:14">
      <c r="A309" s="1" t="s">
        <v>321</v>
      </c>
      <c r="B309" s="2">
        <v>45404</v>
      </c>
      <c r="C309" s="1" t="s">
        <v>2022</v>
      </c>
      <c r="D309" s="1" t="s">
        <v>2036</v>
      </c>
      <c r="E309" s="1" t="s">
        <v>2048</v>
      </c>
      <c r="F309" s="1" t="s">
        <v>2051</v>
      </c>
      <c r="G309" s="1" t="s">
        <v>2080</v>
      </c>
      <c r="H309" s="1" t="s">
        <v>2087</v>
      </c>
      <c r="I309" s="1">
        <v>4</v>
      </c>
      <c r="J309" s="1">
        <v>16669.37</v>
      </c>
      <c r="K309" s="1">
        <v>29.82</v>
      </c>
      <c r="L309" s="1">
        <v>46794.26</v>
      </c>
      <c r="M309" s="1">
        <v>12638.13</v>
      </c>
      <c r="N309" s="1" t="s">
        <v>2089</v>
      </c>
    </row>
    <row r="310" spans="1:14">
      <c r="A310" s="1" t="s">
        <v>322</v>
      </c>
      <c r="B310" s="2">
        <v>45404</v>
      </c>
      <c r="C310" s="1" t="s">
        <v>2020</v>
      </c>
      <c r="D310" s="1" t="s">
        <v>2037</v>
      </c>
      <c r="E310" s="1" t="s">
        <v>2044</v>
      </c>
      <c r="F310" s="1" t="s">
        <v>2053</v>
      </c>
      <c r="G310" s="1" t="s">
        <v>2076</v>
      </c>
      <c r="H310" s="1" t="s">
        <v>2085</v>
      </c>
      <c r="I310" s="1">
        <v>8</v>
      </c>
      <c r="J310" s="1">
        <v>194.7</v>
      </c>
      <c r="K310" s="1">
        <v>14.27</v>
      </c>
      <c r="L310" s="1">
        <v>1335.33</v>
      </c>
      <c r="M310" s="1">
        <v>248.05</v>
      </c>
      <c r="N310" s="1" t="s">
        <v>2092</v>
      </c>
    </row>
    <row r="311" spans="1:14">
      <c r="A311" s="1" t="s">
        <v>323</v>
      </c>
      <c r="B311" s="2">
        <v>45404</v>
      </c>
      <c r="C311" s="1" t="s">
        <v>2023</v>
      </c>
      <c r="D311" s="1" t="s">
        <v>2038</v>
      </c>
      <c r="E311" s="1" t="s">
        <v>2046</v>
      </c>
      <c r="F311" s="1" t="s">
        <v>2050</v>
      </c>
      <c r="G311" s="1" t="s">
        <v>2056</v>
      </c>
      <c r="H311" s="1" t="s">
        <v>2085</v>
      </c>
      <c r="I311" s="1">
        <v>6</v>
      </c>
      <c r="J311" s="1">
        <v>1306.02</v>
      </c>
      <c r="K311" s="1">
        <v>23.72</v>
      </c>
      <c r="L311" s="1">
        <v>5977.39</v>
      </c>
      <c r="M311" s="1">
        <v>485.4</v>
      </c>
      <c r="N311" s="1" t="s">
        <v>2092</v>
      </c>
    </row>
    <row r="312" spans="1:14">
      <c r="A312" s="1" t="s">
        <v>324</v>
      </c>
      <c r="B312" s="2">
        <v>45405</v>
      </c>
      <c r="C312" s="1" t="s">
        <v>2018</v>
      </c>
      <c r="D312" s="1" t="s">
        <v>2039</v>
      </c>
      <c r="E312" s="1" t="s">
        <v>2047</v>
      </c>
      <c r="F312" s="1" t="s">
        <v>2049</v>
      </c>
      <c r="G312" s="1" t="s">
        <v>2071</v>
      </c>
      <c r="H312" s="1" t="s">
        <v>2087</v>
      </c>
      <c r="I312" s="1">
        <v>3</v>
      </c>
      <c r="J312" s="1">
        <v>1414.89</v>
      </c>
      <c r="K312" s="1">
        <v>29.43</v>
      </c>
      <c r="L312" s="1">
        <v>2995.46</v>
      </c>
      <c r="M312" s="1">
        <v>511.78</v>
      </c>
      <c r="N312" s="1" t="s">
        <v>2089</v>
      </c>
    </row>
    <row r="313" spans="1:14">
      <c r="A313" s="1" t="s">
        <v>325</v>
      </c>
      <c r="B313" s="2">
        <v>45405</v>
      </c>
      <c r="C313" s="1" t="s">
        <v>2014</v>
      </c>
      <c r="D313" s="1" t="s">
        <v>2040</v>
      </c>
      <c r="E313" s="1" t="s">
        <v>2047</v>
      </c>
      <c r="F313" s="1" t="s">
        <v>2054</v>
      </c>
      <c r="G313" s="1" t="s">
        <v>2068</v>
      </c>
      <c r="H313" s="1" t="s">
        <v>2086</v>
      </c>
      <c r="I313" s="1">
        <v>9</v>
      </c>
      <c r="J313" s="1">
        <v>29300.31</v>
      </c>
      <c r="K313" s="1">
        <v>21.77</v>
      </c>
      <c r="L313" s="1">
        <v>206294.69</v>
      </c>
      <c r="M313" s="1">
        <v>56444.94</v>
      </c>
      <c r="N313" s="1" t="s">
        <v>2088</v>
      </c>
    </row>
    <row r="314" spans="1:14">
      <c r="A314" s="1" t="s">
        <v>326</v>
      </c>
      <c r="B314" s="2">
        <v>45405</v>
      </c>
      <c r="C314" s="1" t="s">
        <v>2023</v>
      </c>
      <c r="D314" s="1" t="s">
        <v>2041</v>
      </c>
      <c r="E314" s="1" t="s">
        <v>2044</v>
      </c>
      <c r="F314" s="1" t="s">
        <v>2053</v>
      </c>
      <c r="G314" s="1" t="s">
        <v>2060</v>
      </c>
      <c r="H314" s="1" t="s">
        <v>2086</v>
      </c>
      <c r="I314" s="1">
        <v>9</v>
      </c>
      <c r="J314" s="1">
        <v>242.73</v>
      </c>
      <c r="K314" s="1">
        <v>0.1</v>
      </c>
      <c r="L314" s="1">
        <v>2182.39</v>
      </c>
      <c r="M314" s="1">
        <v>458.41</v>
      </c>
      <c r="N314" s="1" t="s">
        <v>2089</v>
      </c>
    </row>
    <row r="315" spans="1:14">
      <c r="A315" s="1" t="s">
        <v>327</v>
      </c>
      <c r="B315" s="2">
        <v>45406</v>
      </c>
      <c r="C315" s="1" t="s">
        <v>2014</v>
      </c>
      <c r="D315" s="1" t="s">
        <v>2042</v>
      </c>
      <c r="E315" s="1" t="s">
        <v>2044</v>
      </c>
      <c r="F315" s="1" t="s">
        <v>2050</v>
      </c>
      <c r="G315" s="1" t="s">
        <v>2056</v>
      </c>
      <c r="H315" s="1" t="s">
        <v>2087</v>
      </c>
      <c r="I315" s="1">
        <v>7</v>
      </c>
      <c r="J315" s="1">
        <v>447.19</v>
      </c>
      <c r="K315" s="1">
        <v>14.31</v>
      </c>
      <c r="L315" s="1">
        <v>2682.38</v>
      </c>
      <c r="M315" s="1">
        <v>595.29999999999995</v>
      </c>
      <c r="N315" s="1" t="s">
        <v>2092</v>
      </c>
    </row>
    <row r="316" spans="1:14">
      <c r="A316" s="1" t="s">
        <v>328</v>
      </c>
      <c r="B316" s="2">
        <v>45406</v>
      </c>
      <c r="C316" s="1" t="s">
        <v>2024</v>
      </c>
      <c r="D316" s="1" t="s">
        <v>2043</v>
      </c>
      <c r="E316" s="1" t="s">
        <v>2044</v>
      </c>
      <c r="F316" s="1" t="s">
        <v>2051</v>
      </c>
      <c r="G316" s="1" t="s">
        <v>2057</v>
      </c>
      <c r="H316" s="1" t="s">
        <v>2086</v>
      </c>
      <c r="I316" s="1">
        <v>2</v>
      </c>
      <c r="J316" s="1">
        <v>14002.89</v>
      </c>
      <c r="K316" s="1">
        <v>21.99</v>
      </c>
      <c r="L316" s="1">
        <v>21847.31</v>
      </c>
      <c r="M316" s="1">
        <v>3979.37</v>
      </c>
      <c r="N316" s="1" t="s">
        <v>2092</v>
      </c>
    </row>
    <row r="317" spans="1:14">
      <c r="A317" s="1" t="s">
        <v>329</v>
      </c>
      <c r="B317" s="2">
        <v>45407</v>
      </c>
      <c r="C317" s="1" t="s">
        <v>2028</v>
      </c>
      <c r="D317" s="1" t="s">
        <v>2029</v>
      </c>
      <c r="E317" s="1" t="s">
        <v>2045</v>
      </c>
      <c r="F317" s="1" t="s">
        <v>2051</v>
      </c>
      <c r="G317" s="1" t="s">
        <v>2077</v>
      </c>
      <c r="H317" s="1" t="s">
        <v>2085</v>
      </c>
      <c r="I317" s="1">
        <v>8</v>
      </c>
      <c r="J317" s="1">
        <v>12490.16</v>
      </c>
      <c r="K317" s="1">
        <v>0.43</v>
      </c>
      <c r="L317" s="1">
        <v>99491.62</v>
      </c>
      <c r="M317" s="1">
        <v>23327.54</v>
      </c>
      <c r="N317" s="1" t="s">
        <v>2090</v>
      </c>
    </row>
    <row r="318" spans="1:14">
      <c r="A318" s="1" t="s">
        <v>330</v>
      </c>
      <c r="B318" s="2">
        <v>45407</v>
      </c>
      <c r="C318" s="1" t="s">
        <v>2022</v>
      </c>
      <c r="D318" s="1" t="s">
        <v>2030</v>
      </c>
      <c r="E318" s="1" t="s">
        <v>2048</v>
      </c>
      <c r="F318" s="1" t="s">
        <v>2053</v>
      </c>
      <c r="G318" s="1" t="s">
        <v>2076</v>
      </c>
      <c r="H318" s="1" t="s">
        <v>2087</v>
      </c>
      <c r="I318" s="1">
        <v>9</v>
      </c>
      <c r="J318" s="1">
        <v>1938.68</v>
      </c>
      <c r="K318" s="1">
        <v>25.38</v>
      </c>
      <c r="L318" s="1">
        <v>13019.79</v>
      </c>
      <c r="M318" s="1">
        <v>2648.24</v>
      </c>
      <c r="N318" s="1" t="s">
        <v>2088</v>
      </c>
    </row>
    <row r="319" spans="1:14">
      <c r="A319" s="1" t="s">
        <v>331</v>
      </c>
      <c r="B319" s="2">
        <v>45407</v>
      </c>
      <c r="C319" s="1" t="s">
        <v>2026</v>
      </c>
      <c r="D319" s="1" t="s">
        <v>2031</v>
      </c>
      <c r="E319" s="1" t="s">
        <v>2045</v>
      </c>
      <c r="F319" s="1" t="s">
        <v>2052</v>
      </c>
      <c r="G319" s="1" t="s">
        <v>2072</v>
      </c>
      <c r="H319" s="1" t="s">
        <v>2085</v>
      </c>
      <c r="I319" s="1">
        <v>3</v>
      </c>
      <c r="J319" s="1">
        <v>5581.48</v>
      </c>
      <c r="K319" s="1">
        <v>18.96</v>
      </c>
      <c r="L319" s="1">
        <v>13569.69</v>
      </c>
      <c r="M319" s="1">
        <v>2636.05</v>
      </c>
      <c r="N319" s="1" t="s">
        <v>2089</v>
      </c>
    </row>
    <row r="320" spans="1:14">
      <c r="A320" s="1" t="s">
        <v>332</v>
      </c>
      <c r="B320" s="2">
        <v>45408</v>
      </c>
      <c r="C320" s="1" t="s">
        <v>2018</v>
      </c>
      <c r="D320" s="1" t="s">
        <v>2032</v>
      </c>
      <c r="E320" s="1" t="s">
        <v>2046</v>
      </c>
      <c r="F320" s="1" t="s">
        <v>2050</v>
      </c>
      <c r="G320" s="1" t="s">
        <v>2075</v>
      </c>
      <c r="H320" s="1" t="s">
        <v>2087</v>
      </c>
      <c r="I320" s="1">
        <v>8</v>
      </c>
      <c r="J320" s="1">
        <v>1169.57</v>
      </c>
      <c r="K320" s="1">
        <v>25.26</v>
      </c>
      <c r="L320" s="1">
        <v>6993.09</v>
      </c>
      <c r="M320" s="1">
        <v>773.14</v>
      </c>
      <c r="N320" s="1" t="s">
        <v>2092</v>
      </c>
    </row>
    <row r="321" spans="1:14">
      <c r="A321" s="1" t="s">
        <v>333</v>
      </c>
      <c r="B321" s="2">
        <v>45408</v>
      </c>
      <c r="C321" s="1" t="s">
        <v>2022</v>
      </c>
      <c r="D321" s="1" t="s">
        <v>2033</v>
      </c>
      <c r="E321" s="1" t="s">
        <v>2044</v>
      </c>
      <c r="F321" s="1" t="s">
        <v>2051</v>
      </c>
      <c r="G321" s="1" t="s">
        <v>2057</v>
      </c>
      <c r="H321" s="1" t="s">
        <v>2087</v>
      </c>
      <c r="I321" s="1">
        <v>8</v>
      </c>
      <c r="J321" s="1">
        <v>12516.33</v>
      </c>
      <c r="K321" s="1">
        <v>6.97</v>
      </c>
      <c r="L321" s="1">
        <v>93151.53</v>
      </c>
      <c r="M321" s="1">
        <v>11201.58</v>
      </c>
      <c r="N321" s="1" t="s">
        <v>2090</v>
      </c>
    </row>
    <row r="322" spans="1:14">
      <c r="A322" s="1" t="s">
        <v>334</v>
      </c>
      <c r="B322" s="2">
        <v>45408</v>
      </c>
      <c r="C322" s="1" t="s">
        <v>2021</v>
      </c>
      <c r="D322" s="1" t="s">
        <v>2034</v>
      </c>
      <c r="E322" s="1" t="s">
        <v>2044</v>
      </c>
      <c r="F322" s="1" t="s">
        <v>2053</v>
      </c>
      <c r="G322" s="1" t="s">
        <v>2073</v>
      </c>
      <c r="H322" s="1" t="s">
        <v>2085</v>
      </c>
      <c r="I322" s="1">
        <v>1</v>
      </c>
      <c r="J322" s="1">
        <v>1637.14</v>
      </c>
      <c r="K322" s="1">
        <v>29.37</v>
      </c>
      <c r="L322" s="1">
        <v>1156.31</v>
      </c>
      <c r="M322" s="1">
        <v>232.27</v>
      </c>
      <c r="N322" s="1" t="s">
        <v>2091</v>
      </c>
    </row>
    <row r="323" spans="1:14">
      <c r="A323" s="1" t="s">
        <v>335</v>
      </c>
      <c r="B323" s="2">
        <v>45409</v>
      </c>
      <c r="C323" s="1" t="s">
        <v>2022</v>
      </c>
      <c r="D323" s="1" t="s">
        <v>2035</v>
      </c>
      <c r="E323" s="1" t="s">
        <v>2046</v>
      </c>
      <c r="F323" s="1" t="s">
        <v>2052</v>
      </c>
      <c r="G323" s="1" t="s">
        <v>2083</v>
      </c>
      <c r="H323" s="1" t="s">
        <v>2087</v>
      </c>
      <c r="I323" s="1">
        <v>7</v>
      </c>
      <c r="J323" s="1">
        <v>5130.22</v>
      </c>
      <c r="K323" s="1">
        <v>13.48</v>
      </c>
      <c r="L323" s="1">
        <v>31070.66</v>
      </c>
      <c r="M323" s="1">
        <v>6104.33</v>
      </c>
      <c r="N323" s="1" t="s">
        <v>2092</v>
      </c>
    </row>
    <row r="324" spans="1:14">
      <c r="A324" s="1" t="s">
        <v>336</v>
      </c>
      <c r="B324" s="2">
        <v>45409</v>
      </c>
      <c r="C324" s="1" t="s">
        <v>2019</v>
      </c>
      <c r="D324" s="1" t="s">
        <v>2036</v>
      </c>
      <c r="E324" s="1" t="s">
        <v>2044</v>
      </c>
      <c r="F324" s="1" t="s">
        <v>2049</v>
      </c>
      <c r="G324" s="1" t="s">
        <v>2058</v>
      </c>
      <c r="H324" s="1" t="s">
        <v>2086</v>
      </c>
      <c r="I324" s="1">
        <v>5</v>
      </c>
      <c r="J324" s="1">
        <v>2421.6799999999998</v>
      </c>
      <c r="K324" s="1">
        <v>16.579999999999998</v>
      </c>
      <c r="L324" s="1">
        <v>10100.83</v>
      </c>
      <c r="M324" s="1">
        <v>1818.58</v>
      </c>
      <c r="N324" s="1" t="s">
        <v>2092</v>
      </c>
    </row>
    <row r="325" spans="1:14">
      <c r="A325" s="1" t="s">
        <v>337</v>
      </c>
      <c r="B325" s="2">
        <v>45409</v>
      </c>
      <c r="C325" s="1" t="s">
        <v>2023</v>
      </c>
      <c r="D325" s="1" t="s">
        <v>2037</v>
      </c>
      <c r="E325" s="1" t="s">
        <v>2048</v>
      </c>
      <c r="F325" s="1" t="s">
        <v>2049</v>
      </c>
      <c r="G325" s="1" t="s">
        <v>2082</v>
      </c>
      <c r="H325" s="1" t="s">
        <v>2086</v>
      </c>
      <c r="I325" s="1">
        <v>2</v>
      </c>
      <c r="J325" s="1">
        <v>2480.15</v>
      </c>
      <c r="K325" s="1">
        <v>21.65</v>
      </c>
      <c r="L325" s="1">
        <v>3886.4</v>
      </c>
      <c r="M325" s="1">
        <v>458.16</v>
      </c>
      <c r="N325" s="1" t="s">
        <v>2091</v>
      </c>
    </row>
    <row r="326" spans="1:14">
      <c r="A326" s="1" t="s">
        <v>338</v>
      </c>
      <c r="B326" s="2">
        <v>45410</v>
      </c>
      <c r="C326" s="1" t="s">
        <v>2022</v>
      </c>
      <c r="D326" s="1" t="s">
        <v>2038</v>
      </c>
      <c r="E326" s="1" t="s">
        <v>2047</v>
      </c>
      <c r="F326" s="1" t="s">
        <v>2051</v>
      </c>
      <c r="G326" s="1" t="s">
        <v>2057</v>
      </c>
      <c r="H326" s="1" t="s">
        <v>2085</v>
      </c>
      <c r="I326" s="1">
        <v>10</v>
      </c>
      <c r="J326" s="1">
        <v>28886.51</v>
      </c>
      <c r="K326" s="1">
        <v>17.8</v>
      </c>
      <c r="L326" s="1">
        <v>237447.11</v>
      </c>
      <c r="M326" s="1">
        <v>65044.29</v>
      </c>
      <c r="N326" s="1" t="s">
        <v>2090</v>
      </c>
    </row>
    <row r="327" spans="1:14">
      <c r="A327" s="1" t="s">
        <v>339</v>
      </c>
      <c r="B327" s="2">
        <v>45410</v>
      </c>
      <c r="C327" s="1" t="s">
        <v>2015</v>
      </c>
      <c r="D327" s="1" t="s">
        <v>2039</v>
      </c>
      <c r="E327" s="1" t="s">
        <v>2046</v>
      </c>
      <c r="F327" s="1" t="s">
        <v>2049</v>
      </c>
      <c r="G327" s="1" t="s">
        <v>2071</v>
      </c>
      <c r="H327" s="1" t="s">
        <v>2087</v>
      </c>
      <c r="I327" s="1">
        <v>9</v>
      </c>
      <c r="J327" s="1">
        <v>1112.69</v>
      </c>
      <c r="K327" s="1">
        <v>8.11</v>
      </c>
      <c r="L327" s="1">
        <v>9202.06</v>
      </c>
      <c r="M327" s="1">
        <v>2398.77</v>
      </c>
      <c r="N327" s="1" t="s">
        <v>2089</v>
      </c>
    </row>
    <row r="328" spans="1:14">
      <c r="A328" s="1" t="s">
        <v>340</v>
      </c>
      <c r="B328" s="2">
        <v>45411</v>
      </c>
      <c r="C328" s="1" t="s">
        <v>2023</v>
      </c>
      <c r="D328" s="1" t="s">
        <v>2040</v>
      </c>
      <c r="E328" s="1" t="s">
        <v>2047</v>
      </c>
      <c r="F328" s="1" t="s">
        <v>2053</v>
      </c>
      <c r="G328" s="1" t="s">
        <v>2060</v>
      </c>
      <c r="H328" s="1" t="s">
        <v>2086</v>
      </c>
      <c r="I328" s="1">
        <v>1</v>
      </c>
      <c r="J328" s="1">
        <v>1005.55</v>
      </c>
      <c r="K328" s="1">
        <v>28.09</v>
      </c>
      <c r="L328" s="1">
        <v>723.09</v>
      </c>
      <c r="M328" s="1">
        <v>158.19999999999999</v>
      </c>
      <c r="N328" s="1" t="s">
        <v>2092</v>
      </c>
    </row>
    <row r="329" spans="1:14">
      <c r="A329" s="1" t="s">
        <v>341</v>
      </c>
      <c r="B329" s="2">
        <v>45411</v>
      </c>
      <c r="C329" s="1" t="s">
        <v>2021</v>
      </c>
      <c r="D329" s="1" t="s">
        <v>2041</v>
      </c>
      <c r="E329" s="1" t="s">
        <v>2044</v>
      </c>
      <c r="F329" s="1" t="s">
        <v>2053</v>
      </c>
      <c r="G329" s="1" t="s">
        <v>2073</v>
      </c>
      <c r="H329" s="1" t="s">
        <v>2085</v>
      </c>
      <c r="I329" s="1">
        <v>9</v>
      </c>
      <c r="J329" s="1">
        <v>1789.26</v>
      </c>
      <c r="K329" s="1">
        <v>0.13</v>
      </c>
      <c r="L329" s="1">
        <v>16082.41</v>
      </c>
      <c r="M329" s="1">
        <v>1475.37</v>
      </c>
      <c r="N329" s="1" t="s">
        <v>2090</v>
      </c>
    </row>
    <row r="330" spans="1:14">
      <c r="A330" s="1" t="s">
        <v>342</v>
      </c>
      <c r="B330" s="2">
        <v>45411</v>
      </c>
      <c r="C330" s="1" t="s">
        <v>2025</v>
      </c>
      <c r="D330" s="1" t="s">
        <v>2042</v>
      </c>
      <c r="E330" s="1" t="s">
        <v>2044</v>
      </c>
      <c r="F330" s="1" t="s">
        <v>2054</v>
      </c>
      <c r="G330" s="1" t="s">
        <v>2079</v>
      </c>
      <c r="H330" s="1" t="s">
        <v>2086</v>
      </c>
      <c r="I330" s="1">
        <v>1</v>
      </c>
      <c r="J330" s="1">
        <v>54250.6</v>
      </c>
      <c r="K330" s="1">
        <v>28.32</v>
      </c>
      <c r="L330" s="1">
        <v>38886.83</v>
      </c>
      <c r="M330" s="1">
        <v>4559.17</v>
      </c>
      <c r="N330" s="1" t="s">
        <v>2088</v>
      </c>
    </row>
    <row r="331" spans="1:14">
      <c r="A331" s="1" t="s">
        <v>343</v>
      </c>
      <c r="B331" s="2">
        <v>45412</v>
      </c>
      <c r="C331" s="1" t="s">
        <v>2028</v>
      </c>
      <c r="D331" s="1" t="s">
        <v>2043</v>
      </c>
      <c r="E331" s="1" t="s">
        <v>2044</v>
      </c>
      <c r="F331" s="1" t="s">
        <v>2053</v>
      </c>
      <c r="G331" s="1" t="s">
        <v>2062</v>
      </c>
      <c r="H331" s="1" t="s">
        <v>2086</v>
      </c>
      <c r="I331" s="1">
        <v>1</v>
      </c>
      <c r="J331" s="1">
        <v>964.12</v>
      </c>
      <c r="K331" s="1">
        <v>28.7</v>
      </c>
      <c r="L331" s="1">
        <v>687.42</v>
      </c>
      <c r="M331" s="1">
        <v>120.37</v>
      </c>
      <c r="N331" s="1" t="s">
        <v>2092</v>
      </c>
    </row>
    <row r="332" spans="1:14">
      <c r="A332" s="1" t="s">
        <v>344</v>
      </c>
      <c r="B332" s="2">
        <v>45412</v>
      </c>
      <c r="C332" s="1" t="s">
        <v>2019</v>
      </c>
      <c r="D332" s="1" t="s">
        <v>2029</v>
      </c>
      <c r="E332" s="1" t="s">
        <v>2046</v>
      </c>
      <c r="F332" s="1" t="s">
        <v>2052</v>
      </c>
      <c r="G332" s="1" t="s">
        <v>2072</v>
      </c>
      <c r="H332" s="1" t="s">
        <v>2086</v>
      </c>
      <c r="I332" s="1">
        <v>9</v>
      </c>
      <c r="J332" s="1">
        <v>713.08</v>
      </c>
      <c r="K332" s="1">
        <v>23.03</v>
      </c>
      <c r="L332" s="1">
        <v>4939.72</v>
      </c>
      <c r="M332" s="1">
        <v>761.34</v>
      </c>
      <c r="N332" s="1" t="s">
        <v>2092</v>
      </c>
    </row>
    <row r="333" spans="1:14">
      <c r="A333" s="1" t="s">
        <v>345</v>
      </c>
      <c r="B333" s="2">
        <v>45412</v>
      </c>
      <c r="C333" s="1" t="s">
        <v>2019</v>
      </c>
      <c r="D333" s="1" t="s">
        <v>2030</v>
      </c>
      <c r="E333" s="1" t="s">
        <v>2045</v>
      </c>
      <c r="F333" s="1" t="s">
        <v>2054</v>
      </c>
      <c r="G333" s="1" t="s">
        <v>2063</v>
      </c>
      <c r="H333" s="1" t="s">
        <v>2085</v>
      </c>
      <c r="I333" s="1">
        <v>6</v>
      </c>
      <c r="J333" s="1">
        <v>38046.400000000001</v>
      </c>
      <c r="K333" s="1">
        <v>26.4</v>
      </c>
      <c r="L333" s="1">
        <v>168012.9</v>
      </c>
      <c r="M333" s="1">
        <v>17462.45</v>
      </c>
      <c r="N333" s="1" t="s">
        <v>2092</v>
      </c>
    </row>
    <row r="334" spans="1:14">
      <c r="A334" s="1" t="s">
        <v>346</v>
      </c>
      <c r="B334" s="2">
        <v>45413</v>
      </c>
      <c r="C334" s="1" t="s">
        <v>2015</v>
      </c>
      <c r="D334" s="1" t="s">
        <v>2031</v>
      </c>
      <c r="E334" s="1" t="s">
        <v>2048</v>
      </c>
      <c r="F334" s="1" t="s">
        <v>2054</v>
      </c>
      <c r="G334" s="1" t="s">
        <v>2079</v>
      </c>
      <c r="H334" s="1" t="s">
        <v>2085</v>
      </c>
      <c r="I334" s="1">
        <v>2</v>
      </c>
      <c r="J334" s="1">
        <v>59099.18</v>
      </c>
      <c r="K334" s="1">
        <v>29.24</v>
      </c>
      <c r="L334" s="1">
        <v>83637.16</v>
      </c>
      <c r="M334" s="1">
        <v>5273.29</v>
      </c>
      <c r="N334" s="1" t="s">
        <v>2088</v>
      </c>
    </row>
    <row r="335" spans="1:14">
      <c r="A335" s="1" t="s">
        <v>347</v>
      </c>
      <c r="B335" s="2">
        <v>45413</v>
      </c>
      <c r="C335" s="1" t="s">
        <v>2017</v>
      </c>
      <c r="D335" s="1" t="s">
        <v>2032</v>
      </c>
      <c r="E335" s="1" t="s">
        <v>2045</v>
      </c>
      <c r="F335" s="1" t="s">
        <v>2050</v>
      </c>
      <c r="G335" s="1" t="s">
        <v>2064</v>
      </c>
      <c r="H335" s="1" t="s">
        <v>2087</v>
      </c>
      <c r="I335" s="1">
        <v>9</v>
      </c>
      <c r="J335" s="1">
        <v>6639.48</v>
      </c>
      <c r="K335" s="1">
        <v>23.46</v>
      </c>
      <c r="L335" s="1">
        <v>45736.72</v>
      </c>
      <c r="M335" s="1">
        <v>8504.81</v>
      </c>
      <c r="N335" s="1" t="s">
        <v>2090</v>
      </c>
    </row>
    <row r="336" spans="1:14">
      <c r="A336" s="1" t="s">
        <v>348</v>
      </c>
      <c r="B336" s="2">
        <v>45413</v>
      </c>
      <c r="C336" s="1" t="s">
        <v>2020</v>
      </c>
      <c r="D336" s="1" t="s">
        <v>2033</v>
      </c>
      <c r="E336" s="1" t="s">
        <v>2048</v>
      </c>
      <c r="F336" s="1" t="s">
        <v>2053</v>
      </c>
      <c r="G336" s="1" t="s">
        <v>2062</v>
      </c>
      <c r="H336" s="1" t="s">
        <v>2087</v>
      </c>
      <c r="I336" s="1">
        <v>6</v>
      </c>
      <c r="J336" s="1">
        <v>1802.52</v>
      </c>
      <c r="K336" s="1">
        <v>28.47</v>
      </c>
      <c r="L336" s="1">
        <v>7736.06</v>
      </c>
      <c r="M336" s="1">
        <v>447.57</v>
      </c>
      <c r="N336" s="1" t="s">
        <v>2088</v>
      </c>
    </row>
    <row r="337" spans="1:14">
      <c r="A337" s="1" t="s">
        <v>349</v>
      </c>
      <c r="B337" s="2">
        <v>45414</v>
      </c>
      <c r="C337" s="1" t="s">
        <v>2025</v>
      </c>
      <c r="D337" s="1" t="s">
        <v>2034</v>
      </c>
      <c r="E337" s="1" t="s">
        <v>2046</v>
      </c>
      <c r="F337" s="1" t="s">
        <v>2053</v>
      </c>
      <c r="G337" s="1" t="s">
        <v>2060</v>
      </c>
      <c r="H337" s="1" t="s">
        <v>2086</v>
      </c>
      <c r="I337" s="1">
        <v>9</v>
      </c>
      <c r="J337" s="1">
        <v>2412.4</v>
      </c>
      <c r="K337" s="1">
        <v>15.57</v>
      </c>
      <c r="L337" s="1">
        <v>18331.099999999999</v>
      </c>
      <c r="M337" s="1">
        <v>4021.58</v>
      </c>
      <c r="N337" s="1" t="s">
        <v>2091</v>
      </c>
    </row>
    <row r="338" spans="1:14">
      <c r="A338" s="1" t="s">
        <v>350</v>
      </c>
      <c r="B338" s="2">
        <v>45414</v>
      </c>
      <c r="C338" s="1" t="s">
        <v>2026</v>
      </c>
      <c r="D338" s="1" t="s">
        <v>2035</v>
      </c>
      <c r="E338" s="1" t="s">
        <v>2045</v>
      </c>
      <c r="F338" s="1" t="s">
        <v>2049</v>
      </c>
      <c r="G338" s="1" t="s">
        <v>2082</v>
      </c>
      <c r="H338" s="1" t="s">
        <v>2087</v>
      </c>
      <c r="I338" s="1">
        <v>6</v>
      </c>
      <c r="J338" s="1">
        <v>100</v>
      </c>
      <c r="K338" s="1">
        <v>23.1</v>
      </c>
      <c r="L338" s="1">
        <v>461.4</v>
      </c>
      <c r="M338" s="1">
        <v>116.18</v>
      </c>
      <c r="N338" s="1" t="s">
        <v>2090</v>
      </c>
    </row>
    <row r="339" spans="1:14">
      <c r="A339" s="1" t="s">
        <v>351</v>
      </c>
      <c r="B339" s="2">
        <v>45415</v>
      </c>
      <c r="C339" s="1" t="s">
        <v>2014</v>
      </c>
      <c r="D339" s="1" t="s">
        <v>2036</v>
      </c>
      <c r="E339" s="1" t="s">
        <v>2045</v>
      </c>
      <c r="F339" s="1" t="s">
        <v>2054</v>
      </c>
      <c r="G339" s="1" t="s">
        <v>2063</v>
      </c>
      <c r="H339" s="1" t="s">
        <v>2085</v>
      </c>
      <c r="I339" s="1">
        <v>7</v>
      </c>
      <c r="J339" s="1">
        <v>41677.86</v>
      </c>
      <c r="K339" s="1">
        <v>10.44</v>
      </c>
      <c r="L339" s="1">
        <v>261286.84</v>
      </c>
      <c r="M339" s="1">
        <v>37346.99</v>
      </c>
      <c r="N339" s="1" t="s">
        <v>2088</v>
      </c>
    </row>
    <row r="340" spans="1:14">
      <c r="A340" s="1" t="s">
        <v>352</v>
      </c>
      <c r="B340" s="2">
        <v>45415</v>
      </c>
      <c r="C340" s="1" t="s">
        <v>2018</v>
      </c>
      <c r="D340" s="1" t="s">
        <v>2037</v>
      </c>
      <c r="E340" s="1" t="s">
        <v>2044</v>
      </c>
      <c r="F340" s="1" t="s">
        <v>2050</v>
      </c>
      <c r="G340" s="1" t="s">
        <v>2084</v>
      </c>
      <c r="H340" s="1" t="s">
        <v>2086</v>
      </c>
      <c r="I340" s="1">
        <v>8</v>
      </c>
      <c r="J340" s="1">
        <v>6330.63</v>
      </c>
      <c r="K340" s="1">
        <v>23.41</v>
      </c>
      <c r="L340" s="1">
        <v>38789.040000000001</v>
      </c>
      <c r="M340" s="1">
        <v>6380.76</v>
      </c>
      <c r="N340" s="1" t="s">
        <v>2090</v>
      </c>
    </row>
    <row r="341" spans="1:14">
      <c r="A341" s="1" t="s">
        <v>353</v>
      </c>
      <c r="B341" s="2">
        <v>45415</v>
      </c>
      <c r="C341" s="1" t="s">
        <v>2015</v>
      </c>
      <c r="D341" s="1" t="s">
        <v>2038</v>
      </c>
      <c r="E341" s="1" t="s">
        <v>2047</v>
      </c>
      <c r="F341" s="1" t="s">
        <v>2054</v>
      </c>
      <c r="G341" s="1" t="s">
        <v>2066</v>
      </c>
      <c r="H341" s="1" t="s">
        <v>2087</v>
      </c>
      <c r="I341" s="1">
        <v>2</v>
      </c>
      <c r="J341" s="1">
        <v>48461.7</v>
      </c>
      <c r="K341" s="1">
        <v>14.2</v>
      </c>
      <c r="L341" s="1">
        <v>83160.28</v>
      </c>
      <c r="M341" s="1">
        <v>5399.52</v>
      </c>
      <c r="N341" s="1" t="s">
        <v>2091</v>
      </c>
    </row>
    <row r="342" spans="1:14">
      <c r="A342" s="1" t="s">
        <v>354</v>
      </c>
      <c r="B342" s="2">
        <v>45416</v>
      </c>
      <c r="C342" s="1" t="s">
        <v>2023</v>
      </c>
      <c r="D342" s="1" t="s">
        <v>2039</v>
      </c>
      <c r="E342" s="1" t="s">
        <v>2044</v>
      </c>
      <c r="F342" s="1" t="s">
        <v>2053</v>
      </c>
      <c r="G342" s="1" t="s">
        <v>2067</v>
      </c>
      <c r="H342" s="1" t="s">
        <v>2087</v>
      </c>
      <c r="I342" s="1">
        <v>2</v>
      </c>
      <c r="J342" s="1">
        <v>1647.02</v>
      </c>
      <c r="K342" s="1">
        <v>16.84</v>
      </c>
      <c r="L342" s="1">
        <v>2739.32</v>
      </c>
      <c r="M342" s="1">
        <v>669.03</v>
      </c>
      <c r="N342" s="1" t="s">
        <v>2088</v>
      </c>
    </row>
    <row r="343" spans="1:14">
      <c r="A343" s="1" t="s">
        <v>355</v>
      </c>
      <c r="B343" s="2">
        <v>45416</v>
      </c>
      <c r="C343" s="1" t="s">
        <v>2019</v>
      </c>
      <c r="D343" s="1" t="s">
        <v>2040</v>
      </c>
      <c r="E343" s="1" t="s">
        <v>2045</v>
      </c>
      <c r="F343" s="1" t="s">
        <v>2051</v>
      </c>
      <c r="G343" s="1" t="s">
        <v>2077</v>
      </c>
      <c r="H343" s="1" t="s">
        <v>2086</v>
      </c>
      <c r="I343" s="1">
        <v>10</v>
      </c>
      <c r="J343" s="1">
        <v>34040.58</v>
      </c>
      <c r="K343" s="1">
        <v>9.4499999999999993</v>
      </c>
      <c r="L343" s="1">
        <v>308237.45</v>
      </c>
      <c r="M343" s="1">
        <v>36698.54</v>
      </c>
      <c r="N343" s="1" t="s">
        <v>2088</v>
      </c>
    </row>
    <row r="344" spans="1:14">
      <c r="A344" s="1" t="s">
        <v>356</v>
      </c>
      <c r="B344" s="2">
        <v>45416</v>
      </c>
      <c r="C344" s="1" t="s">
        <v>2015</v>
      </c>
      <c r="D344" s="1" t="s">
        <v>2041</v>
      </c>
      <c r="E344" s="1" t="s">
        <v>2048</v>
      </c>
      <c r="F344" s="1" t="s">
        <v>2050</v>
      </c>
      <c r="G344" s="1" t="s">
        <v>2064</v>
      </c>
      <c r="H344" s="1" t="s">
        <v>2086</v>
      </c>
      <c r="I344" s="1">
        <v>1</v>
      </c>
      <c r="J344" s="1">
        <v>2957.98</v>
      </c>
      <c r="K344" s="1">
        <v>27.52</v>
      </c>
      <c r="L344" s="1">
        <v>2143.94</v>
      </c>
      <c r="M344" s="1">
        <v>262.89999999999998</v>
      </c>
      <c r="N344" s="1" t="s">
        <v>2091</v>
      </c>
    </row>
    <row r="345" spans="1:14">
      <c r="A345" s="1" t="s">
        <v>357</v>
      </c>
      <c r="B345" s="2">
        <v>45417</v>
      </c>
      <c r="C345" s="1" t="s">
        <v>2014</v>
      </c>
      <c r="D345" s="1" t="s">
        <v>2042</v>
      </c>
      <c r="E345" s="1" t="s">
        <v>2048</v>
      </c>
      <c r="F345" s="1" t="s">
        <v>2052</v>
      </c>
      <c r="G345" s="1" t="s">
        <v>2059</v>
      </c>
      <c r="H345" s="1" t="s">
        <v>2087</v>
      </c>
      <c r="I345" s="1">
        <v>10</v>
      </c>
      <c r="J345" s="1">
        <v>1643.57</v>
      </c>
      <c r="K345" s="1">
        <v>0.24</v>
      </c>
      <c r="L345" s="1">
        <v>16396.25</v>
      </c>
      <c r="M345" s="1">
        <v>3406</v>
      </c>
      <c r="N345" s="1" t="s">
        <v>2089</v>
      </c>
    </row>
    <row r="346" spans="1:14">
      <c r="A346" s="1" t="s">
        <v>358</v>
      </c>
      <c r="B346" s="2">
        <v>45417</v>
      </c>
      <c r="C346" s="1" t="s">
        <v>2018</v>
      </c>
      <c r="D346" s="1" t="s">
        <v>2043</v>
      </c>
      <c r="E346" s="1" t="s">
        <v>2047</v>
      </c>
      <c r="F346" s="1" t="s">
        <v>2051</v>
      </c>
      <c r="G346" s="1" t="s">
        <v>2057</v>
      </c>
      <c r="H346" s="1" t="s">
        <v>2087</v>
      </c>
      <c r="I346" s="1">
        <v>10</v>
      </c>
      <c r="J346" s="1">
        <v>27505.19</v>
      </c>
      <c r="K346" s="1">
        <v>2.29</v>
      </c>
      <c r="L346" s="1">
        <v>268753.21000000002</v>
      </c>
      <c r="M346" s="1">
        <v>31894.54</v>
      </c>
      <c r="N346" s="1" t="s">
        <v>2092</v>
      </c>
    </row>
    <row r="347" spans="1:14">
      <c r="A347" s="1" t="s">
        <v>359</v>
      </c>
      <c r="B347" s="2">
        <v>45417</v>
      </c>
      <c r="C347" s="1" t="s">
        <v>2014</v>
      </c>
      <c r="D347" s="1" t="s">
        <v>2029</v>
      </c>
      <c r="E347" s="1" t="s">
        <v>2046</v>
      </c>
      <c r="F347" s="1" t="s">
        <v>2052</v>
      </c>
      <c r="G347" s="1" t="s">
        <v>2065</v>
      </c>
      <c r="H347" s="1" t="s">
        <v>2085</v>
      </c>
      <c r="I347" s="1">
        <v>3</v>
      </c>
      <c r="J347" s="1">
        <v>1824.35</v>
      </c>
      <c r="K347" s="1">
        <v>13.37</v>
      </c>
      <c r="L347" s="1">
        <v>4741.3</v>
      </c>
      <c r="M347" s="1">
        <v>485.02</v>
      </c>
      <c r="N347" s="1" t="s">
        <v>2091</v>
      </c>
    </row>
    <row r="348" spans="1:14">
      <c r="A348" s="1" t="s">
        <v>360</v>
      </c>
      <c r="B348" s="2">
        <v>45418</v>
      </c>
      <c r="C348" s="1" t="s">
        <v>2025</v>
      </c>
      <c r="D348" s="1" t="s">
        <v>2030</v>
      </c>
      <c r="E348" s="1" t="s">
        <v>2044</v>
      </c>
      <c r="F348" s="1" t="s">
        <v>2050</v>
      </c>
      <c r="G348" s="1" t="s">
        <v>2056</v>
      </c>
      <c r="H348" s="1" t="s">
        <v>2086</v>
      </c>
      <c r="I348" s="1">
        <v>2</v>
      </c>
      <c r="J348" s="1">
        <v>6874.14</v>
      </c>
      <c r="K348" s="1">
        <v>7.26</v>
      </c>
      <c r="L348" s="1">
        <v>12750.15</v>
      </c>
      <c r="M348" s="1">
        <v>3699.54</v>
      </c>
      <c r="N348" s="1" t="s">
        <v>2092</v>
      </c>
    </row>
    <row r="349" spans="1:14">
      <c r="A349" s="1" t="s">
        <v>361</v>
      </c>
      <c r="B349" s="2">
        <v>45418</v>
      </c>
      <c r="C349" s="1" t="s">
        <v>2018</v>
      </c>
      <c r="D349" s="1" t="s">
        <v>2031</v>
      </c>
      <c r="E349" s="1" t="s">
        <v>2047</v>
      </c>
      <c r="F349" s="1" t="s">
        <v>2052</v>
      </c>
      <c r="G349" s="1" t="s">
        <v>2083</v>
      </c>
      <c r="H349" s="1" t="s">
        <v>2087</v>
      </c>
      <c r="I349" s="1">
        <v>5</v>
      </c>
      <c r="J349" s="1">
        <v>4482.5600000000004</v>
      </c>
      <c r="K349" s="1">
        <v>17.809999999999999</v>
      </c>
      <c r="L349" s="1">
        <v>18421.080000000002</v>
      </c>
      <c r="M349" s="1">
        <v>1257.6099999999999</v>
      </c>
      <c r="N349" s="1" t="s">
        <v>2088</v>
      </c>
    </row>
    <row r="350" spans="1:14">
      <c r="A350" s="1" t="s">
        <v>362</v>
      </c>
      <c r="B350" s="2">
        <v>45419</v>
      </c>
      <c r="C350" s="1" t="s">
        <v>2026</v>
      </c>
      <c r="D350" s="1" t="s">
        <v>2032</v>
      </c>
      <c r="E350" s="1" t="s">
        <v>2045</v>
      </c>
      <c r="F350" s="1" t="s">
        <v>2049</v>
      </c>
      <c r="G350" s="1" t="s">
        <v>2074</v>
      </c>
      <c r="H350" s="1" t="s">
        <v>2087</v>
      </c>
      <c r="I350" s="1">
        <v>2</v>
      </c>
      <c r="J350" s="1">
        <v>2110.02</v>
      </c>
      <c r="K350" s="1">
        <v>11.86</v>
      </c>
      <c r="L350" s="1">
        <v>3719.54</v>
      </c>
      <c r="M350" s="1">
        <v>1072.06</v>
      </c>
      <c r="N350" s="1" t="s">
        <v>2088</v>
      </c>
    </row>
    <row r="351" spans="1:14">
      <c r="A351" s="1" t="s">
        <v>363</v>
      </c>
      <c r="B351" s="2">
        <v>45419</v>
      </c>
      <c r="C351" s="1" t="s">
        <v>2019</v>
      </c>
      <c r="D351" s="1" t="s">
        <v>2033</v>
      </c>
      <c r="E351" s="1" t="s">
        <v>2046</v>
      </c>
      <c r="F351" s="1" t="s">
        <v>2052</v>
      </c>
      <c r="G351" s="1" t="s">
        <v>2083</v>
      </c>
      <c r="H351" s="1" t="s">
        <v>2085</v>
      </c>
      <c r="I351" s="1">
        <v>7</v>
      </c>
      <c r="J351" s="1">
        <v>7857.22</v>
      </c>
      <c r="K351" s="1">
        <v>28.81</v>
      </c>
      <c r="L351" s="1">
        <v>39154.879999999997</v>
      </c>
      <c r="M351" s="1">
        <v>9432.2099999999991</v>
      </c>
      <c r="N351" s="1" t="s">
        <v>2090</v>
      </c>
    </row>
    <row r="352" spans="1:14">
      <c r="A352" s="1" t="s">
        <v>364</v>
      </c>
      <c r="B352" s="2">
        <v>45419</v>
      </c>
      <c r="C352" s="1" t="s">
        <v>2021</v>
      </c>
      <c r="D352" s="1" t="s">
        <v>2034</v>
      </c>
      <c r="E352" s="1" t="s">
        <v>2047</v>
      </c>
      <c r="F352" s="1" t="s">
        <v>2051</v>
      </c>
      <c r="G352" s="1" t="s">
        <v>2069</v>
      </c>
      <c r="H352" s="1" t="s">
        <v>2087</v>
      </c>
      <c r="I352" s="1">
        <v>5</v>
      </c>
      <c r="J352" s="1">
        <v>15702.44</v>
      </c>
      <c r="K352" s="1">
        <v>16.559999999999999</v>
      </c>
      <c r="L352" s="1">
        <v>65510.58</v>
      </c>
      <c r="M352" s="1">
        <v>16455.490000000002</v>
      </c>
      <c r="N352" s="1" t="s">
        <v>2089</v>
      </c>
    </row>
    <row r="353" spans="1:14">
      <c r="A353" s="1" t="s">
        <v>365</v>
      </c>
      <c r="B353" s="2">
        <v>45420</v>
      </c>
      <c r="C353" s="1" t="s">
        <v>2025</v>
      </c>
      <c r="D353" s="1" t="s">
        <v>2035</v>
      </c>
      <c r="E353" s="1" t="s">
        <v>2048</v>
      </c>
      <c r="F353" s="1" t="s">
        <v>2052</v>
      </c>
      <c r="G353" s="1" t="s">
        <v>2065</v>
      </c>
      <c r="H353" s="1" t="s">
        <v>2087</v>
      </c>
      <c r="I353" s="1">
        <v>9</v>
      </c>
      <c r="J353" s="1">
        <v>4147.09</v>
      </c>
      <c r="K353" s="1">
        <v>26.84</v>
      </c>
      <c r="L353" s="1">
        <v>27306.1</v>
      </c>
      <c r="M353" s="1">
        <v>1368.33</v>
      </c>
      <c r="N353" s="1" t="s">
        <v>2089</v>
      </c>
    </row>
    <row r="354" spans="1:14">
      <c r="A354" s="1" t="s">
        <v>366</v>
      </c>
      <c r="B354" s="2">
        <v>45420</v>
      </c>
      <c r="C354" s="1" t="s">
        <v>2025</v>
      </c>
      <c r="D354" s="1" t="s">
        <v>2036</v>
      </c>
      <c r="E354" s="1" t="s">
        <v>2046</v>
      </c>
      <c r="F354" s="1" t="s">
        <v>2051</v>
      </c>
      <c r="G354" s="1" t="s">
        <v>2080</v>
      </c>
      <c r="H354" s="1" t="s">
        <v>2085</v>
      </c>
      <c r="I354" s="1">
        <v>1</v>
      </c>
      <c r="J354" s="1">
        <v>2751.54</v>
      </c>
      <c r="K354" s="1">
        <v>22.83</v>
      </c>
      <c r="L354" s="1">
        <v>2123.36</v>
      </c>
      <c r="M354" s="1">
        <v>303.49</v>
      </c>
      <c r="N354" s="1" t="s">
        <v>2089</v>
      </c>
    </row>
    <row r="355" spans="1:14">
      <c r="A355" s="1" t="s">
        <v>367</v>
      </c>
      <c r="B355" s="2">
        <v>45420</v>
      </c>
      <c r="C355" s="1" t="s">
        <v>2025</v>
      </c>
      <c r="D355" s="1" t="s">
        <v>2037</v>
      </c>
      <c r="E355" s="1" t="s">
        <v>2045</v>
      </c>
      <c r="F355" s="1" t="s">
        <v>2050</v>
      </c>
      <c r="G355" s="1" t="s">
        <v>2084</v>
      </c>
      <c r="H355" s="1" t="s">
        <v>2085</v>
      </c>
      <c r="I355" s="1">
        <v>7</v>
      </c>
      <c r="J355" s="1">
        <v>4743.84</v>
      </c>
      <c r="K355" s="1">
        <v>10.71</v>
      </c>
      <c r="L355" s="1">
        <v>29650.42</v>
      </c>
      <c r="M355" s="1">
        <v>7320.31</v>
      </c>
      <c r="N355" s="1" t="s">
        <v>2089</v>
      </c>
    </row>
    <row r="356" spans="1:14">
      <c r="A356" s="1" t="s">
        <v>368</v>
      </c>
      <c r="B356" s="2">
        <v>45421</v>
      </c>
      <c r="C356" s="1" t="s">
        <v>2025</v>
      </c>
      <c r="D356" s="1" t="s">
        <v>2038</v>
      </c>
      <c r="E356" s="1" t="s">
        <v>2047</v>
      </c>
      <c r="F356" s="1" t="s">
        <v>2051</v>
      </c>
      <c r="G356" s="1" t="s">
        <v>2069</v>
      </c>
      <c r="H356" s="1" t="s">
        <v>2086</v>
      </c>
      <c r="I356" s="1">
        <v>1</v>
      </c>
      <c r="J356" s="1">
        <v>10375.56</v>
      </c>
      <c r="K356" s="1">
        <v>5.75</v>
      </c>
      <c r="L356" s="1">
        <v>9778.9699999999993</v>
      </c>
      <c r="M356" s="1">
        <v>2733.81</v>
      </c>
      <c r="N356" s="1" t="s">
        <v>2089</v>
      </c>
    </row>
    <row r="357" spans="1:14">
      <c r="A357" s="1" t="s">
        <v>369</v>
      </c>
      <c r="B357" s="2">
        <v>45421</v>
      </c>
      <c r="C357" s="1" t="s">
        <v>2019</v>
      </c>
      <c r="D357" s="1" t="s">
        <v>2039</v>
      </c>
      <c r="E357" s="1" t="s">
        <v>2048</v>
      </c>
      <c r="F357" s="1" t="s">
        <v>2054</v>
      </c>
      <c r="G357" s="1" t="s">
        <v>2063</v>
      </c>
      <c r="H357" s="1" t="s">
        <v>2085</v>
      </c>
      <c r="I357" s="1">
        <v>5</v>
      </c>
      <c r="J357" s="1">
        <v>3363.5</v>
      </c>
      <c r="K357" s="1">
        <v>5.26</v>
      </c>
      <c r="L357" s="1">
        <v>15932.9</v>
      </c>
      <c r="M357" s="1">
        <v>4249.1899999999996</v>
      </c>
      <c r="N357" s="1" t="s">
        <v>2088</v>
      </c>
    </row>
    <row r="358" spans="1:14">
      <c r="A358" s="1" t="s">
        <v>370</v>
      </c>
      <c r="B358" s="2">
        <v>45422</v>
      </c>
      <c r="C358" s="1" t="s">
        <v>2020</v>
      </c>
      <c r="D358" s="1" t="s">
        <v>2040</v>
      </c>
      <c r="E358" s="1" t="s">
        <v>2045</v>
      </c>
      <c r="F358" s="1" t="s">
        <v>2053</v>
      </c>
      <c r="G358" s="1" t="s">
        <v>2060</v>
      </c>
      <c r="H358" s="1" t="s">
        <v>2086</v>
      </c>
      <c r="I358" s="1">
        <v>8</v>
      </c>
      <c r="J358" s="1">
        <v>1492.21</v>
      </c>
      <c r="K358" s="1">
        <v>15.5</v>
      </c>
      <c r="L358" s="1">
        <v>10087.34</v>
      </c>
      <c r="M358" s="1">
        <v>2417.88</v>
      </c>
      <c r="N358" s="1" t="s">
        <v>2092</v>
      </c>
    </row>
    <row r="359" spans="1:14">
      <c r="A359" s="1" t="s">
        <v>371</v>
      </c>
      <c r="B359" s="2">
        <v>45422</v>
      </c>
      <c r="C359" s="1" t="s">
        <v>2019</v>
      </c>
      <c r="D359" s="1" t="s">
        <v>2041</v>
      </c>
      <c r="E359" s="1" t="s">
        <v>2045</v>
      </c>
      <c r="F359" s="1" t="s">
        <v>2053</v>
      </c>
      <c r="G359" s="1" t="s">
        <v>2076</v>
      </c>
      <c r="H359" s="1" t="s">
        <v>2085</v>
      </c>
      <c r="I359" s="1">
        <v>4</v>
      </c>
      <c r="J359" s="1">
        <v>2075.59</v>
      </c>
      <c r="K359" s="1">
        <v>26.67</v>
      </c>
      <c r="L359" s="1">
        <v>6088.12</v>
      </c>
      <c r="M359" s="1">
        <v>1133.1600000000001</v>
      </c>
      <c r="N359" s="1" t="s">
        <v>2089</v>
      </c>
    </row>
    <row r="360" spans="1:14">
      <c r="A360" s="1" t="s">
        <v>372</v>
      </c>
      <c r="B360" s="2">
        <v>45422</v>
      </c>
      <c r="C360" s="1" t="s">
        <v>2023</v>
      </c>
      <c r="D360" s="1" t="s">
        <v>2042</v>
      </c>
      <c r="E360" s="1" t="s">
        <v>2044</v>
      </c>
      <c r="F360" s="1" t="s">
        <v>2052</v>
      </c>
      <c r="G360" s="1" t="s">
        <v>2078</v>
      </c>
      <c r="H360" s="1" t="s">
        <v>2086</v>
      </c>
      <c r="I360" s="1">
        <v>9</v>
      </c>
      <c r="J360" s="1">
        <v>3770.67</v>
      </c>
      <c r="K360" s="1">
        <v>8.86</v>
      </c>
      <c r="L360" s="1">
        <v>30929.3</v>
      </c>
      <c r="M360" s="1">
        <v>8347.02</v>
      </c>
      <c r="N360" s="1" t="s">
        <v>2089</v>
      </c>
    </row>
    <row r="361" spans="1:14">
      <c r="A361" s="1" t="s">
        <v>373</v>
      </c>
      <c r="B361" s="2">
        <v>45423</v>
      </c>
      <c r="C361" s="1" t="s">
        <v>2026</v>
      </c>
      <c r="D361" s="1" t="s">
        <v>2043</v>
      </c>
      <c r="E361" s="1" t="s">
        <v>2048</v>
      </c>
      <c r="F361" s="1" t="s">
        <v>2053</v>
      </c>
      <c r="G361" s="1" t="s">
        <v>2067</v>
      </c>
      <c r="H361" s="1" t="s">
        <v>2085</v>
      </c>
      <c r="I361" s="1">
        <v>2</v>
      </c>
      <c r="J361" s="1">
        <v>1957.37</v>
      </c>
      <c r="K361" s="1">
        <v>10.58</v>
      </c>
      <c r="L361" s="1">
        <v>3500.56</v>
      </c>
      <c r="M361" s="1">
        <v>896.83</v>
      </c>
      <c r="N361" s="1" t="s">
        <v>2090</v>
      </c>
    </row>
    <row r="362" spans="1:14">
      <c r="A362" s="1" t="s">
        <v>374</v>
      </c>
      <c r="B362" s="2">
        <v>45423</v>
      </c>
      <c r="C362" s="1" t="s">
        <v>2019</v>
      </c>
      <c r="D362" s="1" t="s">
        <v>2029</v>
      </c>
      <c r="E362" s="1" t="s">
        <v>2048</v>
      </c>
      <c r="F362" s="1" t="s">
        <v>2049</v>
      </c>
      <c r="G362" s="1" t="s">
        <v>2055</v>
      </c>
      <c r="H362" s="1" t="s">
        <v>2087</v>
      </c>
      <c r="I362" s="1">
        <v>5</v>
      </c>
      <c r="J362" s="1">
        <v>1205.8800000000001</v>
      </c>
      <c r="K362" s="1">
        <v>16.399999999999999</v>
      </c>
      <c r="L362" s="1">
        <v>5040.58</v>
      </c>
      <c r="M362" s="1">
        <v>922.45</v>
      </c>
      <c r="N362" s="1" t="s">
        <v>2090</v>
      </c>
    </row>
    <row r="363" spans="1:14">
      <c r="A363" s="1" t="s">
        <v>375</v>
      </c>
      <c r="B363" s="2">
        <v>45423</v>
      </c>
      <c r="C363" s="1" t="s">
        <v>2020</v>
      </c>
      <c r="D363" s="1" t="s">
        <v>2030</v>
      </c>
      <c r="E363" s="1" t="s">
        <v>2044</v>
      </c>
      <c r="F363" s="1" t="s">
        <v>2054</v>
      </c>
      <c r="G363" s="1" t="s">
        <v>2081</v>
      </c>
      <c r="H363" s="1" t="s">
        <v>2087</v>
      </c>
      <c r="I363" s="1">
        <v>8</v>
      </c>
      <c r="J363" s="1">
        <v>18476.96</v>
      </c>
      <c r="K363" s="1">
        <v>9.1300000000000008</v>
      </c>
      <c r="L363" s="1">
        <v>134320.10999999999</v>
      </c>
      <c r="M363" s="1">
        <v>16922.400000000001</v>
      </c>
      <c r="N363" s="1" t="s">
        <v>2088</v>
      </c>
    </row>
    <row r="364" spans="1:14">
      <c r="A364" s="1" t="s">
        <v>376</v>
      </c>
      <c r="B364" s="2">
        <v>45424</v>
      </c>
      <c r="C364" s="1" t="s">
        <v>2019</v>
      </c>
      <c r="D364" s="1" t="s">
        <v>2031</v>
      </c>
      <c r="E364" s="1" t="s">
        <v>2047</v>
      </c>
      <c r="F364" s="1" t="s">
        <v>2049</v>
      </c>
      <c r="G364" s="1" t="s">
        <v>2058</v>
      </c>
      <c r="H364" s="1" t="s">
        <v>2087</v>
      </c>
      <c r="I364" s="1">
        <v>6</v>
      </c>
      <c r="J364" s="1">
        <v>2208.59</v>
      </c>
      <c r="K364" s="1">
        <v>19.22</v>
      </c>
      <c r="L364" s="1">
        <v>10704.59</v>
      </c>
      <c r="M364" s="1">
        <v>1648.36</v>
      </c>
      <c r="N364" s="1" t="s">
        <v>2090</v>
      </c>
    </row>
    <row r="365" spans="1:14">
      <c r="A365" s="1" t="s">
        <v>377</v>
      </c>
      <c r="B365" s="2">
        <v>45424</v>
      </c>
      <c r="C365" s="1" t="s">
        <v>2018</v>
      </c>
      <c r="D365" s="1" t="s">
        <v>2032</v>
      </c>
      <c r="E365" s="1" t="s">
        <v>2046</v>
      </c>
      <c r="F365" s="1" t="s">
        <v>2054</v>
      </c>
      <c r="G365" s="1" t="s">
        <v>2068</v>
      </c>
      <c r="H365" s="1" t="s">
        <v>2086</v>
      </c>
      <c r="I365" s="1">
        <v>3</v>
      </c>
      <c r="J365" s="1">
        <v>14938.31</v>
      </c>
      <c r="K365" s="1">
        <v>11.13</v>
      </c>
      <c r="L365" s="1">
        <v>39827.03</v>
      </c>
      <c r="M365" s="1">
        <v>10971.75</v>
      </c>
      <c r="N365" s="1" t="s">
        <v>2090</v>
      </c>
    </row>
    <row r="366" spans="1:14">
      <c r="A366" s="1" t="s">
        <v>378</v>
      </c>
      <c r="B366" s="2">
        <v>45424</v>
      </c>
      <c r="C366" s="1" t="s">
        <v>2027</v>
      </c>
      <c r="D366" s="1" t="s">
        <v>2033</v>
      </c>
      <c r="E366" s="1" t="s">
        <v>2044</v>
      </c>
      <c r="F366" s="1" t="s">
        <v>2052</v>
      </c>
      <c r="G366" s="1" t="s">
        <v>2065</v>
      </c>
      <c r="H366" s="1" t="s">
        <v>2087</v>
      </c>
      <c r="I366" s="1">
        <v>8</v>
      </c>
      <c r="J366" s="1">
        <v>6677.94</v>
      </c>
      <c r="K366" s="1">
        <v>2.35</v>
      </c>
      <c r="L366" s="1">
        <v>52168.07</v>
      </c>
      <c r="M366" s="1">
        <v>9709.74</v>
      </c>
      <c r="N366" s="1" t="s">
        <v>2091</v>
      </c>
    </row>
    <row r="367" spans="1:14">
      <c r="A367" s="1" t="s">
        <v>379</v>
      </c>
      <c r="B367" s="2">
        <v>45425</v>
      </c>
      <c r="C367" s="1" t="s">
        <v>2017</v>
      </c>
      <c r="D367" s="1" t="s">
        <v>2034</v>
      </c>
      <c r="E367" s="1" t="s">
        <v>2048</v>
      </c>
      <c r="F367" s="1" t="s">
        <v>2054</v>
      </c>
      <c r="G367" s="1" t="s">
        <v>2068</v>
      </c>
      <c r="H367" s="1" t="s">
        <v>2086</v>
      </c>
      <c r="I367" s="1">
        <v>10</v>
      </c>
      <c r="J367" s="1">
        <v>38808.46</v>
      </c>
      <c r="K367" s="1">
        <v>10.85</v>
      </c>
      <c r="L367" s="1">
        <v>345977.42</v>
      </c>
      <c r="M367" s="1">
        <v>99400.06</v>
      </c>
      <c r="N367" s="1" t="s">
        <v>2090</v>
      </c>
    </row>
    <row r="368" spans="1:14">
      <c r="A368" s="1" t="s">
        <v>380</v>
      </c>
      <c r="B368" s="2">
        <v>45425</v>
      </c>
      <c r="C368" s="1" t="s">
        <v>2017</v>
      </c>
      <c r="D368" s="1" t="s">
        <v>2035</v>
      </c>
      <c r="E368" s="1" t="s">
        <v>2047</v>
      </c>
      <c r="F368" s="1" t="s">
        <v>2053</v>
      </c>
      <c r="G368" s="1" t="s">
        <v>2073</v>
      </c>
      <c r="H368" s="1" t="s">
        <v>2086</v>
      </c>
      <c r="I368" s="1">
        <v>1</v>
      </c>
      <c r="J368" s="1">
        <v>1800.38</v>
      </c>
      <c r="K368" s="1">
        <v>5.16</v>
      </c>
      <c r="L368" s="1">
        <v>1707.48</v>
      </c>
      <c r="M368" s="1">
        <v>500.47</v>
      </c>
      <c r="N368" s="1" t="s">
        <v>2089</v>
      </c>
    </row>
    <row r="369" spans="1:14">
      <c r="A369" s="1" t="s">
        <v>381</v>
      </c>
      <c r="B369" s="2">
        <v>45426</v>
      </c>
      <c r="C369" s="1" t="s">
        <v>2026</v>
      </c>
      <c r="D369" s="1" t="s">
        <v>2036</v>
      </c>
      <c r="E369" s="1" t="s">
        <v>2044</v>
      </c>
      <c r="F369" s="1" t="s">
        <v>2052</v>
      </c>
      <c r="G369" s="1" t="s">
        <v>2083</v>
      </c>
      <c r="H369" s="1" t="s">
        <v>2085</v>
      </c>
      <c r="I369" s="1">
        <v>7</v>
      </c>
      <c r="J369" s="1">
        <v>1426.23</v>
      </c>
      <c r="K369" s="1">
        <v>25.51</v>
      </c>
      <c r="L369" s="1">
        <v>7436.79</v>
      </c>
      <c r="M369" s="1">
        <v>1012.53</v>
      </c>
      <c r="N369" s="1" t="s">
        <v>2090</v>
      </c>
    </row>
    <row r="370" spans="1:14">
      <c r="A370" s="1" t="s">
        <v>382</v>
      </c>
      <c r="B370" s="2">
        <v>45426</v>
      </c>
      <c r="C370" s="1" t="s">
        <v>2017</v>
      </c>
      <c r="D370" s="1" t="s">
        <v>2037</v>
      </c>
      <c r="E370" s="1" t="s">
        <v>2048</v>
      </c>
      <c r="F370" s="1" t="s">
        <v>2054</v>
      </c>
      <c r="G370" s="1" t="s">
        <v>2066</v>
      </c>
      <c r="H370" s="1" t="s">
        <v>2086</v>
      </c>
      <c r="I370" s="1">
        <v>6</v>
      </c>
      <c r="J370" s="1">
        <v>27181.03</v>
      </c>
      <c r="K370" s="1">
        <v>29.36</v>
      </c>
      <c r="L370" s="1">
        <v>115204.08</v>
      </c>
      <c r="M370" s="1">
        <v>30429.35</v>
      </c>
      <c r="N370" s="1" t="s">
        <v>2090</v>
      </c>
    </row>
    <row r="371" spans="1:14">
      <c r="A371" s="1" t="s">
        <v>383</v>
      </c>
      <c r="B371" s="2">
        <v>45426</v>
      </c>
      <c r="C371" s="1" t="s">
        <v>2025</v>
      </c>
      <c r="D371" s="1" t="s">
        <v>2038</v>
      </c>
      <c r="E371" s="1" t="s">
        <v>2047</v>
      </c>
      <c r="F371" s="1" t="s">
        <v>2054</v>
      </c>
      <c r="G371" s="1" t="s">
        <v>2063</v>
      </c>
      <c r="H371" s="1" t="s">
        <v>2085</v>
      </c>
      <c r="I371" s="1">
        <v>3</v>
      </c>
      <c r="J371" s="1">
        <v>38858.78</v>
      </c>
      <c r="K371" s="1">
        <v>15.2</v>
      </c>
      <c r="L371" s="1">
        <v>98856.74</v>
      </c>
      <c r="M371" s="1">
        <v>14513.09</v>
      </c>
      <c r="N371" s="1" t="s">
        <v>2089</v>
      </c>
    </row>
    <row r="372" spans="1:14">
      <c r="A372" s="1" t="s">
        <v>384</v>
      </c>
      <c r="B372" s="2">
        <v>45427</v>
      </c>
      <c r="C372" s="1" t="s">
        <v>2019</v>
      </c>
      <c r="D372" s="1" t="s">
        <v>2039</v>
      </c>
      <c r="E372" s="1" t="s">
        <v>2046</v>
      </c>
      <c r="F372" s="1" t="s">
        <v>2050</v>
      </c>
      <c r="G372" s="1" t="s">
        <v>2070</v>
      </c>
      <c r="H372" s="1" t="s">
        <v>2086</v>
      </c>
      <c r="I372" s="1">
        <v>3</v>
      </c>
      <c r="J372" s="1">
        <v>387.92</v>
      </c>
      <c r="K372" s="1">
        <v>21.11</v>
      </c>
      <c r="L372" s="1">
        <v>918.09</v>
      </c>
      <c r="M372" s="1">
        <v>268.60000000000002</v>
      </c>
      <c r="N372" s="1" t="s">
        <v>2090</v>
      </c>
    </row>
    <row r="373" spans="1:14">
      <c r="A373" s="1" t="s">
        <v>385</v>
      </c>
      <c r="B373" s="2">
        <v>45427</v>
      </c>
      <c r="C373" s="1" t="s">
        <v>2014</v>
      </c>
      <c r="D373" s="1" t="s">
        <v>2040</v>
      </c>
      <c r="E373" s="1" t="s">
        <v>2045</v>
      </c>
      <c r="F373" s="1" t="s">
        <v>2050</v>
      </c>
      <c r="G373" s="1" t="s">
        <v>2084</v>
      </c>
      <c r="H373" s="1" t="s">
        <v>2087</v>
      </c>
      <c r="I373" s="1">
        <v>1</v>
      </c>
      <c r="J373" s="1">
        <v>7746.17</v>
      </c>
      <c r="K373" s="1">
        <v>1.55</v>
      </c>
      <c r="L373" s="1">
        <v>7626.1</v>
      </c>
      <c r="M373" s="1">
        <v>1343.71</v>
      </c>
      <c r="N373" s="1" t="s">
        <v>2089</v>
      </c>
    </row>
    <row r="374" spans="1:14">
      <c r="A374" s="1" t="s">
        <v>386</v>
      </c>
      <c r="B374" s="2">
        <v>45427</v>
      </c>
      <c r="C374" s="1" t="s">
        <v>2026</v>
      </c>
      <c r="D374" s="1" t="s">
        <v>2041</v>
      </c>
      <c r="E374" s="1" t="s">
        <v>2044</v>
      </c>
      <c r="F374" s="1" t="s">
        <v>2050</v>
      </c>
      <c r="G374" s="1" t="s">
        <v>2070</v>
      </c>
      <c r="H374" s="1" t="s">
        <v>2085</v>
      </c>
      <c r="I374" s="1">
        <v>10</v>
      </c>
      <c r="J374" s="1">
        <v>6527.68</v>
      </c>
      <c r="K374" s="1">
        <v>20.309999999999999</v>
      </c>
      <c r="L374" s="1">
        <v>52019.08</v>
      </c>
      <c r="M374" s="1">
        <v>10729.31</v>
      </c>
      <c r="N374" s="1" t="s">
        <v>2090</v>
      </c>
    </row>
    <row r="375" spans="1:14">
      <c r="A375" s="1" t="s">
        <v>387</v>
      </c>
      <c r="B375" s="2">
        <v>45428</v>
      </c>
      <c r="C375" s="1" t="s">
        <v>2022</v>
      </c>
      <c r="D375" s="1" t="s">
        <v>2042</v>
      </c>
      <c r="E375" s="1" t="s">
        <v>2046</v>
      </c>
      <c r="F375" s="1" t="s">
        <v>2052</v>
      </c>
      <c r="G375" s="1" t="s">
        <v>2072</v>
      </c>
      <c r="H375" s="1" t="s">
        <v>2085</v>
      </c>
      <c r="I375" s="1">
        <v>2</v>
      </c>
      <c r="J375" s="1">
        <v>8361.74</v>
      </c>
      <c r="K375" s="1">
        <v>27.18</v>
      </c>
      <c r="L375" s="1">
        <v>12178.04</v>
      </c>
      <c r="M375" s="1">
        <v>645.91</v>
      </c>
      <c r="N375" s="1" t="s">
        <v>2091</v>
      </c>
    </row>
    <row r="376" spans="1:14">
      <c r="A376" s="1" t="s">
        <v>388</v>
      </c>
      <c r="B376" s="2">
        <v>45428</v>
      </c>
      <c r="C376" s="1" t="s">
        <v>2028</v>
      </c>
      <c r="D376" s="1" t="s">
        <v>2043</v>
      </c>
      <c r="E376" s="1" t="s">
        <v>2046</v>
      </c>
      <c r="F376" s="1" t="s">
        <v>2049</v>
      </c>
      <c r="G376" s="1" t="s">
        <v>2055</v>
      </c>
      <c r="H376" s="1" t="s">
        <v>2087</v>
      </c>
      <c r="I376" s="1">
        <v>5</v>
      </c>
      <c r="J376" s="1">
        <v>1091.23</v>
      </c>
      <c r="K376" s="1">
        <v>18.64</v>
      </c>
      <c r="L376" s="1">
        <v>4439.12</v>
      </c>
      <c r="M376" s="1">
        <v>592.67999999999995</v>
      </c>
      <c r="N376" s="1" t="s">
        <v>2090</v>
      </c>
    </row>
    <row r="377" spans="1:14">
      <c r="A377" s="1" t="s">
        <v>389</v>
      </c>
      <c r="B377" s="2">
        <v>45428</v>
      </c>
      <c r="C377" s="1" t="s">
        <v>2021</v>
      </c>
      <c r="D377" s="1" t="s">
        <v>2029</v>
      </c>
      <c r="E377" s="1" t="s">
        <v>2044</v>
      </c>
      <c r="F377" s="1" t="s">
        <v>2052</v>
      </c>
      <c r="G377" s="1" t="s">
        <v>2072</v>
      </c>
      <c r="H377" s="1" t="s">
        <v>2087</v>
      </c>
      <c r="I377" s="1">
        <v>1</v>
      </c>
      <c r="J377" s="1">
        <v>3000.43</v>
      </c>
      <c r="K377" s="1">
        <v>12.98</v>
      </c>
      <c r="L377" s="1">
        <v>2610.9699999999998</v>
      </c>
      <c r="M377" s="1">
        <v>577.97</v>
      </c>
      <c r="N377" s="1" t="s">
        <v>2088</v>
      </c>
    </row>
    <row r="378" spans="1:14">
      <c r="A378" s="1" t="s">
        <v>390</v>
      </c>
      <c r="B378" s="2">
        <v>45429</v>
      </c>
      <c r="C378" s="1" t="s">
        <v>2020</v>
      </c>
      <c r="D378" s="1" t="s">
        <v>2030</v>
      </c>
      <c r="E378" s="1" t="s">
        <v>2045</v>
      </c>
      <c r="F378" s="1" t="s">
        <v>2054</v>
      </c>
      <c r="G378" s="1" t="s">
        <v>2066</v>
      </c>
      <c r="H378" s="1" t="s">
        <v>2085</v>
      </c>
      <c r="I378" s="1">
        <v>4</v>
      </c>
      <c r="J378" s="1">
        <v>53882.59</v>
      </c>
      <c r="K378" s="1">
        <v>18.97</v>
      </c>
      <c r="L378" s="1">
        <v>174644.25</v>
      </c>
      <c r="M378" s="1">
        <v>17420.419999999998</v>
      </c>
      <c r="N378" s="1" t="s">
        <v>2092</v>
      </c>
    </row>
    <row r="379" spans="1:14">
      <c r="A379" s="1" t="s">
        <v>391</v>
      </c>
      <c r="B379" s="2">
        <v>45429</v>
      </c>
      <c r="C379" s="1" t="s">
        <v>2026</v>
      </c>
      <c r="D379" s="1" t="s">
        <v>2031</v>
      </c>
      <c r="E379" s="1" t="s">
        <v>2047</v>
      </c>
      <c r="F379" s="1" t="s">
        <v>2051</v>
      </c>
      <c r="G379" s="1" t="s">
        <v>2077</v>
      </c>
      <c r="H379" s="1" t="s">
        <v>2085</v>
      </c>
      <c r="I379" s="1">
        <v>9</v>
      </c>
      <c r="J379" s="1">
        <v>1447.75</v>
      </c>
      <c r="K379" s="1">
        <v>13.5</v>
      </c>
      <c r="L379" s="1">
        <v>11270.73</v>
      </c>
      <c r="M379" s="1">
        <v>3316.71</v>
      </c>
      <c r="N379" s="1" t="s">
        <v>2088</v>
      </c>
    </row>
    <row r="380" spans="1:14">
      <c r="A380" s="1" t="s">
        <v>392</v>
      </c>
      <c r="B380" s="2">
        <v>45430</v>
      </c>
      <c r="C380" s="1" t="s">
        <v>2023</v>
      </c>
      <c r="D380" s="1" t="s">
        <v>2032</v>
      </c>
      <c r="E380" s="1" t="s">
        <v>2046</v>
      </c>
      <c r="F380" s="1" t="s">
        <v>2052</v>
      </c>
      <c r="G380" s="1" t="s">
        <v>2083</v>
      </c>
      <c r="H380" s="1" t="s">
        <v>2086</v>
      </c>
      <c r="I380" s="1">
        <v>5</v>
      </c>
      <c r="J380" s="1">
        <v>2060.19</v>
      </c>
      <c r="K380" s="1">
        <v>17.47</v>
      </c>
      <c r="L380" s="1">
        <v>8501.3700000000008</v>
      </c>
      <c r="M380" s="1">
        <v>859.57</v>
      </c>
      <c r="N380" s="1" t="s">
        <v>2089</v>
      </c>
    </row>
    <row r="381" spans="1:14">
      <c r="A381" s="1" t="s">
        <v>393</v>
      </c>
      <c r="B381" s="2">
        <v>45430</v>
      </c>
      <c r="C381" s="1" t="s">
        <v>2027</v>
      </c>
      <c r="D381" s="1" t="s">
        <v>2033</v>
      </c>
      <c r="E381" s="1" t="s">
        <v>2047</v>
      </c>
      <c r="F381" s="1" t="s">
        <v>2050</v>
      </c>
      <c r="G381" s="1" t="s">
        <v>2075</v>
      </c>
      <c r="H381" s="1" t="s">
        <v>2086</v>
      </c>
      <c r="I381" s="1">
        <v>2</v>
      </c>
      <c r="J381" s="1">
        <v>4019.41</v>
      </c>
      <c r="K381" s="1">
        <v>8.06</v>
      </c>
      <c r="L381" s="1">
        <v>7390.89</v>
      </c>
      <c r="M381" s="1">
        <v>900.69</v>
      </c>
      <c r="N381" s="1" t="s">
        <v>2089</v>
      </c>
    </row>
    <row r="382" spans="1:14">
      <c r="A382" s="1" t="s">
        <v>394</v>
      </c>
      <c r="B382" s="2">
        <v>45430</v>
      </c>
      <c r="C382" s="1" t="s">
        <v>2017</v>
      </c>
      <c r="D382" s="1" t="s">
        <v>2034</v>
      </c>
      <c r="E382" s="1" t="s">
        <v>2047</v>
      </c>
      <c r="F382" s="1" t="s">
        <v>2053</v>
      </c>
      <c r="G382" s="1" t="s">
        <v>2067</v>
      </c>
      <c r="H382" s="1" t="s">
        <v>2087</v>
      </c>
      <c r="I382" s="1">
        <v>9</v>
      </c>
      <c r="J382" s="1">
        <v>320.95999999999998</v>
      </c>
      <c r="K382" s="1">
        <v>17.97</v>
      </c>
      <c r="L382" s="1">
        <v>2369.5500000000002</v>
      </c>
      <c r="M382" s="1">
        <v>487.92</v>
      </c>
      <c r="N382" s="1" t="s">
        <v>2090</v>
      </c>
    </row>
    <row r="383" spans="1:14">
      <c r="A383" s="1" t="s">
        <v>395</v>
      </c>
      <c r="B383" s="2">
        <v>45431</v>
      </c>
      <c r="C383" s="1" t="s">
        <v>2018</v>
      </c>
      <c r="D383" s="1" t="s">
        <v>2035</v>
      </c>
      <c r="E383" s="1" t="s">
        <v>2048</v>
      </c>
      <c r="F383" s="1" t="s">
        <v>2051</v>
      </c>
      <c r="G383" s="1" t="s">
        <v>2080</v>
      </c>
      <c r="H383" s="1" t="s">
        <v>2086</v>
      </c>
      <c r="I383" s="1">
        <v>6</v>
      </c>
      <c r="J383" s="1">
        <v>10784.83</v>
      </c>
      <c r="K383" s="1">
        <v>20.28</v>
      </c>
      <c r="L383" s="1">
        <v>51586</v>
      </c>
      <c r="M383" s="1">
        <v>11692.35</v>
      </c>
      <c r="N383" s="1" t="s">
        <v>2088</v>
      </c>
    </row>
    <row r="384" spans="1:14">
      <c r="A384" s="1" t="s">
        <v>396</v>
      </c>
      <c r="B384" s="2">
        <v>45431</v>
      </c>
      <c r="C384" s="1" t="s">
        <v>2027</v>
      </c>
      <c r="D384" s="1" t="s">
        <v>2036</v>
      </c>
      <c r="E384" s="1" t="s">
        <v>2045</v>
      </c>
      <c r="F384" s="1" t="s">
        <v>2050</v>
      </c>
      <c r="G384" s="1" t="s">
        <v>2070</v>
      </c>
      <c r="H384" s="1" t="s">
        <v>2086</v>
      </c>
      <c r="I384" s="1">
        <v>2</v>
      </c>
      <c r="J384" s="1">
        <v>6968.94</v>
      </c>
      <c r="K384" s="1">
        <v>28.4</v>
      </c>
      <c r="L384" s="1">
        <v>9979.52</v>
      </c>
      <c r="M384" s="1">
        <v>763.2</v>
      </c>
      <c r="N384" s="1" t="s">
        <v>2089</v>
      </c>
    </row>
    <row r="385" spans="1:14">
      <c r="A385" s="1" t="s">
        <v>397</v>
      </c>
      <c r="B385" s="2">
        <v>45431</v>
      </c>
      <c r="C385" s="1" t="s">
        <v>2028</v>
      </c>
      <c r="D385" s="1" t="s">
        <v>2037</v>
      </c>
      <c r="E385" s="1" t="s">
        <v>2045</v>
      </c>
      <c r="F385" s="1" t="s">
        <v>2052</v>
      </c>
      <c r="G385" s="1" t="s">
        <v>2072</v>
      </c>
      <c r="H385" s="1" t="s">
        <v>2085</v>
      </c>
      <c r="I385" s="1">
        <v>5</v>
      </c>
      <c r="J385" s="1">
        <v>2185.8000000000002</v>
      </c>
      <c r="K385" s="1">
        <v>17.63</v>
      </c>
      <c r="L385" s="1">
        <v>9002.2199999999993</v>
      </c>
      <c r="M385" s="1">
        <v>2028.06</v>
      </c>
      <c r="N385" s="1" t="s">
        <v>2091</v>
      </c>
    </row>
    <row r="386" spans="1:14">
      <c r="A386" s="1" t="s">
        <v>398</v>
      </c>
      <c r="B386" s="2">
        <v>45432</v>
      </c>
      <c r="C386" s="1" t="s">
        <v>2025</v>
      </c>
      <c r="D386" s="1" t="s">
        <v>2038</v>
      </c>
      <c r="E386" s="1" t="s">
        <v>2048</v>
      </c>
      <c r="F386" s="1" t="s">
        <v>2053</v>
      </c>
      <c r="G386" s="1" t="s">
        <v>2067</v>
      </c>
      <c r="H386" s="1" t="s">
        <v>2085</v>
      </c>
      <c r="I386" s="1">
        <v>7</v>
      </c>
      <c r="J386" s="1">
        <v>707.44</v>
      </c>
      <c r="K386" s="1">
        <v>13.51</v>
      </c>
      <c r="L386" s="1">
        <v>4283.05</v>
      </c>
      <c r="M386" s="1">
        <v>1239.49</v>
      </c>
      <c r="N386" s="1" t="s">
        <v>2092</v>
      </c>
    </row>
    <row r="387" spans="1:14">
      <c r="A387" s="1" t="s">
        <v>399</v>
      </c>
      <c r="B387" s="2">
        <v>45432</v>
      </c>
      <c r="C387" s="1" t="s">
        <v>2014</v>
      </c>
      <c r="D387" s="1" t="s">
        <v>2039</v>
      </c>
      <c r="E387" s="1" t="s">
        <v>2045</v>
      </c>
      <c r="F387" s="1" t="s">
        <v>2052</v>
      </c>
      <c r="G387" s="1" t="s">
        <v>2083</v>
      </c>
      <c r="H387" s="1" t="s">
        <v>2086</v>
      </c>
      <c r="I387" s="1">
        <v>10</v>
      </c>
      <c r="J387" s="1">
        <v>281.54000000000002</v>
      </c>
      <c r="K387" s="1">
        <v>13.01</v>
      </c>
      <c r="L387" s="1">
        <v>2449.12</v>
      </c>
      <c r="M387" s="1">
        <v>179.17</v>
      </c>
      <c r="N387" s="1" t="s">
        <v>2091</v>
      </c>
    </row>
    <row r="388" spans="1:14">
      <c r="A388" s="1" t="s">
        <v>400</v>
      </c>
      <c r="B388" s="2">
        <v>45432</v>
      </c>
      <c r="C388" s="1" t="s">
        <v>2014</v>
      </c>
      <c r="D388" s="1" t="s">
        <v>2040</v>
      </c>
      <c r="E388" s="1" t="s">
        <v>2048</v>
      </c>
      <c r="F388" s="1" t="s">
        <v>2049</v>
      </c>
      <c r="G388" s="1" t="s">
        <v>2058</v>
      </c>
      <c r="H388" s="1" t="s">
        <v>2085</v>
      </c>
      <c r="I388" s="1">
        <v>9</v>
      </c>
      <c r="J388" s="1">
        <v>1343.24</v>
      </c>
      <c r="K388" s="1">
        <v>29.89</v>
      </c>
      <c r="L388" s="1">
        <v>8475.7099999999991</v>
      </c>
      <c r="M388" s="1">
        <v>909.38</v>
      </c>
      <c r="N388" s="1" t="s">
        <v>2092</v>
      </c>
    </row>
    <row r="389" spans="1:14">
      <c r="A389" s="1" t="s">
        <v>401</v>
      </c>
      <c r="B389" s="2">
        <v>45433</v>
      </c>
      <c r="C389" s="1" t="s">
        <v>2025</v>
      </c>
      <c r="D389" s="1" t="s">
        <v>2041</v>
      </c>
      <c r="E389" s="1" t="s">
        <v>2048</v>
      </c>
      <c r="F389" s="1" t="s">
        <v>2051</v>
      </c>
      <c r="G389" s="1" t="s">
        <v>2069</v>
      </c>
      <c r="H389" s="1" t="s">
        <v>2085</v>
      </c>
      <c r="I389" s="1">
        <v>8</v>
      </c>
      <c r="J389" s="1">
        <v>26505.77</v>
      </c>
      <c r="K389" s="1">
        <v>24.55</v>
      </c>
      <c r="L389" s="1">
        <v>159988.82999999999</v>
      </c>
      <c r="M389" s="1">
        <v>10000.040000000001</v>
      </c>
      <c r="N389" s="1" t="s">
        <v>2090</v>
      </c>
    </row>
    <row r="390" spans="1:14">
      <c r="A390" s="1" t="s">
        <v>402</v>
      </c>
      <c r="B390" s="2">
        <v>45433</v>
      </c>
      <c r="C390" s="1" t="s">
        <v>2023</v>
      </c>
      <c r="D390" s="1" t="s">
        <v>2042</v>
      </c>
      <c r="E390" s="1" t="s">
        <v>2044</v>
      </c>
      <c r="F390" s="1" t="s">
        <v>2050</v>
      </c>
      <c r="G390" s="1" t="s">
        <v>2075</v>
      </c>
      <c r="H390" s="1" t="s">
        <v>2087</v>
      </c>
      <c r="I390" s="1">
        <v>8</v>
      </c>
      <c r="J390" s="1">
        <v>3032.43</v>
      </c>
      <c r="K390" s="1">
        <v>12.74</v>
      </c>
      <c r="L390" s="1">
        <v>21168.79</v>
      </c>
      <c r="M390" s="1">
        <v>2198.08</v>
      </c>
      <c r="N390" s="1" t="s">
        <v>2092</v>
      </c>
    </row>
    <row r="391" spans="1:14">
      <c r="A391" s="1" t="s">
        <v>403</v>
      </c>
      <c r="B391" s="2">
        <v>45434</v>
      </c>
      <c r="C391" s="1" t="s">
        <v>2027</v>
      </c>
      <c r="D391" s="1" t="s">
        <v>2043</v>
      </c>
      <c r="E391" s="1" t="s">
        <v>2048</v>
      </c>
      <c r="F391" s="1" t="s">
        <v>2051</v>
      </c>
      <c r="G391" s="1" t="s">
        <v>2080</v>
      </c>
      <c r="H391" s="1" t="s">
        <v>2086</v>
      </c>
      <c r="I391" s="1">
        <v>4</v>
      </c>
      <c r="J391" s="1">
        <v>37375.71</v>
      </c>
      <c r="K391" s="1">
        <v>16.329999999999998</v>
      </c>
      <c r="L391" s="1">
        <v>125089.03</v>
      </c>
      <c r="M391" s="1">
        <v>12517.72</v>
      </c>
      <c r="N391" s="1" t="s">
        <v>2089</v>
      </c>
    </row>
    <row r="392" spans="1:14">
      <c r="A392" s="1" t="s">
        <v>404</v>
      </c>
      <c r="B392" s="2">
        <v>45434</v>
      </c>
      <c r="C392" s="1" t="s">
        <v>2016</v>
      </c>
      <c r="D392" s="1" t="s">
        <v>2029</v>
      </c>
      <c r="E392" s="1" t="s">
        <v>2048</v>
      </c>
      <c r="F392" s="1" t="s">
        <v>2052</v>
      </c>
      <c r="G392" s="1" t="s">
        <v>2072</v>
      </c>
      <c r="H392" s="1" t="s">
        <v>2085</v>
      </c>
      <c r="I392" s="1">
        <v>10</v>
      </c>
      <c r="J392" s="1">
        <v>4389.46</v>
      </c>
      <c r="K392" s="1">
        <v>6.19</v>
      </c>
      <c r="L392" s="1">
        <v>41177.519999999997</v>
      </c>
      <c r="M392" s="1">
        <v>10291.48</v>
      </c>
      <c r="N392" s="1" t="s">
        <v>2090</v>
      </c>
    </row>
    <row r="393" spans="1:14">
      <c r="A393" s="1" t="s">
        <v>405</v>
      </c>
      <c r="B393" s="2">
        <v>45434</v>
      </c>
      <c r="C393" s="1" t="s">
        <v>2014</v>
      </c>
      <c r="D393" s="1" t="s">
        <v>2030</v>
      </c>
      <c r="E393" s="1" t="s">
        <v>2046</v>
      </c>
      <c r="F393" s="1" t="s">
        <v>2054</v>
      </c>
      <c r="G393" s="1" t="s">
        <v>2081</v>
      </c>
      <c r="H393" s="1" t="s">
        <v>2087</v>
      </c>
      <c r="I393" s="1">
        <v>8</v>
      </c>
      <c r="J393" s="1">
        <v>63096.18</v>
      </c>
      <c r="K393" s="1">
        <v>12.34</v>
      </c>
      <c r="L393" s="1">
        <v>442480.89</v>
      </c>
      <c r="M393" s="1">
        <v>118775.47</v>
      </c>
      <c r="N393" s="1" t="s">
        <v>2092</v>
      </c>
    </row>
    <row r="394" spans="1:14">
      <c r="A394" s="1" t="s">
        <v>406</v>
      </c>
      <c r="B394" s="2">
        <v>45435</v>
      </c>
      <c r="C394" s="1" t="s">
        <v>2014</v>
      </c>
      <c r="D394" s="1" t="s">
        <v>2031</v>
      </c>
      <c r="E394" s="1" t="s">
        <v>2047</v>
      </c>
      <c r="F394" s="1" t="s">
        <v>2049</v>
      </c>
      <c r="G394" s="1" t="s">
        <v>2082</v>
      </c>
      <c r="H394" s="1" t="s">
        <v>2085</v>
      </c>
      <c r="I394" s="1">
        <v>5</v>
      </c>
      <c r="J394" s="1">
        <v>2362.7600000000002</v>
      </c>
      <c r="K394" s="1">
        <v>12.58</v>
      </c>
      <c r="L394" s="1">
        <v>10327.620000000001</v>
      </c>
      <c r="M394" s="1">
        <v>1807.54</v>
      </c>
      <c r="N394" s="1" t="s">
        <v>2090</v>
      </c>
    </row>
    <row r="395" spans="1:14">
      <c r="A395" s="1" t="s">
        <v>407</v>
      </c>
      <c r="B395" s="2">
        <v>45435</v>
      </c>
      <c r="C395" s="1" t="s">
        <v>2020</v>
      </c>
      <c r="D395" s="1" t="s">
        <v>2032</v>
      </c>
      <c r="E395" s="1" t="s">
        <v>2047</v>
      </c>
      <c r="F395" s="1" t="s">
        <v>2049</v>
      </c>
      <c r="G395" s="1" t="s">
        <v>2055</v>
      </c>
      <c r="H395" s="1" t="s">
        <v>2085</v>
      </c>
      <c r="I395" s="1">
        <v>6</v>
      </c>
      <c r="J395" s="1">
        <v>133.52000000000001</v>
      </c>
      <c r="K395" s="1">
        <v>6.3</v>
      </c>
      <c r="L395" s="1">
        <v>750.65</v>
      </c>
      <c r="M395" s="1">
        <v>90.27</v>
      </c>
      <c r="N395" s="1" t="s">
        <v>2091</v>
      </c>
    </row>
    <row r="396" spans="1:14">
      <c r="A396" s="1" t="s">
        <v>408</v>
      </c>
      <c r="B396" s="2">
        <v>45435</v>
      </c>
      <c r="C396" s="1" t="s">
        <v>2020</v>
      </c>
      <c r="D396" s="1" t="s">
        <v>2033</v>
      </c>
      <c r="E396" s="1" t="s">
        <v>2045</v>
      </c>
      <c r="F396" s="1" t="s">
        <v>2052</v>
      </c>
      <c r="G396" s="1" t="s">
        <v>2065</v>
      </c>
      <c r="H396" s="1" t="s">
        <v>2086</v>
      </c>
      <c r="I396" s="1">
        <v>5</v>
      </c>
      <c r="J396" s="1">
        <v>7907.92</v>
      </c>
      <c r="K396" s="1">
        <v>28.28</v>
      </c>
      <c r="L396" s="1">
        <v>28357.8</v>
      </c>
      <c r="M396" s="1">
        <v>6712.13</v>
      </c>
      <c r="N396" s="1" t="s">
        <v>2088</v>
      </c>
    </row>
    <row r="397" spans="1:14">
      <c r="A397" s="1" t="s">
        <v>409</v>
      </c>
      <c r="B397" s="2">
        <v>45436</v>
      </c>
      <c r="C397" s="1" t="s">
        <v>2022</v>
      </c>
      <c r="D397" s="1" t="s">
        <v>2034</v>
      </c>
      <c r="E397" s="1" t="s">
        <v>2047</v>
      </c>
      <c r="F397" s="1" t="s">
        <v>2050</v>
      </c>
      <c r="G397" s="1" t="s">
        <v>2064</v>
      </c>
      <c r="H397" s="1" t="s">
        <v>2086</v>
      </c>
      <c r="I397" s="1">
        <v>4</v>
      </c>
      <c r="J397" s="1">
        <v>2526.7399999999998</v>
      </c>
      <c r="K397" s="1">
        <v>9.2899999999999991</v>
      </c>
      <c r="L397" s="1">
        <v>9168.02</v>
      </c>
      <c r="M397" s="1">
        <v>1031.3</v>
      </c>
      <c r="N397" s="1" t="s">
        <v>2091</v>
      </c>
    </row>
    <row r="398" spans="1:14">
      <c r="A398" s="1" t="s">
        <v>410</v>
      </c>
      <c r="B398" s="2">
        <v>45436</v>
      </c>
      <c r="C398" s="1" t="s">
        <v>2016</v>
      </c>
      <c r="D398" s="1" t="s">
        <v>2035</v>
      </c>
      <c r="E398" s="1" t="s">
        <v>2045</v>
      </c>
      <c r="F398" s="1" t="s">
        <v>2053</v>
      </c>
      <c r="G398" s="1" t="s">
        <v>2076</v>
      </c>
      <c r="H398" s="1" t="s">
        <v>2087</v>
      </c>
      <c r="I398" s="1">
        <v>10</v>
      </c>
      <c r="J398" s="1">
        <v>2088.5300000000002</v>
      </c>
      <c r="K398" s="1">
        <v>23.68</v>
      </c>
      <c r="L398" s="1">
        <v>15939.66</v>
      </c>
      <c r="M398" s="1">
        <v>2023.52</v>
      </c>
      <c r="N398" s="1" t="s">
        <v>2092</v>
      </c>
    </row>
    <row r="399" spans="1:14">
      <c r="A399" s="1" t="s">
        <v>411</v>
      </c>
      <c r="B399" s="2">
        <v>45436</v>
      </c>
      <c r="C399" s="1" t="s">
        <v>2028</v>
      </c>
      <c r="D399" s="1" t="s">
        <v>2036</v>
      </c>
      <c r="E399" s="1" t="s">
        <v>2044</v>
      </c>
      <c r="F399" s="1" t="s">
        <v>2054</v>
      </c>
      <c r="G399" s="1" t="s">
        <v>2081</v>
      </c>
      <c r="H399" s="1" t="s">
        <v>2085</v>
      </c>
      <c r="I399" s="1">
        <v>10</v>
      </c>
      <c r="J399" s="1">
        <v>75319.100000000006</v>
      </c>
      <c r="K399" s="1">
        <v>26.29</v>
      </c>
      <c r="L399" s="1">
        <v>555177.09</v>
      </c>
      <c r="M399" s="1">
        <v>41994.7</v>
      </c>
      <c r="N399" s="1" t="s">
        <v>2089</v>
      </c>
    </row>
    <row r="400" spans="1:14">
      <c r="A400" s="1" t="s">
        <v>412</v>
      </c>
      <c r="B400" s="2">
        <v>45437</v>
      </c>
      <c r="C400" s="1" t="s">
        <v>2020</v>
      </c>
      <c r="D400" s="1" t="s">
        <v>2037</v>
      </c>
      <c r="E400" s="1" t="s">
        <v>2048</v>
      </c>
      <c r="F400" s="1" t="s">
        <v>2052</v>
      </c>
      <c r="G400" s="1" t="s">
        <v>2083</v>
      </c>
      <c r="H400" s="1" t="s">
        <v>2086</v>
      </c>
      <c r="I400" s="1">
        <v>6</v>
      </c>
      <c r="J400" s="1">
        <v>7985.96</v>
      </c>
      <c r="K400" s="1">
        <v>26.53</v>
      </c>
      <c r="L400" s="1">
        <v>35203.71</v>
      </c>
      <c r="M400" s="1">
        <v>4794.58</v>
      </c>
      <c r="N400" s="1" t="s">
        <v>2091</v>
      </c>
    </row>
    <row r="401" spans="1:14">
      <c r="A401" s="1" t="s">
        <v>413</v>
      </c>
      <c r="B401" s="2">
        <v>45437</v>
      </c>
      <c r="C401" s="1" t="s">
        <v>2016</v>
      </c>
      <c r="D401" s="1" t="s">
        <v>2038</v>
      </c>
      <c r="E401" s="1" t="s">
        <v>2045</v>
      </c>
      <c r="F401" s="1" t="s">
        <v>2053</v>
      </c>
      <c r="G401" s="1" t="s">
        <v>2076</v>
      </c>
      <c r="H401" s="1" t="s">
        <v>2085</v>
      </c>
      <c r="I401" s="1">
        <v>7</v>
      </c>
      <c r="J401" s="1">
        <v>530.21</v>
      </c>
      <c r="K401" s="1">
        <v>20.82</v>
      </c>
      <c r="L401" s="1">
        <v>2938.74</v>
      </c>
      <c r="M401" s="1">
        <v>315.62</v>
      </c>
      <c r="N401" s="1" t="s">
        <v>2090</v>
      </c>
    </row>
    <row r="402" spans="1:14">
      <c r="A402" s="1" t="s">
        <v>414</v>
      </c>
      <c r="B402" s="2">
        <v>45438</v>
      </c>
      <c r="C402" s="1" t="s">
        <v>2024</v>
      </c>
      <c r="D402" s="1" t="s">
        <v>2039</v>
      </c>
      <c r="E402" s="1" t="s">
        <v>2048</v>
      </c>
      <c r="F402" s="1" t="s">
        <v>2051</v>
      </c>
      <c r="G402" s="1" t="s">
        <v>2057</v>
      </c>
      <c r="H402" s="1" t="s">
        <v>2087</v>
      </c>
      <c r="I402" s="1">
        <v>6</v>
      </c>
      <c r="J402" s="1">
        <v>31787.86</v>
      </c>
      <c r="K402" s="1">
        <v>8.9</v>
      </c>
      <c r="L402" s="1">
        <v>173752.44</v>
      </c>
      <c r="M402" s="1">
        <v>32203.69</v>
      </c>
      <c r="N402" s="1" t="s">
        <v>2089</v>
      </c>
    </row>
    <row r="403" spans="1:14">
      <c r="A403" s="1" t="s">
        <v>415</v>
      </c>
      <c r="B403" s="2">
        <v>45438</v>
      </c>
      <c r="C403" s="1" t="s">
        <v>2028</v>
      </c>
      <c r="D403" s="1" t="s">
        <v>2040</v>
      </c>
      <c r="E403" s="1" t="s">
        <v>2047</v>
      </c>
      <c r="F403" s="1" t="s">
        <v>2051</v>
      </c>
      <c r="G403" s="1" t="s">
        <v>2080</v>
      </c>
      <c r="H403" s="1" t="s">
        <v>2086</v>
      </c>
      <c r="I403" s="1">
        <v>10</v>
      </c>
      <c r="J403" s="1">
        <v>14816.58</v>
      </c>
      <c r="K403" s="1">
        <v>3.16</v>
      </c>
      <c r="L403" s="1">
        <v>143483.76</v>
      </c>
      <c r="M403" s="1">
        <v>15150.5</v>
      </c>
      <c r="N403" s="1" t="s">
        <v>2089</v>
      </c>
    </row>
    <row r="404" spans="1:14">
      <c r="A404" s="1" t="s">
        <v>416</v>
      </c>
      <c r="B404" s="2">
        <v>45438</v>
      </c>
      <c r="C404" s="1" t="s">
        <v>2024</v>
      </c>
      <c r="D404" s="1" t="s">
        <v>2041</v>
      </c>
      <c r="E404" s="1" t="s">
        <v>2048</v>
      </c>
      <c r="F404" s="1" t="s">
        <v>2052</v>
      </c>
      <c r="G404" s="1" t="s">
        <v>2078</v>
      </c>
      <c r="H404" s="1" t="s">
        <v>2086</v>
      </c>
      <c r="I404" s="1">
        <v>8</v>
      </c>
      <c r="J404" s="1">
        <v>6239.74</v>
      </c>
      <c r="K404" s="1">
        <v>16.71</v>
      </c>
      <c r="L404" s="1">
        <v>41576.639999999999</v>
      </c>
      <c r="M404" s="1">
        <v>6400.46</v>
      </c>
      <c r="N404" s="1" t="s">
        <v>2089</v>
      </c>
    </row>
    <row r="405" spans="1:14">
      <c r="A405" s="1" t="s">
        <v>417</v>
      </c>
      <c r="B405" s="2">
        <v>45439</v>
      </c>
      <c r="C405" s="1" t="s">
        <v>2023</v>
      </c>
      <c r="D405" s="1" t="s">
        <v>2042</v>
      </c>
      <c r="E405" s="1" t="s">
        <v>2047</v>
      </c>
      <c r="F405" s="1" t="s">
        <v>2051</v>
      </c>
      <c r="G405" s="1" t="s">
        <v>2061</v>
      </c>
      <c r="H405" s="1" t="s">
        <v>2085</v>
      </c>
      <c r="I405" s="1">
        <v>1</v>
      </c>
      <c r="J405" s="1">
        <v>8943.02</v>
      </c>
      <c r="K405" s="1">
        <v>9.83</v>
      </c>
      <c r="L405" s="1">
        <v>8063.92</v>
      </c>
      <c r="M405" s="1">
        <v>1505.3</v>
      </c>
      <c r="N405" s="1" t="s">
        <v>2090</v>
      </c>
    </row>
    <row r="406" spans="1:14">
      <c r="A406" s="1" t="s">
        <v>418</v>
      </c>
      <c r="B406" s="2">
        <v>45439</v>
      </c>
      <c r="C406" s="1" t="s">
        <v>2021</v>
      </c>
      <c r="D406" s="1" t="s">
        <v>2043</v>
      </c>
      <c r="E406" s="1" t="s">
        <v>2047</v>
      </c>
      <c r="F406" s="1" t="s">
        <v>2054</v>
      </c>
      <c r="G406" s="1" t="s">
        <v>2066</v>
      </c>
      <c r="H406" s="1" t="s">
        <v>2085</v>
      </c>
      <c r="I406" s="1">
        <v>7</v>
      </c>
      <c r="J406" s="1">
        <v>11855.94</v>
      </c>
      <c r="K406" s="1">
        <v>20.76</v>
      </c>
      <c r="L406" s="1">
        <v>65762.53</v>
      </c>
      <c r="M406" s="1">
        <v>6679.04</v>
      </c>
      <c r="N406" s="1" t="s">
        <v>2089</v>
      </c>
    </row>
    <row r="407" spans="1:14">
      <c r="A407" s="1" t="s">
        <v>419</v>
      </c>
      <c r="B407" s="2">
        <v>45439</v>
      </c>
      <c r="C407" s="1" t="s">
        <v>2028</v>
      </c>
      <c r="D407" s="1" t="s">
        <v>2029</v>
      </c>
      <c r="E407" s="1" t="s">
        <v>2044</v>
      </c>
      <c r="F407" s="1" t="s">
        <v>2051</v>
      </c>
      <c r="G407" s="1" t="s">
        <v>2077</v>
      </c>
      <c r="H407" s="1" t="s">
        <v>2085</v>
      </c>
      <c r="I407" s="1">
        <v>7</v>
      </c>
      <c r="J407" s="1">
        <v>17351.59</v>
      </c>
      <c r="K407" s="1">
        <v>0.54</v>
      </c>
      <c r="L407" s="1">
        <v>120805.24</v>
      </c>
      <c r="M407" s="1">
        <v>29982.6</v>
      </c>
      <c r="N407" s="1" t="s">
        <v>2089</v>
      </c>
    </row>
    <row r="408" spans="1:14">
      <c r="A408" s="1" t="s">
        <v>420</v>
      </c>
      <c r="B408" s="2">
        <v>45440</v>
      </c>
      <c r="C408" s="1" t="s">
        <v>2022</v>
      </c>
      <c r="D408" s="1" t="s">
        <v>2030</v>
      </c>
      <c r="E408" s="1" t="s">
        <v>2048</v>
      </c>
      <c r="F408" s="1" t="s">
        <v>2053</v>
      </c>
      <c r="G408" s="1" t="s">
        <v>2076</v>
      </c>
      <c r="H408" s="1" t="s">
        <v>2085</v>
      </c>
      <c r="I408" s="1">
        <v>10</v>
      </c>
      <c r="J408" s="1">
        <v>707.85</v>
      </c>
      <c r="K408" s="1">
        <v>0.3</v>
      </c>
      <c r="L408" s="1">
        <v>7057.26</v>
      </c>
      <c r="M408" s="1">
        <v>1629.25</v>
      </c>
      <c r="N408" s="1" t="s">
        <v>2091</v>
      </c>
    </row>
    <row r="409" spans="1:14">
      <c r="A409" s="1" t="s">
        <v>421</v>
      </c>
      <c r="B409" s="2">
        <v>45440</v>
      </c>
      <c r="C409" s="1" t="s">
        <v>2019</v>
      </c>
      <c r="D409" s="1" t="s">
        <v>2031</v>
      </c>
      <c r="E409" s="1" t="s">
        <v>2044</v>
      </c>
      <c r="F409" s="1" t="s">
        <v>2052</v>
      </c>
      <c r="G409" s="1" t="s">
        <v>2083</v>
      </c>
      <c r="H409" s="1" t="s">
        <v>2086</v>
      </c>
      <c r="I409" s="1">
        <v>3</v>
      </c>
      <c r="J409" s="1">
        <v>1448.39</v>
      </c>
      <c r="K409" s="1">
        <v>8.57</v>
      </c>
      <c r="L409" s="1">
        <v>3972.79</v>
      </c>
      <c r="M409" s="1">
        <v>726.6</v>
      </c>
      <c r="N409" s="1" t="s">
        <v>2092</v>
      </c>
    </row>
    <row r="410" spans="1:14">
      <c r="A410" s="1" t="s">
        <v>422</v>
      </c>
      <c r="B410" s="2">
        <v>45440</v>
      </c>
      <c r="C410" s="1" t="s">
        <v>2026</v>
      </c>
      <c r="D410" s="1" t="s">
        <v>2032</v>
      </c>
      <c r="E410" s="1" t="s">
        <v>2044</v>
      </c>
      <c r="F410" s="1" t="s">
        <v>2054</v>
      </c>
      <c r="G410" s="1" t="s">
        <v>2066</v>
      </c>
      <c r="H410" s="1" t="s">
        <v>2087</v>
      </c>
      <c r="I410" s="1">
        <v>3</v>
      </c>
      <c r="J410" s="1">
        <v>1562.73</v>
      </c>
      <c r="K410" s="1">
        <v>12.29</v>
      </c>
      <c r="L410" s="1">
        <v>4112.01</v>
      </c>
      <c r="M410" s="1">
        <v>871.51</v>
      </c>
      <c r="N410" s="1" t="s">
        <v>2088</v>
      </c>
    </row>
    <row r="411" spans="1:14">
      <c r="A411" s="1" t="s">
        <v>423</v>
      </c>
      <c r="B411" s="2">
        <v>45441</v>
      </c>
      <c r="C411" s="1" t="s">
        <v>2019</v>
      </c>
      <c r="D411" s="1" t="s">
        <v>2033</v>
      </c>
      <c r="E411" s="1" t="s">
        <v>2046</v>
      </c>
      <c r="F411" s="1" t="s">
        <v>2054</v>
      </c>
      <c r="G411" s="1" t="s">
        <v>2079</v>
      </c>
      <c r="H411" s="1" t="s">
        <v>2085</v>
      </c>
      <c r="I411" s="1">
        <v>4</v>
      </c>
      <c r="J411" s="1">
        <v>52041.279999999999</v>
      </c>
      <c r="K411" s="1">
        <v>2.2200000000000002</v>
      </c>
      <c r="L411" s="1">
        <v>203543.85</v>
      </c>
      <c r="M411" s="1">
        <v>29283.29</v>
      </c>
      <c r="N411" s="1" t="s">
        <v>2089</v>
      </c>
    </row>
    <row r="412" spans="1:14">
      <c r="A412" s="1" t="s">
        <v>424</v>
      </c>
      <c r="B412" s="2">
        <v>45441</v>
      </c>
      <c r="C412" s="1" t="s">
        <v>2014</v>
      </c>
      <c r="D412" s="1" t="s">
        <v>2034</v>
      </c>
      <c r="E412" s="1" t="s">
        <v>2046</v>
      </c>
      <c r="F412" s="1" t="s">
        <v>2051</v>
      </c>
      <c r="G412" s="1" t="s">
        <v>2057</v>
      </c>
      <c r="H412" s="1" t="s">
        <v>2086</v>
      </c>
      <c r="I412" s="1">
        <v>3</v>
      </c>
      <c r="J412" s="1">
        <v>9584.34</v>
      </c>
      <c r="K412" s="1">
        <v>10.52</v>
      </c>
      <c r="L412" s="1">
        <v>25728.2</v>
      </c>
      <c r="M412" s="1">
        <v>3682.56</v>
      </c>
      <c r="N412" s="1" t="s">
        <v>2088</v>
      </c>
    </row>
    <row r="413" spans="1:14">
      <c r="A413" s="1" t="s">
        <v>425</v>
      </c>
      <c r="B413" s="2">
        <v>45442</v>
      </c>
      <c r="C413" s="1" t="s">
        <v>2026</v>
      </c>
      <c r="D413" s="1" t="s">
        <v>2035</v>
      </c>
      <c r="E413" s="1" t="s">
        <v>2048</v>
      </c>
      <c r="F413" s="1" t="s">
        <v>2049</v>
      </c>
      <c r="G413" s="1" t="s">
        <v>2074</v>
      </c>
      <c r="H413" s="1" t="s">
        <v>2085</v>
      </c>
      <c r="I413" s="1">
        <v>10</v>
      </c>
      <c r="J413" s="1">
        <v>1082.3399999999999</v>
      </c>
      <c r="K413" s="1">
        <v>27.88</v>
      </c>
      <c r="L413" s="1">
        <v>7805.84</v>
      </c>
      <c r="M413" s="1">
        <v>1130.3399999999999</v>
      </c>
      <c r="N413" s="1" t="s">
        <v>2088</v>
      </c>
    </row>
    <row r="414" spans="1:14">
      <c r="A414" s="1" t="s">
        <v>426</v>
      </c>
      <c r="B414" s="2">
        <v>45442</v>
      </c>
      <c r="C414" s="1" t="s">
        <v>2027</v>
      </c>
      <c r="D414" s="1" t="s">
        <v>2036</v>
      </c>
      <c r="E414" s="1" t="s">
        <v>2047</v>
      </c>
      <c r="F414" s="1" t="s">
        <v>2049</v>
      </c>
      <c r="G414" s="1" t="s">
        <v>2082</v>
      </c>
      <c r="H414" s="1" t="s">
        <v>2085</v>
      </c>
      <c r="I414" s="1">
        <v>8</v>
      </c>
      <c r="J414" s="1">
        <v>1667.84</v>
      </c>
      <c r="K414" s="1">
        <v>1.99</v>
      </c>
      <c r="L414" s="1">
        <v>13077.2</v>
      </c>
      <c r="M414" s="1">
        <v>3159.83</v>
      </c>
      <c r="N414" s="1" t="s">
        <v>2090</v>
      </c>
    </row>
    <row r="415" spans="1:14">
      <c r="A415" s="1" t="s">
        <v>427</v>
      </c>
      <c r="B415" s="2">
        <v>45442</v>
      </c>
      <c r="C415" s="1" t="s">
        <v>2019</v>
      </c>
      <c r="D415" s="1" t="s">
        <v>2037</v>
      </c>
      <c r="E415" s="1" t="s">
        <v>2044</v>
      </c>
      <c r="F415" s="1" t="s">
        <v>2052</v>
      </c>
      <c r="G415" s="1" t="s">
        <v>2059</v>
      </c>
      <c r="H415" s="1" t="s">
        <v>2086</v>
      </c>
      <c r="I415" s="1">
        <v>4</v>
      </c>
      <c r="J415" s="1">
        <v>1575.18</v>
      </c>
      <c r="K415" s="1">
        <v>20.13</v>
      </c>
      <c r="L415" s="1">
        <v>5032.3900000000003</v>
      </c>
      <c r="M415" s="1">
        <v>1032.24</v>
      </c>
      <c r="N415" s="1" t="s">
        <v>2088</v>
      </c>
    </row>
    <row r="416" spans="1:14">
      <c r="A416" s="1" t="s">
        <v>428</v>
      </c>
      <c r="B416" s="2">
        <v>45443</v>
      </c>
      <c r="C416" s="1" t="s">
        <v>2020</v>
      </c>
      <c r="D416" s="1" t="s">
        <v>2038</v>
      </c>
      <c r="E416" s="1" t="s">
        <v>2045</v>
      </c>
      <c r="F416" s="1" t="s">
        <v>2054</v>
      </c>
      <c r="G416" s="1" t="s">
        <v>2079</v>
      </c>
      <c r="H416" s="1" t="s">
        <v>2087</v>
      </c>
      <c r="I416" s="1">
        <v>6</v>
      </c>
      <c r="J416" s="1">
        <v>60123.23</v>
      </c>
      <c r="K416" s="1">
        <v>27.25</v>
      </c>
      <c r="L416" s="1">
        <v>262437.90000000002</v>
      </c>
      <c r="M416" s="1">
        <v>62900.81</v>
      </c>
      <c r="N416" s="1" t="s">
        <v>2088</v>
      </c>
    </row>
    <row r="417" spans="1:14">
      <c r="A417" s="1" t="s">
        <v>429</v>
      </c>
      <c r="B417" s="2">
        <v>45443</v>
      </c>
      <c r="C417" s="1" t="s">
        <v>2019</v>
      </c>
      <c r="D417" s="1" t="s">
        <v>2039</v>
      </c>
      <c r="E417" s="1" t="s">
        <v>2044</v>
      </c>
      <c r="F417" s="1" t="s">
        <v>2051</v>
      </c>
      <c r="G417" s="1" t="s">
        <v>2057</v>
      </c>
      <c r="H417" s="1" t="s">
        <v>2087</v>
      </c>
      <c r="I417" s="1">
        <v>5</v>
      </c>
      <c r="J417" s="1">
        <v>25663.26</v>
      </c>
      <c r="K417" s="1">
        <v>4.6900000000000004</v>
      </c>
      <c r="L417" s="1">
        <v>122298.27</v>
      </c>
      <c r="M417" s="1">
        <v>20604.849999999999</v>
      </c>
      <c r="N417" s="1" t="s">
        <v>2089</v>
      </c>
    </row>
    <row r="418" spans="1:14">
      <c r="A418" s="1" t="s">
        <v>430</v>
      </c>
      <c r="B418" s="2">
        <v>45443</v>
      </c>
      <c r="C418" s="1" t="s">
        <v>2017</v>
      </c>
      <c r="D418" s="1" t="s">
        <v>2040</v>
      </c>
      <c r="E418" s="1" t="s">
        <v>2048</v>
      </c>
      <c r="F418" s="1" t="s">
        <v>2054</v>
      </c>
      <c r="G418" s="1" t="s">
        <v>2066</v>
      </c>
      <c r="H418" s="1" t="s">
        <v>2087</v>
      </c>
      <c r="I418" s="1">
        <v>2</v>
      </c>
      <c r="J418" s="1">
        <v>34275.64</v>
      </c>
      <c r="K418" s="1">
        <v>27.24</v>
      </c>
      <c r="L418" s="1">
        <v>49877.91</v>
      </c>
      <c r="M418" s="1">
        <v>8816.66</v>
      </c>
      <c r="N418" s="1" t="s">
        <v>2092</v>
      </c>
    </row>
    <row r="419" spans="1:14">
      <c r="A419" s="1" t="s">
        <v>431</v>
      </c>
      <c r="B419" s="2">
        <v>45444</v>
      </c>
      <c r="C419" s="1" t="s">
        <v>2024</v>
      </c>
      <c r="D419" s="1" t="s">
        <v>2041</v>
      </c>
      <c r="E419" s="1" t="s">
        <v>2048</v>
      </c>
      <c r="F419" s="1" t="s">
        <v>2051</v>
      </c>
      <c r="G419" s="1" t="s">
        <v>2069</v>
      </c>
      <c r="H419" s="1" t="s">
        <v>2086</v>
      </c>
      <c r="I419" s="1">
        <v>3</v>
      </c>
      <c r="J419" s="1">
        <v>33051.410000000003</v>
      </c>
      <c r="K419" s="1">
        <v>19.79</v>
      </c>
      <c r="L419" s="1">
        <v>79531.61</v>
      </c>
      <c r="M419" s="1">
        <v>19808.169999999998</v>
      </c>
      <c r="N419" s="1" t="s">
        <v>2089</v>
      </c>
    </row>
    <row r="420" spans="1:14">
      <c r="A420" s="1" t="s">
        <v>432</v>
      </c>
      <c r="B420" s="2">
        <v>45444</v>
      </c>
      <c r="C420" s="1" t="s">
        <v>2024</v>
      </c>
      <c r="D420" s="1" t="s">
        <v>2042</v>
      </c>
      <c r="E420" s="1" t="s">
        <v>2045</v>
      </c>
      <c r="F420" s="1" t="s">
        <v>2052</v>
      </c>
      <c r="G420" s="1" t="s">
        <v>2072</v>
      </c>
      <c r="H420" s="1" t="s">
        <v>2086</v>
      </c>
      <c r="I420" s="1">
        <v>1</v>
      </c>
      <c r="J420" s="1">
        <v>5381.5</v>
      </c>
      <c r="K420" s="1">
        <v>24.78</v>
      </c>
      <c r="L420" s="1">
        <v>4047.96</v>
      </c>
      <c r="M420" s="1">
        <v>671.07</v>
      </c>
      <c r="N420" s="1" t="s">
        <v>2088</v>
      </c>
    </row>
    <row r="421" spans="1:14">
      <c r="A421" s="1" t="s">
        <v>433</v>
      </c>
      <c r="B421" s="2">
        <v>45445</v>
      </c>
      <c r="C421" s="1" t="s">
        <v>2016</v>
      </c>
      <c r="D421" s="1" t="s">
        <v>2043</v>
      </c>
      <c r="E421" s="1" t="s">
        <v>2046</v>
      </c>
      <c r="F421" s="1" t="s">
        <v>2052</v>
      </c>
      <c r="G421" s="1" t="s">
        <v>2059</v>
      </c>
      <c r="H421" s="1" t="s">
        <v>2087</v>
      </c>
      <c r="I421" s="1">
        <v>7</v>
      </c>
      <c r="J421" s="1">
        <v>7812.55</v>
      </c>
      <c r="K421" s="1">
        <v>24.65</v>
      </c>
      <c r="L421" s="1">
        <v>41207.29</v>
      </c>
      <c r="M421" s="1">
        <v>6814.89</v>
      </c>
      <c r="N421" s="1" t="s">
        <v>2090</v>
      </c>
    </row>
    <row r="422" spans="1:14">
      <c r="A422" s="1" t="s">
        <v>434</v>
      </c>
      <c r="B422" s="2">
        <v>45445</v>
      </c>
      <c r="C422" s="1" t="s">
        <v>2018</v>
      </c>
      <c r="D422" s="1" t="s">
        <v>2029</v>
      </c>
      <c r="E422" s="1" t="s">
        <v>2045</v>
      </c>
      <c r="F422" s="1" t="s">
        <v>2049</v>
      </c>
      <c r="G422" s="1" t="s">
        <v>2058</v>
      </c>
      <c r="H422" s="1" t="s">
        <v>2085</v>
      </c>
      <c r="I422" s="1">
        <v>1</v>
      </c>
      <c r="J422" s="1">
        <v>1325.42</v>
      </c>
      <c r="K422" s="1">
        <v>0.93</v>
      </c>
      <c r="L422" s="1">
        <v>1313.09</v>
      </c>
      <c r="M422" s="1">
        <v>150.87</v>
      </c>
      <c r="N422" s="1" t="s">
        <v>2089</v>
      </c>
    </row>
    <row r="423" spans="1:14">
      <c r="A423" s="1" t="s">
        <v>435</v>
      </c>
      <c r="B423" s="2">
        <v>45445</v>
      </c>
      <c r="C423" s="1" t="s">
        <v>2024</v>
      </c>
      <c r="D423" s="1" t="s">
        <v>2030</v>
      </c>
      <c r="E423" s="1" t="s">
        <v>2044</v>
      </c>
      <c r="F423" s="1" t="s">
        <v>2053</v>
      </c>
      <c r="G423" s="1" t="s">
        <v>2067</v>
      </c>
      <c r="H423" s="1" t="s">
        <v>2086</v>
      </c>
      <c r="I423" s="1">
        <v>8</v>
      </c>
      <c r="J423" s="1">
        <v>2159.4899999999998</v>
      </c>
      <c r="K423" s="1">
        <v>23.51</v>
      </c>
      <c r="L423" s="1">
        <v>13214.35</v>
      </c>
      <c r="M423" s="1">
        <v>2077.91</v>
      </c>
      <c r="N423" s="1" t="s">
        <v>2090</v>
      </c>
    </row>
    <row r="424" spans="1:14">
      <c r="A424" s="1" t="s">
        <v>436</v>
      </c>
      <c r="B424" s="2">
        <v>45446</v>
      </c>
      <c r="C424" s="1" t="s">
        <v>2018</v>
      </c>
      <c r="D424" s="1" t="s">
        <v>2031</v>
      </c>
      <c r="E424" s="1" t="s">
        <v>2044</v>
      </c>
      <c r="F424" s="1" t="s">
        <v>2053</v>
      </c>
      <c r="G424" s="1" t="s">
        <v>2062</v>
      </c>
      <c r="H424" s="1" t="s">
        <v>2086</v>
      </c>
      <c r="I424" s="1">
        <v>2</v>
      </c>
      <c r="J424" s="1">
        <v>1895.21</v>
      </c>
      <c r="K424" s="1">
        <v>24.38</v>
      </c>
      <c r="L424" s="1">
        <v>2866.32</v>
      </c>
      <c r="M424" s="1">
        <v>649.82000000000005</v>
      </c>
      <c r="N424" s="1" t="s">
        <v>2090</v>
      </c>
    </row>
    <row r="425" spans="1:14">
      <c r="A425" s="1" t="s">
        <v>437</v>
      </c>
      <c r="B425" s="2">
        <v>45446</v>
      </c>
      <c r="C425" s="1" t="s">
        <v>2019</v>
      </c>
      <c r="D425" s="1" t="s">
        <v>2032</v>
      </c>
      <c r="E425" s="1" t="s">
        <v>2045</v>
      </c>
      <c r="F425" s="1" t="s">
        <v>2050</v>
      </c>
      <c r="G425" s="1" t="s">
        <v>2056</v>
      </c>
      <c r="H425" s="1" t="s">
        <v>2085</v>
      </c>
      <c r="I425" s="1">
        <v>10</v>
      </c>
      <c r="J425" s="1">
        <v>344.03</v>
      </c>
      <c r="K425" s="1">
        <v>13.97</v>
      </c>
      <c r="L425" s="1">
        <v>2959.69</v>
      </c>
      <c r="M425" s="1">
        <v>570.6</v>
      </c>
      <c r="N425" s="1" t="s">
        <v>2089</v>
      </c>
    </row>
    <row r="426" spans="1:14">
      <c r="A426" s="1" t="s">
        <v>438</v>
      </c>
      <c r="B426" s="2">
        <v>45446</v>
      </c>
      <c r="C426" s="1" t="s">
        <v>2021</v>
      </c>
      <c r="D426" s="1" t="s">
        <v>2033</v>
      </c>
      <c r="E426" s="1" t="s">
        <v>2044</v>
      </c>
      <c r="F426" s="1" t="s">
        <v>2049</v>
      </c>
      <c r="G426" s="1" t="s">
        <v>2074</v>
      </c>
      <c r="H426" s="1" t="s">
        <v>2087</v>
      </c>
      <c r="I426" s="1">
        <v>5</v>
      </c>
      <c r="J426" s="1">
        <v>2362.0300000000002</v>
      </c>
      <c r="K426" s="1">
        <v>16.989999999999998</v>
      </c>
      <c r="L426" s="1">
        <v>9803.61</v>
      </c>
      <c r="M426" s="1">
        <v>1256.77</v>
      </c>
      <c r="N426" s="1" t="s">
        <v>2092</v>
      </c>
    </row>
    <row r="427" spans="1:14">
      <c r="A427" s="1" t="s">
        <v>439</v>
      </c>
      <c r="B427" s="2">
        <v>45447</v>
      </c>
      <c r="C427" s="1" t="s">
        <v>2021</v>
      </c>
      <c r="D427" s="1" t="s">
        <v>2034</v>
      </c>
      <c r="E427" s="1" t="s">
        <v>2045</v>
      </c>
      <c r="F427" s="1" t="s">
        <v>2054</v>
      </c>
      <c r="G427" s="1" t="s">
        <v>2079</v>
      </c>
      <c r="H427" s="1" t="s">
        <v>2085</v>
      </c>
      <c r="I427" s="1">
        <v>7</v>
      </c>
      <c r="J427" s="1">
        <v>67051.009999999995</v>
      </c>
      <c r="K427" s="1">
        <v>18.59</v>
      </c>
      <c r="L427" s="1">
        <v>382103.59</v>
      </c>
      <c r="M427" s="1">
        <v>72924.03</v>
      </c>
      <c r="N427" s="1" t="s">
        <v>2092</v>
      </c>
    </row>
    <row r="428" spans="1:14">
      <c r="A428" s="1" t="s">
        <v>440</v>
      </c>
      <c r="B428" s="2">
        <v>45447</v>
      </c>
      <c r="C428" s="1" t="s">
        <v>2027</v>
      </c>
      <c r="D428" s="1" t="s">
        <v>2035</v>
      </c>
      <c r="E428" s="1" t="s">
        <v>2045</v>
      </c>
      <c r="F428" s="1" t="s">
        <v>2050</v>
      </c>
      <c r="G428" s="1" t="s">
        <v>2084</v>
      </c>
      <c r="H428" s="1" t="s">
        <v>2086</v>
      </c>
      <c r="I428" s="1">
        <v>4</v>
      </c>
      <c r="J428" s="1">
        <v>7928.23</v>
      </c>
      <c r="K428" s="1">
        <v>22.7</v>
      </c>
      <c r="L428" s="1">
        <v>24514.09</v>
      </c>
      <c r="M428" s="1">
        <v>3936.31</v>
      </c>
      <c r="N428" s="1" t="s">
        <v>2091</v>
      </c>
    </row>
    <row r="429" spans="1:14">
      <c r="A429" s="1" t="s">
        <v>441</v>
      </c>
      <c r="B429" s="2">
        <v>45447</v>
      </c>
      <c r="C429" s="1" t="s">
        <v>2021</v>
      </c>
      <c r="D429" s="1" t="s">
        <v>2036</v>
      </c>
      <c r="E429" s="1" t="s">
        <v>2044</v>
      </c>
      <c r="F429" s="1" t="s">
        <v>2049</v>
      </c>
      <c r="G429" s="1" t="s">
        <v>2074</v>
      </c>
      <c r="H429" s="1" t="s">
        <v>2085</v>
      </c>
      <c r="I429" s="1">
        <v>7</v>
      </c>
      <c r="J429" s="1">
        <v>2788.14</v>
      </c>
      <c r="K429" s="1">
        <v>27.87</v>
      </c>
      <c r="L429" s="1">
        <v>14077.6</v>
      </c>
      <c r="M429" s="1">
        <v>1907.18</v>
      </c>
      <c r="N429" s="1" t="s">
        <v>2089</v>
      </c>
    </row>
    <row r="430" spans="1:14">
      <c r="A430" s="1" t="s">
        <v>442</v>
      </c>
      <c r="B430" s="2">
        <v>45448</v>
      </c>
      <c r="C430" s="1" t="s">
        <v>2028</v>
      </c>
      <c r="D430" s="1" t="s">
        <v>2037</v>
      </c>
      <c r="E430" s="1" t="s">
        <v>2044</v>
      </c>
      <c r="F430" s="1" t="s">
        <v>2053</v>
      </c>
      <c r="G430" s="1" t="s">
        <v>2067</v>
      </c>
      <c r="H430" s="1" t="s">
        <v>2086</v>
      </c>
      <c r="I430" s="1">
        <v>2</v>
      </c>
      <c r="J430" s="1">
        <v>1658.82</v>
      </c>
      <c r="K430" s="1">
        <v>24.13</v>
      </c>
      <c r="L430" s="1">
        <v>2517.09</v>
      </c>
      <c r="M430" s="1">
        <v>575.85</v>
      </c>
      <c r="N430" s="1" t="s">
        <v>2090</v>
      </c>
    </row>
    <row r="431" spans="1:14">
      <c r="A431" s="1" t="s">
        <v>443</v>
      </c>
      <c r="B431" s="2">
        <v>45448</v>
      </c>
      <c r="C431" s="1" t="s">
        <v>2015</v>
      </c>
      <c r="D431" s="1" t="s">
        <v>2038</v>
      </c>
      <c r="E431" s="1" t="s">
        <v>2045</v>
      </c>
      <c r="F431" s="1" t="s">
        <v>2051</v>
      </c>
      <c r="G431" s="1" t="s">
        <v>2080</v>
      </c>
      <c r="H431" s="1" t="s">
        <v>2086</v>
      </c>
      <c r="I431" s="1">
        <v>7</v>
      </c>
      <c r="J431" s="1">
        <v>34682.019999999997</v>
      </c>
      <c r="K431" s="1">
        <v>3.3</v>
      </c>
      <c r="L431" s="1">
        <v>234762.59</v>
      </c>
      <c r="M431" s="1">
        <v>66029.75</v>
      </c>
      <c r="N431" s="1" t="s">
        <v>2091</v>
      </c>
    </row>
    <row r="432" spans="1:14">
      <c r="A432" s="1" t="s">
        <v>444</v>
      </c>
      <c r="B432" s="2">
        <v>45449</v>
      </c>
      <c r="C432" s="1" t="s">
        <v>2016</v>
      </c>
      <c r="D432" s="1" t="s">
        <v>2039</v>
      </c>
      <c r="E432" s="1" t="s">
        <v>2046</v>
      </c>
      <c r="F432" s="1" t="s">
        <v>2050</v>
      </c>
      <c r="G432" s="1" t="s">
        <v>2084</v>
      </c>
      <c r="H432" s="1" t="s">
        <v>2085</v>
      </c>
      <c r="I432" s="1">
        <v>9</v>
      </c>
      <c r="J432" s="1">
        <v>837.47</v>
      </c>
      <c r="K432" s="1">
        <v>16.64</v>
      </c>
      <c r="L432" s="1">
        <v>6283.03</v>
      </c>
      <c r="M432" s="1">
        <v>1488.76</v>
      </c>
      <c r="N432" s="1" t="s">
        <v>2088</v>
      </c>
    </row>
    <row r="433" spans="1:14">
      <c r="A433" s="1" t="s">
        <v>445</v>
      </c>
      <c r="B433" s="2">
        <v>45449</v>
      </c>
      <c r="C433" s="1" t="s">
        <v>2023</v>
      </c>
      <c r="D433" s="1" t="s">
        <v>2040</v>
      </c>
      <c r="E433" s="1" t="s">
        <v>2044</v>
      </c>
      <c r="F433" s="1" t="s">
        <v>2052</v>
      </c>
      <c r="G433" s="1" t="s">
        <v>2059</v>
      </c>
      <c r="H433" s="1" t="s">
        <v>2086</v>
      </c>
      <c r="I433" s="1">
        <v>1</v>
      </c>
      <c r="J433" s="1">
        <v>8406.2000000000007</v>
      </c>
      <c r="K433" s="1">
        <v>5.09</v>
      </c>
      <c r="L433" s="1">
        <v>7978.32</v>
      </c>
      <c r="M433" s="1">
        <v>437.1</v>
      </c>
      <c r="N433" s="1" t="s">
        <v>2088</v>
      </c>
    </row>
    <row r="434" spans="1:14">
      <c r="A434" s="1" t="s">
        <v>446</v>
      </c>
      <c r="B434" s="2">
        <v>45449</v>
      </c>
      <c r="C434" s="1" t="s">
        <v>2019</v>
      </c>
      <c r="D434" s="1" t="s">
        <v>2041</v>
      </c>
      <c r="E434" s="1" t="s">
        <v>2047</v>
      </c>
      <c r="F434" s="1" t="s">
        <v>2052</v>
      </c>
      <c r="G434" s="1" t="s">
        <v>2078</v>
      </c>
      <c r="H434" s="1" t="s">
        <v>2085</v>
      </c>
      <c r="I434" s="1">
        <v>6</v>
      </c>
      <c r="J434" s="1">
        <v>5452.16</v>
      </c>
      <c r="K434" s="1">
        <v>14.65</v>
      </c>
      <c r="L434" s="1">
        <v>27920.51</v>
      </c>
      <c r="M434" s="1">
        <v>4201.25</v>
      </c>
      <c r="N434" s="1" t="s">
        <v>2091</v>
      </c>
    </row>
    <row r="435" spans="1:14">
      <c r="A435" s="1" t="s">
        <v>447</v>
      </c>
      <c r="B435" s="2">
        <v>45450</v>
      </c>
      <c r="C435" s="1" t="s">
        <v>2014</v>
      </c>
      <c r="D435" s="1" t="s">
        <v>2042</v>
      </c>
      <c r="E435" s="1" t="s">
        <v>2046</v>
      </c>
      <c r="F435" s="1" t="s">
        <v>2052</v>
      </c>
      <c r="G435" s="1" t="s">
        <v>2059</v>
      </c>
      <c r="H435" s="1" t="s">
        <v>2085</v>
      </c>
      <c r="I435" s="1">
        <v>4</v>
      </c>
      <c r="J435" s="1">
        <v>969.87</v>
      </c>
      <c r="K435" s="1">
        <v>22.22</v>
      </c>
      <c r="L435" s="1">
        <v>3017.46</v>
      </c>
      <c r="M435" s="1">
        <v>222.47</v>
      </c>
      <c r="N435" s="1" t="s">
        <v>2092</v>
      </c>
    </row>
    <row r="436" spans="1:14">
      <c r="A436" s="1" t="s">
        <v>448</v>
      </c>
      <c r="B436" s="2">
        <v>45450</v>
      </c>
      <c r="C436" s="1" t="s">
        <v>2016</v>
      </c>
      <c r="D436" s="1" t="s">
        <v>2043</v>
      </c>
      <c r="E436" s="1" t="s">
        <v>2045</v>
      </c>
      <c r="F436" s="1" t="s">
        <v>2052</v>
      </c>
      <c r="G436" s="1" t="s">
        <v>2083</v>
      </c>
      <c r="H436" s="1" t="s">
        <v>2086</v>
      </c>
      <c r="I436" s="1">
        <v>4</v>
      </c>
      <c r="J436" s="1">
        <v>8833.5400000000009</v>
      </c>
      <c r="K436" s="1">
        <v>26.49</v>
      </c>
      <c r="L436" s="1">
        <v>25974.14</v>
      </c>
      <c r="M436" s="1">
        <v>5578.24</v>
      </c>
      <c r="N436" s="1" t="s">
        <v>2089</v>
      </c>
    </row>
    <row r="437" spans="1:14">
      <c r="A437" s="1" t="s">
        <v>449</v>
      </c>
      <c r="B437" s="2">
        <v>45450</v>
      </c>
      <c r="C437" s="1" t="s">
        <v>2017</v>
      </c>
      <c r="D437" s="1" t="s">
        <v>2029</v>
      </c>
      <c r="E437" s="1" t="s">
        <v>2048</v>
      </c>
      <c r="F437" s="1" t="s">
        <v>2053</v>
      </c>
      <c r="G437" s="1" t="s">
        <v>2073</v>
      </c>
      <c r="H437" s="1" t="s">
        <v>2086</v>
      </c>
      <c r="I437" s="1">
        <v>3</v>
      </c>
      <c r="J437" s="1">
        <v>581.33000000000004</v>
      </c>
      <c r="K437" s="1">
        <v>6.49</v>
      </c>
      <c r="L437" s="1">
        <v>1630.81</v>
      </c>
      <c r="M437" s="1">
        <v>363.35</v>
      </c>
      <c r="N437" s="1" t="s">
        <v>2090</v>
      </c>
    </row>
    <row r="438" spans="1:14">
      <c r="A438" s="1" t="s">
        <v>450</v>
      </c>
      <c r="B438" s="2">
        <v>45451</v>
      </c>
      <c r="C438" s="1" t="s">
        <v>2027</v>
      </c>
      <c r="D438" s="1" t="s">
        <v>2030</v>
      </c>
      <c r="E438" s="1" t="s">
        <v>2045</v>
      </c>
      <c r="F438" s="1" t="s">
        <v>2052</v>
      </c>
      <c r="G438" s="1" t="s">
        <v>2078</v>
      </c>
      <c r="H438" s="1" t="s">
        <v>2086</v>
      </c>
      <c r="I438" s="1">
        <v>7</v>
      </c>
      <c r="J438" s="1">
        <v>4466.8599999999997</v>
      </c>
      <c r="K438" s="1">
        <v>11.88</v>
      </c>
      <c r="L438" s="1">
        <v>27553.38</v>
      </c>
      <c r="M438" s="1">
        <v>5988.1</v>
      </c>
      <c r="N438" s="1" t="s">
        <v>2089</v>
      </c>
    </row>
    <row r="439" spans="1:14">
      <c r="A439" s="1" t="s">
        <v>451</v>
      </c>
      <c r="B439" s="2">
        <v>45451</v>
      </c>
      <c r="C439" s="1" t="s">
        <v>2018</v>
      </c>
      <c r="D439" s="1" t="s">
        <v>2031</v>
      </c>
      <c r="E439" s="1" t="s">
        <v>2047</v>
      </c>
      <c r="F439" s="1" t="s">
        <v>2051</v>
      </c>
      <c r="G439" s="1" t="s">
        <v>2061</v>
      </c>
      <c r="H439" s="1" t="s">
        <v>2086</v>
      </c>
      <c r="I439" s="1">
        <v>7</v>
      </c>
      <c r="J439" s="1">
        <v>9220.93</v>
      </c>
      <c r="K439" s="1">
        <v>6.88</v>
      </c>
      <c r="L439" s="1">
        <v>60105.71</v>
      </c>
      <c r="M439" s="1">
        <v>10054.290000000001</v>
      </c>
      <c r="N439" s="1" t="s">
        <v>2090</v>
      </c>
    </row>
    <row r="440" spans="1:14">
      <c r="A440" s="1" t="s">
        <v>452</v>
      </c>
      <c r="B440" s="2">
        <v>45451</v>
      </c>
      <c r="C440" s="1" t="s">
        <v>2022</v>
      </c>
      <c r="D440" s="1" t="s">
        <v>2032</v>
      </c>
      <c r="E440" s="1" t="s">
        <v>2044</v>
      </c>
      <c r="F440" s="1" t="s">
        <v>2049</v>
      </c>
      <c r="G440" s="1" t="s">
        <v>2074</v>
      </c>
      <c r="H440" s="1" t="s">
        <v>2087</v>
      </c>
      <c r="I440" s="1">
        <v>5</v>
      </c>
      <c r="J440" s="1">
        <v>2289.91</v>
      </c>
      <c r="K440" s="1">
        <v>29.03</v>
      </c>
      <c r="L440" s="1">
        <v>8125.75</v>
      </c>
      <c r="M440" s="1">
        <v>1299.5899999999999</v>
      </c>
      <c r="N440" s="1" t="s">
        <v>2090</v>
      </c>
    </row>
    <row r="441" spans="1:14">
      <c r="A441" s="1" t="s">
        <v>453</v>
      </c>
      <c r="B441" s="2">
        <v>45452</v>
      </c>
      <c r="C441" s="1" t="s">
        <v>2025</v>
      </c>
      <c r="D441" s="1" t="s">
        <v>2033</v>
      </c>
      <c r="E441" s="1" t="s">
        <v>2045</v>
      </c>
      <c r="F441" s="1" t="s">
        <v>2052</v>
      </c>
      <c r="G441" s="1" t="s">
        <v>2078</v>
      </c>
      <c r="H441" s="1" t="s">
        <v>2087</v>
      </c>
      <c r="I441" s="1">
        <v>10</v>
      </c>
      <c r="J441" s="1">
        <v>2713.34</v>
      </c>
      <c r="K441" s="1">
        <v>10.66</v>
      </c>
      <c r="L441" s="1">
        <v>24240.98</v>
      </c>
      <c r="M441" s="1">
        <v>5296.62</v>
      </c>
      <c r="N441" s="1" t="s">
        <v>2088</v>
      </c>
    </row>
    <row r="442" spans="1:14">
      <c r="A442" s="1" t="s">
        <v>454</v>
      </c>
      <c r="B442" s="2">
        <v>45452</v>
      </c>
      <c r="C442" s="1" t="s">
        <v>2018</v>
      </c>
      <c r="D442" s="1" t="s">
        <v>2034</v>
      </c>
      <c r="E442" s="1" t="s">
        <v>2047</v>
      </c>
      <c r="F442" s="1" t="s">
        <v>2051</v>
      </c>
      <c r="G442" s="1" t="s">
        <v>2061</v>
      </c>
      <c r="H442" s="1" t="s">
        <v>2087</v>
      </c>
      <c r="I442" s="1">
        <v>7</v>
      </c>
      <c r="J442" s="1">
        <v>28560.35</v>
      </c>
      <c r="K442" s="1">
        <v>18.52</v>
      </c>
      <c r="L442" s="1">
        <v>162896.81</v>
      </c>
      <c r="M442" s="1">
        <v>14497.04</v>
      </c>
      <c r="N442" s="1" t="s">
        <v>2089</v>
      </c>
    </row>
    <row r="443" spans="1:14">
      <c r="A443" s="1" t="s">
        <v>455</v>
      </c>
      <c r="B443" s="2">
        <v>45453</v>
      </c>
      <c r="C443" s="1" t="s">
        <v>2028</v>
      </c>
      <c r="D443" s="1" t="s">
        <v>2035</v>
      </c>
      <c r="E443" s="1" t="s">
        <v>2047</v>
      </c>
      <c r="F443" s="1" t="s">
        <v>2049</v>
      </c>
      <c r="G443" s="1" t="s">
        <v>2058</v>
      </c>
      <c r="H443" s="1" t="s">
        <v>2085</v>
      </c>
      <c r="I443" s="1">
        <v>7</v>
      </c>
      <c r="J443" s="1">
        <v>292.7</v>
      </c>
      <c r="K443" s="1">
        <v>13.79</v>
      </c>
      <c r="L443" s="1">
        <v>1766.36</v>
      </c>
      <c r="M443" s="1">
        <v>223.65</v>
      </c>
      <c r="N443" s="1" t="s">
        <v>2092</v>
      </c>
    </row>
    <row r="444" spans="1:14">
      <c r="A444" s="1" t="s">
        <v>456</v>
      </c>
      <c r="B444" s="2">
        <v>45453</v>
      </c>
      <c r="C444" s="1" t="s">
        <v>2017</v>
      </c>
      <c r="D444" s="1" t="s">
        <v>2036</v>
      </c>
      <c r="E444" s="1" t="s">
        <v>2047</v>
      </c>
      <c r="F444" s="1" t="s">
        <v>2054</v>
      </c>
      <c r="G444" s="1" t="s">
        <v>2066</v>
      </c>
      <c r="H444" s="1" t="s">
        <v>2086</v>
      </c>
      <c r="I444" s="1">
        <v>9</v>
      </c>
      <c r="J444" s="1">
        <v>46155.86</v>
      </c>
      <c r="K444" s="1">
        <v>20.02</v>
      </c>
      <c r="L444" s="1">
        <v>332239.11</v>
      </c>
      <c r="M444" s="1">
        <v>81153.5</v>
      </c>
      <c r="N444" s="1" t="s">
        <v>2090</v>
      </c>
    </row>
    <row r="445" spans="1:14">
      <c r="A445" s="1" t="s">
        <v>457</v>
      </c>
      <c r="B445" s="2">
        <v>45453</v>
      </c>
      <c r="C445" s="1" t="s">
        <v>2028</v>
      </c>
      <c r="D445" s="1" t="s">
        <v>2037</v>
      </c>
      <c r="E445" s="1" t="s">
        <v>2046</v>
      </c>
      <c r="F445" s="1" t="s">
        <v>2054</v>
      </c>
      <c r="G445" s="1" t="s">
        <v>2063</v>
      </c>
      <c r="H445" s="1" t="s">
        <v>2087</v>
      </c>
      <c r="I445" s="1">
        <v>8</v>
      </c>
      <c r="J445" s="1">
        <v>30031.65</v>
      </c>
      <c r="K445" s="1">
        <v>5.85</v>
      </c>
      <c r="L445" s="1">
        <v>226198.39</v>
      </c>
      <c r="M445" s="1">
        <v>38984.870000000003</v>
      </c>
      <c r="N445" s="1" t="s">
        <v>2089</v>
      </c>
    </row>
    <row r="446" spans="1:14">
      <c r="A446" s="1" t="s">
        <v>458</v>
      </c>
      <c r="B446" s="2">
        <v>45454</v>
      </c>
      <c r="C446" s="1" t="s">
        <v>2014</v>
      </c>
      <c r="D446" s="1" t="s">
        <v>2038</v>
      </c>
      <c r="E446" s="1" t="s">
        <v>2048</v>
      </c>
      <c r="F446" s="1" t="s">
        <v>2049</v>
      </c>
      <c r="G446" s="1" t="s">
        <v>2071</v>
      </c>
      <c r="H446" s="1" t="s">
        <v>2087</v>
      </c>
      <c r="I446" s="1">
        <v>3</v>
      </c>
      <c r="J446" s="1">
        <v>2409.17</v>
      </c>
      <c r="K446" s="1">
        <v>3.7</v>
      </c>
      <c r="L446" s="1">
        <v>6960.09</v>
      </c>
      <c r="M446" s="1">
        <v>1563.46</v>
      </c>
      <c r="N446" s="1" t="s">
        <v>2090</v>
      </c>
    </row>
    <row r="447" spans="1:14">
      <c r="A447" s="1" t="s">
        <v>459</v>
      </c>
      <c r="B447" s="2">
        <v>45454</v>
      </c>
      <c r="C447" s="1" t="s">
        <v>2027</v>
      </c>
      <c r="D447" s="1" t="s">
        <v>2039</v>
      </c>
      <c r="E447" s="1" t="s">
        <v>2046</v>
      </c>
      <c r="F447" s="1" t="s">
        <v>2053</v>
      </c>
      <c r="G447" s="1" t="s">
        <v>2073</v>
      </c>
      <c r="H447" s="1" t="s">
        <v>2086</v>
      </c>
      <c r="I447" s="1">
        <v>1</v>
      </c>
      <c r="J447" s="1">
        <v>521.17999999999995</v>
      </c>
      <c r="K447" s="1">
        <v>17.03</v>
      </c>
      <c r="L447" s="1">
        <v>432.42</v>
      </c>
      <c r="M447" s="1">
        <v>84.25</v>
      </c>
      <c r="N447" s="1" t="s">
        <v>2091</v>
      </c>
    </row>
    <row r="448" spans="1:14">
      <c r="A448" s="1" t="s">
        <v>460</v>
      </c>
      <c r="B448" s="2">
        <v>45454</v>
      </c>
      <c r="C448" s="1" t="s">
        <v>2020</v>
      </c>
      <c r="D448" s="1" t="s">
        <v>2040</v>
      </c>
      <c r="E448" s="1" t="s">
        <v>2046</v>
      </c>
      <c r="F448" s="1" t="s">
        <v>2053</v>
      </c>
      <c r="G448" s="1" t="s">
        <v>2060</v>
      </c>
      <c r="H448" s="1" t="s">
        <v>2086</v>
      </c>
      <c r="I448" s="1">
        <v>6</v>
      </c>
      <c r="J448" s="1">
        <v>415.97</v>
      </c>
      <c r="K448" s="1">
        <v>25.64</v>
      </c>
      <c r="L448" s="1">
        <v>1855.89</v>
      </c>
      <c r="M448" s="1">
        <v>169.49</v>
      </c>
      <c r="N448" s="1" t="s">
        <v>2090</v>
      </c>
    </row>
    <row r="449" spans="1:14">
      <c r="A449" s="1" t="s">
        <v>461</v>
      </c>
      <c r="B449" s="2">
        <v>45455</v>
      </c>
      <c r="C449" s="1" t="s">
        <v>2024</v>
      </c>
      <c r="D449" s="1" t="s">
        <v>2041</v>
      </c>
      <c r="E449" s="1" t="s">
        <v>2048</v>
      </c>
      <c r="F449" s="1" t="s">
        <v>2052</v>
      </c>
      <c r="G449" s="1" t="s">
        <v>2059</v>
      </c>
      <c r="H449" s="1" t="s">
        <v>2087</v>
      </c>
      <c r="I449" s="1">
        <v>6</v>
      </c>
      <c r="J449" s="1">
        <v>6117.74</v>
      </c>
      <c r="K449" s="1">
        <v>17.3</v>
      </c>
      <c r="L449" s="1">
        <v>30356.23</v>
      </c>
      <c r="M449" s="1">
        <v>5758.32</v>
      </c>
      <c r="N449" s="1" t="s">
        <v>2089</v>
      </c>
    </row>
    <row r="450" spans="1:14">
      <c r="A450" s="1" t="s">
        <v>462</v>
      </c>
      <c r="B450" s="2">
        <v>45455</v>
      </c>
      <c r="C450" s="1" t="s">
        <v>2025</v>
      </c>
      <c r="D450" s="1" t="s">
        <v>2042</v>
      </c>
      <c r="E450" s="1" t="s">
        <v>2048</v>
      </c>
      <c r="F450" s="1" t="s">
        <v>2051</v>
      </c>
      <c r="G450" s="1" t="s">
        <v>2080</v>
      </c>
      <c r="H450" s="1" t="s">
        <v>2086</v>
      </c>
      <c r="I450" s="1">
        <v>1</v>
      </c>
      <c r="J450" s="1">
        <v>29449.09</v>
      </c>
      <c r="K450" s="1">
        <v>17.2</v>
      </c>
      <c r="L450" s="1">
        <v>24383.85</v>
      </c>
      <c r="M450" s="1">
        <v>3277.49</v>
      </c>
      <c r="N450" s="1" t="s">
        <v>2091</v>
      </c>
    </row>
    <row r="451" spans="1:14">
      <c r="A451" s="1" t="s">
        <v>463</v>
      </c>
      <c r="B451" s="2">
        <v>45455</v>
      </c>
      <c r="C451" s="1" t="s">
        <v>2019</v>
      </c>
      <c r="D451" s="1" t="s">
        <v>2043</v>
      </c>
      <c r="E451" s="1" t="s">
        <v>2047</v>
      </c>
      <c r="F451" s="1" t="s">
        <v>2052</v>
      </c>
      <c r="G451" s="1" t="s">
        <v>2065</v>
      </c>
      <c r="H451" s="1" t="s">
        <v>2087</v>
      </c>
      <c r="I451" s="1">
        <v>10</v>
      </c>
      <c r="J451" s="1">
        <v>5315.14</v>
      </c>
      <c r="K451" s="1">
        <v>17.670000000000002</v>
      </c>
      <c r="L451" s="1">
        <v>43759.55</v>
      </c>
      <c r="M451" s="1">
        <v>10411.23</v>
      </c>
      <c r="N451" s="1" t="s">
        <v>2091</v>
      </c>
    </row>
    <row r="452" spans="1:14">
      <c r="A452" s="1" t="s">
        <v>464</v>
      </c>
      <c r="B452" s="2">
        <v>45456</v>
      </c>
      <c r="C452" s="1" t="s">
        <v>2023</v>
      </c>
      <c r="D452" s="1" t="s">
        <v>2029</v>
      </c>
      <c r="E452" s="1" t="s">
        <v>2047</v>
      </c>
      <c r="F452" s="1" t="s">
        <v>2049</v>
      </c>
      <c r="G452" s="1" t="s">
        <v>2058</v>
      </c>
      <c r="H452" s="1" t="s">
        <v>2087</v>
      </c>
      <c r="I452" s="1">
        <v>1</v>
      </c>
      <c r="J452" s="1">
        <v>498.54</v>
      </c>
      <c r="K452" s="1">
        <v>13.75</v>
      </c>
      <c r="L452" s="1">
        <v>429.99</v>
      </c>
      <c r="M452" s="1">
        <v>59.25</v>
      </c>
      <c r="N452" s="1" t="s">
        <v>2089</v>
      </c>
    </row>
    <row r="453" spans="1:14">
      <c r="A453" s="1" t="s">
        <v>465</v>
      </c>
      <c r="B453" s="2">
        <v>45456</v>
      </c>
      <c r="C453" s="1" t="s">
        <v>2015</v>
      </c>
      <c r="D453" s="1" t="s">
        <v>2030</v>
      </c>
      <c r="E453" s="1" t="s">
        <v>2048</v>
      </c>
      <c r="F453" s="1" t="s">
        <v>2053</v>
      </c>
      <c r="G453" s="1" t="s">
        <v>2060</v>
      </c>
      <c r="H453" s="1" t="s">
        <v>2085</v>
      </c>
      <c r="I453" s="1">
        <v>10</v>
      </c>
      <c r="J453" s="1">
        <v>1985.95</v>
      </c>
      <c r="K453" s="1">
        <v>17.7</v>
      </c>
      <c r="L453" s="1">
        <v>16344.37</v>
      </c>
      <c r="M453" s="1">
        <v>843.51</v>
      </c>
      <c r="N453" s="1" t="s">
        <v>2092</v>
      </c>
    </row>
    <row r="454" spans="1:14">
      <c r="A454" s="1" t="s">
        <v>466</v>
      </c>
      <c r="B454" s="2">
        <v>45457</v>
      </c>
      <c r="C454" s="1" t="s">
        <v>2024</v>
      </c>
      <c r="D454" s="1" t="s">
        <v>2031</v>
      </c>
      <c r="E454" s="1" t="s">
        <v>2047</v>
      </c>
      <c r="F454" s="1" t="s">
        <v>2052</v>
      </c>
      <c r="G454" s="1" t="s">
        <v>2059</v>
      </c>
      <c r="H454" s="1" t="s">
        <v>2085</v>
      </c>
      <c r="I454" s="1">
        <v>1</v>
      </c>
      <c r="J454" s="1">
        <v>7100.02</v>
      </c>
      <c r="K454" s="1">
        <v>28.06</v>
      </c>
      <c r="L454" s="1">
        <v>5107.75</v>
      </c>
      <c r="M454" s="1">
        <v>735.27</v>
      </c>
      <c r="N454" s="1" t="s">
        <v>2089</v>
      </c>
    </row>
    <row r="455" spans="1:14">
      <c r="A455" s="1" t="s">
        <v>467</v>
      </c>
      <c r="B455" s="2">
        <v>45457</v>
      </c>
      <c r="C455" s="1" t="s">
        <v>2025</v>
      </c>
      <c r="D455" s="1" t="s">
        <v>2032</v>
      </c>
      <c r="E455" s="1" t="s">
        <v>2047</v>
      </c>
      <c r="F455" s="1" t="s">
        <v>2053</v>
      </c>
      <c r="G455" s="1" t="s">
        <v>2076</v>
      </c>
      <c r="H455" s="1" t="s">
        <v>2086</v>
      </c>
      <c r="I455" s="1">
        <v>7</v>
      </c>
      <c r="J455" s="1">
        <v>1651.84</v>
      </c>
      <c r="K455" s="1">
        <v>6.8</v>
      </c>
      <c r="L455" s="1">
        <v>10776.6</v>
      </c>
      <c r="M455" s="1">
        <v>2344</v>
      </c>
      <c r="N455" s="1" t="s">
        <v>2090</v>
      </c>
    </row>
    <row r="456" spans="1:14">
      <c r="A456" s="1" t="s">
        <v>468</v>
      </c>
      <c r="B456" s="2">
        <v>45457</v>
      </c>
      <c r="C456" s="1" t="s">
        <v>2020</v>
      </c>
      <c r="D456" s="1" t="s">
        <v>2033</v>
      </c>
      <c r="E456" s="1" t="s">
        <v>2044</v>
      </c>
      <c r="F456" s="1" t="s">
        <v>2049</v>
      </c>
      <c r="G456" s="1" t="s">
        <v>2071</v>
      </c>
      <c r="H456" s="1" t="s">
        <v>2087</v>
      </c>
      <c r="I456" s="1">
        <v>9</v>
      </c>
      <c r="J456" s="1">
        <v>1342.63</v>
      </c>
      <c r="K456" s="1">
        <v>25.18</v>
      </c>
      <c r="L456" s="1">
        <v>9041</v>
      </c>
      <c r="M456" s="1">
        <v>815.23</v>
      </c>
      <c r="N456" s="1" t="s">
        <v>2091</v>
      </c>
    </row>
    <row r="457" spans="1:14">
      <c r="A457" s="1" t="s">
        <v>469</v>
      </c>
      <c r="B457" s="2">
        <v>45458</v>
      </c>
      <c r="C457" s="1" t="s">
        <v>2023</v>
      </c>
      <c r="D457" s="1" t="s">
        <v>2034</v>
      </c>
      <c r="E457" s="1" t="s">
        <v>2044</v>
      </c>
      <c r="F457" s="1" t="s">
        <v>2049</v>
      </c>
      <c r="G457" s="1" t="s">
        <v>2071</v>
      </c>
      <c r="H457" s="1" t="s">
        <v>2087</v>
      </c>
      <c r="I457" s="1">
        <v>9</v>
      </c>
      <c r="J457" s="1">
        <v>1844.54</v>
      </c>
      <c r="K457" s="1">
        <v>8.43</v>
      </c>
      <c r="L457" s="1">
        <v>15201.41</v>
      </c>
      <c r="M457" s="1">
        <v>1419.42</v>
      </c>
      <c r="N457" s="1" t="s">
        <v>2089</v>
      </c>
    </row>
    <row r="458" spans="1:14">
      <c r="A458" s="1" t="s">
        <v>470</v>
      </c>
      <c r="B458" s="2">
        <v>45458</v>
      </c>
      <c r="C458" s="1" t="s">
        <v>2022</v>
      </c>
      <c r="D458" s="1" t="s">
        <v>2035</v>
      </c>
      <c r="E458" s="1" t="s">
        <v>2047</v>
      </c>
      <c r="F458" s="1" t="s">
        <v>2050</v>
      </c>
      <c r="G458" s="1" t="s">
        <v>2064</v>
      </c>
      <c r="H458" s="1" t="s">
        <v>2087</v>
      </c>
      <c r="I458" s="1">
        <v>1</v>
      </c>
      <c r="J458" s="1">
        <v>1923.02</v>
      </c>
      <c r="K458" s="1">
        <v>16.690000000000001</v>
      </c>
      <c r="L458" s="1">
        <v>1602.07</v>
      </c>
      <c r="M458" s="1">
        <v>423.14</v>
      </c>
      <c r="N458" s="1" t="s">
        <v>2090</v>
      </c>
    </row>
    <row r="459" spans="1:14">
      <c r="A459" s="1" t="s">
        <v>471</v>
      </c>
      <c r="B459" s="2">
        <v>45458</v>
      </c>
      <c r="C459" s="1" t="s">
        <v>2022</v>
      </c>
      <c r="D459" s="1" t="s">
        <v>2036</v>
      </c>
      <c r="E459" s="1" t="s">
        <v>2048</v>
      </c>
      <c r="F459" s="1" t="s">
        <v>2053</v>
      </c>
      <c r="G459" s="1" t="s">
        <v>2060</v>
      </c>
      <c r="H459" s="1" t="s">
        <v>2085</v>
      </c>
      <c r="I459" s="1">
        <v>6</v>
      </c>
      <c r="J459" s="1">
        <v>310.12</v>
      </c>
      <c r="K459" s="1">
        <v>8.48</v>
      </c>
      <c r="L459" s="1">
        <v>1702.93</v>
      </c>
      <c r="M459" s="1">
        <v>263.35000000000002</v>
      </c>
      <c r="N459" s="1" t="s">
        <v>2089</v>
      </c>
    </row>
    <row r="460" spans="1:14">
      <c r="A460" s="1" t="s">
        <v>472</v>
      </c>
      <c r="B460" s="2">
        <v>45459</v>
      </c>
      <c r="C460" s="1" t="s">
        <v>2018</v>
      </c>
      <c r="D460" s="1" t="s">
        <v>2037</v>
      </c>
      <c r="E460" s="1" t="s">
        <v>2046</v>
      </c>
      <c r="F460" s="1" t="s">
        <v>2051</v>
      </c>
      <c r="G460" s="1" t="s">
        <v>2080</v>
      </c>
      <c r="H460" s="1" t="s">
        <v>2087</v>
      </c>
      <c r="I460" s="1">
        <v>7</v>
      </c>
      <c r="J460" s="1">
        <v>11354.36</v>
      </c>
      <c r="K460" s="1">
        <v>18.34</v>
      </c>
      <c r="L460" s="1">
        <v>64903.79</v>
      </c>
      <c r="M460" s="1">
        <v>14254.49</v>
      </c>
      <c r="N460" s="1" t="s">
        <v>2090</v>
      </c>
    </row>
    <row r="461" spans="1:14">
      <c r="A461" s="1" t="s">
        <v>473</v>
      </c>
      <c r="B461" s="2">
        <v>45459</v>
      </c>
      <c r="C461" s="1" t="s">
        <v>2019</v>
      </c>
      <c r="D461" s="1" t="s">
        <v>2038</v>
      </c>
      <c r="E461" s="1" t="s">
        <v>2046</v>
      </c>
      <c r="F461" s="1" t="s">
        <v>2050</v>
      </c>
      <c r="G461" s="1" t="s">
        <v>2070</v>
      </c>
      <c r="H461" s="1" t="s">
        <v>2087</v>
      </c>
      <c r="I461" s="1">
        <v>4</v>
      </c>
      <c r="J461" s="1">
        <v>2998.18</v>
      </c>
      <c r="K461" s="1">
        <v>27.39</v>
      </c>
      <c r="L461" s="1">
        <v>8707.91</v>
      </c>
      <c r="M461" s="1">
        <v>1175.07</v>
      </c>
      <c r="N461" s="1" t="s">
        <v>2091</v>
      </c>
    </row>
    <row r="462" spans="1:14">
      <c r="A462" s="1" t="s">
        <v>474</v>
      </c>
      <c r="B462" s="2">
        <v>45459</v>
      </c>
      <c r="C462" s="1" t="s">
        <v>2024</v>
      </c>
      <c r="D462" s="1" t="s">
        <v>2039</v>
      </c>
      <c r="E462" s="1" t="s">
        <v>2044</v>
      </c>
      <c r="F462" s="1" t="s">
        <v>2054</v>
      </c>
      <c r="G462" s="1" t="s">
        <v>2079</v>
      </c>
      <c r="H462" s="1" t="s">
        <v>2085</v>
      </c>
      <c r="I462" s="1">
        <v>7</v>
      </c>
      <c r="J462" s="1">
        <v>35133.760000000002</v>
      </c>
      <c r="K462" s="1">
        <v>23.83</v>
      </c>
      <c r="L462" s="1">
        <v>187329.69</v>
      </c>
      <c r="M462" s="1">
        <v>22391.95</v>
      </c>
      <c r="N462" s="1" t="s">
        <v>2092</v>
      </c>
    </row>
    <row r="463" spans="1:14">
      <c r="A463" s="1" t="s">
        <v>475</v>
      </c>
      <c r="B463" s="2">
        <v>45460</v>
      </c>
      <c r="C463" s="1" t="s">
        <v>2014</v>
      </c>
      <c r="D463" s="1" t="s">
        <v>2040</v>
      </c>
      <c r="E463" s="1" t="s">
        <v>2048</v>
      </c>
      <c r="F463" s="1" t="s">
        <v>2051</v>
      </c>
      <c r="G463" s="1" t="s">
        <v>2077</v>
      </c>
      <c r="H463" s="1" t="s">
        <v>2086</v>
      </c>
      <c r="I463" s="1">
        <v>8</v>
      </c>
      <c r="J463" s="1">
        <v>37620.86</v>
      </c>
      <c r="K463" s="1">
        <v>13.58</v>
      </c>
      <c r="L463" s="1">
        <v>260095.58</v>
      </c>
      <c r="M463" s="1">
        <v>25911.439999999999</v>
      </c>
      <c r="N463" s="1" t="s">
        <v>2088</v>
      </c>
    </row>
    <row r="464" spans="1:14">
      <c r="A464" s="1" t="s">
        <v>476</v>
      </c>
      <c r="B464" s="2">
        <v>45460</v>
      </c>
      <c r="C464" s="1" t="s">
        <v>2018</v>
      </c>
      <c r="D464" s="1" t="s">
        <v>2041</v>
      </c>
      <c r="E464" s="1" t="s">
        <v>2047</v>
      </c>
      <c r="F464" s="1" t="s">
        <v>2052</v>
      </c>
      <c r="G464" s="1" t="s">
        <v>2065</v>
      </c>
      <c r="H464" s="1" t="s">
        <v>2085</v>
      </c>
      <c r="I464" s="1">
        <v>9</v>
      </c>
      <c r="J464" s="1">
        <v>9149.68</v>
      </c>
      <c r="K464" s="1">
        <v>5.68</v>
      </c>
      <c r="L464" s="1">
        <v>77669.8</v>
      </c>
      <c r="M464" s="1">
        <v>3981.09</v>
      </c>
      <c r="N464" s="1" t="s">
        <v>2092</v>
      </c>
    </row>
    <row r="465" spans="1:14">
      <c r="A465" s="1" t="s">
        <v>477</v>
      </c>
      <c r="B465" s="2">
        <v>45461</v>
      </c>
      <c r="C465" s="1" t="s">
        <v>2023</v>
      </c>
      <c r="D465" s="1" t="s">
        <v>2042</v>
      </c>
      <c r="E465" s="1" t="s">
        <v>2044</v>
      </c>
      <c r="F465" s="1" t="s">
        <v>2049</v>
      </c>
      <c r="G465" s="1" t="s">
        <v>2082</v>
      </c>
      <c r="H465" s="1" t="s">
        <v>2085</v>
      </c>
      <c r="I465" s="1">
        <v>3</v>
      </c>
      <c r="J465" s="1">
        <v>2717.86</v>
      </c>
      <c r="K465" s="1">
        <v>24.52</v>
      </c>
      <c r="L465" s="1">
        <v>6154.32</v>
      </c>
      <c r="M465" s="1">
        <v>1472.5</v>
      </c>
      <c r="N465" s="1" t="s">
        <v>2090</v>
      </c>
    </row>
    <row r="466" spans="1:14">
      <c r="A466" s="1" t="s">
        <v>478</v>
      </c>
      <c r="B466" s="2">
        <v>45461</v>
      </c>
      <c r="C466" s="1" t="s">
        <v>2025</v>
      </c>
      <c r="D466" s="1" t="s">
        <v>2043</v>
      </c>
      <c r="E466" s="1" t="s">
        <v>2048</v>
      </c>
      <c r="F466" s="1" t="s">
        <v>2049</v>
      </c>
      <c r="G466" s="1" t="s">
        <v>2082</v>
      </c>
      <c r="H466" s="1" t="s">
        <v>2087</v>
      </c>
      <c r="I466" s="1">
        <v>2</v>
      </c>
      <c r="J466" s="1">
        <v>2575.59</v>
      </c>
      <c r="K466" s="1">
        <v>10.7</v>
      </c>
      <c r="L466" s="1">
        <v>4600</v>
      </c>
      <c r="M466" s="1">
        <v>1101.08</v>
      </c>
      <c r="N466" s="1" t="s">
        <v>2091</v>
      </c>
    </row>
    <row r="467" spans="1:14">
      <c r="A467" s="1" t="s">
        <v>479</v>
      </c>
      <c r="B467" s="2">
        <v>45461</v>
      </c>
      <c r="C467" s="1" t="s">
        <v>2021</v>
      </c>
      <c r="D467" s="1" t="s">
        <v>2029</v>
      </c>
      <c r="E467" s="1" t="s">
        <v>2045</v>
      </c>
      <c r="F467" s="1" t="s">
        <v>2051</v>
      </c>
      <c r="G467" s="1" t="s">
        <v>2080</v>
      </c>
      <c r="H467" s="1" t="s">
        <v>2085</v>
      </c>
      <c r="I467" s="1">
        <v>10</v>
      </c>
      <c r="J467" s="1">
        <v>24548.080000000002</v>
      </c>
      <c r="K467" s="1">
        <v>25.89</v>
      </c>
      <c r="L467" s="1">
        <v>181925.82</v>
      </c>
      <c r="M467" s="1">
        <v>46504.54</v>
      </c>
      <c r="N467" s="1" t="s">
        <v>2088</v>
      </c>
    </row>
    <row r="468" spans="1:14">
      <c r="A468" s="1" t="s">
        <v>480</v>
      </c>
      <c r="B468" s="2">
        <v>45462</v>
      </c>
      <c r="C468" s="1" t="s">
        <v>2021</v>
      </c>
      <c r="D468" s="1" t="s">
        <v>2030</v>
      </c>
      <c r="E468" s="1" t="s">
        <v>2048</v>
      </c>
      <c r="F468" s="1" t="s">
        <v>2052</v>
      </c>
      <c r="G468" s="1" t="s">
        <v>2065</v>
      </c>
      <c r="H468" s="1" t="s">
        <v>2087</v>
      </c>
      <c r="I468" s="1">
        <v>10</v>
      </c>
      <c r="J468" s="1">
        <v>3139.43</v>
      </c>
      <c r="K468" s="1">
        <v>17.88</v>
      </c>
      <c r="L468" s="1">
        <v>25781</v>
      </c>
      <c r="M468" s="1">
        <v>4085.28</v>
      </c>
      <c r="N468" s="1" t="s">
        <v>2090</v>
      </c>
    </row>
    <row r="469" spans="1:14">
      <c r="A469" s="1" t="s">
        <v>481</v>
      </c>
      <c r="B469" s="2">
        <v>45462</v>
      </c>
      <c r="C469" s="1" t="s">
        <v>2018</v>
      </c>
      <c r="D469" s="1" t="s">
        <v>2031</v>
      </c>
      <c r="E469" s="1" t="s">
        <v>2044</v>
      </c>
      <c r="F469" s="1" t="s">
        <v>2052</v>
      </c>
      <c r="G469" s="1" t="s">
        <v>2083</v>
      </c>
      <c r="H469" s="1" t="s">
        <v>2087</v>
      </c>
      <c r="I469" s="1">
        <v>7</v>
      </c>
      <c r="J469" s="1">
        <v>6654.88</v>
      </c>
      <c r="K469" s="1">
        <v>27.95</v>
      </c>
      <c r="L469" s="1">
        <v>33563.89</v>
      </c>
      <c r="M469" s="1">
        <v>8567.02</v>
      </c>
      <c r="N469" s="1" t="s">
        <v>2092</v>
      </c>
    </row>
    <row r="470" spans="1:14">
      <c r="A470" s="1" t="s">
        <v>482</v>
      </c>
      <c r="B470" s="2">
        <v>45462</v>
      </c>
      <c r="C470" s="1" t="s">
        <v>2027</v>
      </c>
      <c r="D470" s="1" t="s">
        <v>2032</v>
      </c>
      <c r="E470" s="1" t="s">
        <v>2045</v>
      </c>
      <c r="F470" s="1" t="s">
        <v>2054</v>
      </c>
      <c r="G470" s="1" t="s">
        <v>2079</v>
      </c>
      <c r="H470" s="1" t="s">
        <v>2085</v>
      </c>
      <c r="I470" s="1">
        <v>1</v>
      </c>
      <c r="J470" s="1">
        <v>7077.36</v>
      </c>
      <c r="K470" s="1">
        <v>7.62</v>
      </c>
      <c r="L470" s="1">
        <v>6538.07</v>
      </c>
      <c r="M470" s="1">
        <v>1601.81</v>
      </c>
      <c r="N470" s="1" t="s">
        <v>2090</v>
      </c>
    </row>
    <row r="471" spans="1:14">
      <c r="A471" s="1" t="s">
        <v>483</v>
      </c>
      <c r="B471" s="2">
        <v>45463</v>
      </c>
      <c r="C471" s="1" t="s">
        <v>2023</v>
      </c>
      <c r="D471" s="1" t="s">
        <v>2033</v>
      </c>
      <c r="E471" s="1" t="s">
        <v>2046</v>
      </c>
      <c r="F471" s="1" t="s">
        <v>2050</v>
      </c>
      <c r="G471" s="1" t="s">
        <v>2056</v>
      </c>
      <c r="H471" s="1" t="s">
        <v>2086</v>
      </c>
      <c r="I471" s="1">
        <v>6</v>
      </c>
      <c r="J471" s="1">
        <v>1953.16</v>
      </c>
      <c r="K471" s="1">
        <v>2.02</v>
      </c>
      <c r="L471" s="1">
        <v>11482.24</v>
      </c>
      <c r="M471" s="1">
        <v>2281.66</v>
      </c>
      <c r="N471" s="1" t="s">
        <v>2089</v>
      </c>
    </row>
    <row r="472" spans="1:14">
      <c r="A472" s="1" t="s">
        <v>484</v>
      </c>
      <c r="B472" s="2">
        <v>45463</v>
      </c>
      <c r="C472" s="1" t="s">
        <v>2019</v>
      </c>
      <c r="D472" s="1" t="s">
        <v>2034</v>
      </c>
      <c r="E472" s="1" t="s">
        <v>2045</v>
      </c>
      <c r="F472" s="1" t="s">
        <v>2049</v>
      </c>
      <c r="G472" s="1" t="s">
        <v>2058</v>
      </c>
      <c r="H472" s="1" t="s">
        <v>2087</v>
      </c>
      <c r="I472" s="1">
        <v>7</v>
      </c>
      <c r="J472" s="1">
        <v>558.95000000000005</v>
      </c>
      <c r="K472" s="1">
        <v>17.04</v>
      </c>
      <c r="L472" s="1">
        <v>3245.93</v>
      </c>
      <c r="M472" s="1">
        <v>402.79</v>
      </c>
      <c r="N472" s="1" t="s">
        <v>2088</v>
      </c>
    </row>
    <row r="473" spans="1:14">
      <c r="A473" s="1" t="s">
        <v>485</v>
      </c>
      <c r="B473" s="2">
        <v>45464</v>
      </c>
      <c r="C473" s="1" t="s">
        <v>2016</v>
      </c>
      <c r="D473" s="1" t="s">
        <v>2035</v>
      </c>
      <c r="E473" s="1" t="s">
        <v>2046</v>
      </c>
      <c r="F473" s="1" t="s">
        <v>2051</v>
      </c>
      <c r="G473" s="1" t="s">
        <v>2077</v>
      </c>
      <c r="H473" s="1" t="s">
        <v>2085</v>
      </c>
      <c r="I473" s="1">
        <v>7</v>
      </c>
      <c r="J473" s="1">
        <v>38819.22</v>
      </c>
      <c r="K473" s="1">
        <v>12.94</v>
      </c>
      <c r="L473" s="1">
        <v>236572.09</v>
      </c>
      <c r="M473" s="1">
        <v>32381.919999999998</v>
      </c>
      <c r="N473" s="1" t="s">
        <v>2088</v>
      </c>
    </row>
    <row r="474" spans="1:14">
      <c r="A474" s="1" t="s">
        <v>486</v>
      </c>
      <c r="B474" s="2">
        <v>45464</v>
      </c>
      <c r="C474" s="1" t="s">
        <v>2021</v>
      </c>
      <c r="D474" s="1" t="s">
        <v>2036</v>
      </c>
      <c r="E474" s="1" t="s">
        <v>2048</v>
      </c>
      <c r="F474" s="1" t="s">
        <v>2054</v>
      </c>
      <c r="G474" s="1" t="s">
        <v>2066</v>
      </c>
      <c r="H474" s="1" t="s">
        <v>2087</v>
      </c>
      <c r="I474" s="1">
        <v>1</v>
      </c>
      <c r="J474" s="1">
        <v>20602.22</v>
      </c>
      <c r="K474" s="1">
        <v>17.329999999999998</v>
      </c>
      <c r="L474" s="1">
        <v>17031.86</v>
      </c>
      <c r="M474" s="1">
        <v>2381.09</v>
      </c>
      <c r="N474" s="1" t="s">
        <v>2089</v>
      </c>
    </row>
    <row r="475" spans="1:14">
      <c r="A475" s="1" t="s">
        <v>487</v>
      </c>
      <c r="B475" s="2">
        <v>45464</v>
      </c>
      <c r="C475" s="1" t="s">
        <v>2024</v>
      </c>
      <c r="D475" s="1" t="s">
        <v>2037</v>
      </c>
      <c r="E475" s="1" t="s">
        <v>2045</v>
      </c>
      <c r="F475" s="1" t="s">
        <v>2053</v>
      </c>
      <c r="G475" s="1" t="s">
        <v>2073</v>
      </c>
      <c r="H475" s="1" t="s">
        <v>2087</v>
      </c>
      <c r="I475" s="1">
        <v>1</v>
      </c>
      <c r="J475" s="1">
        <v>1437.55</v>
      </c>
      <c r="K475" s="1">
        <v>4.68</v>
      </c>
      <c r="L475" s="1">
        <v>1370.27</v>
      </c>
      <c r="M475" s="1">
        <v>354.42</v>
      </c>
      <c r="N475" s="1" t="s">
        <v>2089</v>
      </c>
    </row>
    <row r="476" spans="1:14">
      <c r="A476" s="1" t="s">
        <v>488</v>
      </c>
      <c r="B476" s="2">
        <v>45465</v>
      </c>
      <c r="C476" s="1" t="s">
        <v>2022</v>
      </c>
      <c r="D476" s="1" t="s">
        <v>2038</v>
      </c>
      <c r="E476" s="1" t="s">
        <v>2044</v>
      </c>
      <c r="F476" s="1" t="s">
        <v>2052</v>
      </c>
      <c r="G476" s="1" t="s">
        <v>2065</v>
      </c>
      <c r="H476" s="1" t="s">
        <v>2087</v>
      </c>
      <c r="I476" s="1">
        <v>6</v>
      </c>
      <c r="J476" s="1">
        <v>7666.46</v>
      </c>
      <c r="K476" s="1">
        <v>23.45</v>
      </c>
      <c r="L476" s="1">
        <v>35212.050000000003</v>
      </c>
      <c r="M476" s="1">
        <v>4188.1000000000004</v>
      </c>
      <c r="N476" s="1" t="s">
        <v>2090</v>
      </c>
    </row>
    <row r="477" spans="1:14">
      <c r="A477" s="1" t="s">
        <v>489</v>
      </c>
      <c r="B477" s="2">
        <v>45465</v>
      </c>
      <c r="C477" s="1" t="s">
        <v>2027</v>
      </c>
      <c r="D477" s="1" t="s">
        <v>2039</v>
      </c>
      <c r="E477" s="1" t="s">
        <v>2046</v>
      </c>
      <c r="F477" s="1" t="s">
        <v>2052</v>
      </c>
      <c r="G477" s="1" t="s">
        <v>2059</v>
      </c>
      <c r="H477" s="1" t="s">
        <v>2087</v>
      </c>
      <c r="I477" s="1">
        <v>1</v>
      </c>
      <c r="J477" s="1">
        <v>4323.46</v>
      </c>
      <c r="K477" s="1">
        <v>18.05</v>
      </c>
      <c r="L477" s="1">
        <v>3543.08</v>
      </c>
      <c r="M477" s="1">
        <v>1007.22</v>
      </c>
      <c r="N477" s="1" t="s">
        <v>2089</v>
      </c>
    </row>
    <row r="478" spans="1:14">
      <c r="A478" s="1" t="s">
        <v>490</v>
      </c>
      <c r="B478" s="2">
        <v>45465</v>
      </c>
      <c r="C478" s="1" t="s">
        <v>2015</v>
      </c>
      <c r="D478" s="1" t="s">
        <v>2040</v>
      </c>
      <c r="E478" s="1" t="s">
        <v>2044</v>
      </c>
      <c r="F478" s="1" t="s">
        <v>2051</v>
      </c>
      <c r="G478" s="1" t="s">
        <v>2061</v>
      </c>
      <c r="H478" s="1" t="s">
        <v>2086</v>
      </c>
      <c r="I478" s="1">
        <v>4</v>
      </c>
      <c r="J478" s="1">
        <v>22925.360000000001</v>
      </c>
      <c r="K478" s="1">
        <v>21.44</v>
      </c>
      <c r="L478" s="1">
        <v>72040.649999999994</v>
      </c>
      <c r="M478" s="1">
        <v>4834.84</v>
      </c>
      <c r="N478" s="1" t="s">
        <v>2089</v>
      </c>
    </row>
    <row r="479" spans="1:14">
      <c r="A479" s="1" t="s">
        <v>491</v>
      </c>
      <c r="B479" s="2">
        <v>45466</v>
      </c>
      <c r="C479" s="1" t="s">
        <v>2027</v>
      </c>
      <c r="D479" s="1" t="s">
        <v>2041</v>
      </c>
      <c r="E479" s="1" t="s">
        <v>2046</v>
      </c>
      <c r="F479" s="1" t="s">
        <v>2049</v>
      </c>
      <c r="G479" s="1" t="s">
        <v>2074</v>
      </c>
      <c r="H479" s="1" t="s">
        <v>2085</v>
      </c>
      <c r="I479" s="1">
        <v>1</v>
      </c>
      <c r="J479" s="1">
        <v>1962.3</v>
      </c>
      <c r="K479" s="1">
        <v>6.94</v>
      </c>
      <c r="L479" s="1">
        <v>1826.12</v>
      </c>
      <c r="M479" s="1">
        <v>402.36</v>
      </c>
      <c r="N479" s="1" t="s">
        <v>2090</v>
      </c>
    </row>
    <row r="480" spans="1:14">
      <c r="A480" s="1" t="s">
        <v>492</v>
      </c>
      <c r="B480" s="2">
        <v>45466</v>
      </c>
      <c r="C480" s="1" t="s">
        <v>2027</v>
      </c>
      <c r="D480" s="1" t="s">
        <v>2042</v>
      </c>
      <c r="E480" s="1" t="s">
        <v>2045</v>
      </c>
      <c r="F480" s="1" t="s">
        <v>2054</v>
      </c>
      <c r="G480" s="1" t="s">
        <v>2068</v>
      </c>
      <c r="H480" s="1" t="s">
        <v>2086</v>
      </c>
      <c r="I480" s="1">
        <v>2</v>
      </c>
      <c r="J480" s="1">
        <v>8917.01</v>
      </c>
      <c r="K480" s="1">
        <v>10.65</v>
      </c>
      <c r="L480" s="1">
        <v>15934.7</v>
      </c>
      <c r="M480" s="1">
        <v>2442.6799999999998</v>
      </c>
      <c r="N480" s="1" t="s">
        <v>2088</v>
      </c>
    </row>
    <row r="481" spans="1:14">
      <c r="A481" s="1" t="s">
        <v>493</v>
      </c>
      <c r="B481" s="2">
        <v>45466</v>
      </c>
      <c r="C481" s="1" t="s">
        <v>2017</v>
      </c>
      <c r="D481" s="1" t="s">
        <v>2043</v>
      </c>
      <c r="E481" s="1" t="s">
        <v>2044</v>
      </c>
      <c r="F481" s="1" t="s">
        <v>2050</v>
      </c>
      <c r="G481" s="1" t="s">
        <v>2070</v>
      </c>
      <c r="H481" s="1" t="s">
        <v>2087</v>
      </c>
      <c r="I481" s="1">
        <v>4</v>
      </c>
      <c r="J481" s="1">
        <v>3527.71</v>
      </c>
      <c r="K481" s="1">
        <v>5.05</v>
      </c>
      <c r="L481" s="1">
        <v>13398.24</v>
      </c>
      <c r="M481" s="1">
        <v>3615.28</v>
      </c>
      <c r="N481" s="1" t="s">
        <v>2089</v>
      </c>
    </row>
    <row r="482" spans="1:14">
      <c r="A482" s="1" t="s">
        <v>494</v>
      </c>
      <c r="B482" s="2">
        <v>45467</v>
      </c>
      <c r="C482" s="1" t="s">
        <v>2027</v>
      </c>
      <c r="D482" s="1" t="s">
        <v>2029</v>
      </c>
      <c r="E482" s="1" t="s">
        <v>2045</v>
      </c>
      <c r="F482" s="1" t="s">
        <v>2054</v>
      </c>
      <c r="G482" s="1" t="s">
        <v>2066</v>
      </c>
      <c r="H482" s="1" t="s">
        <v>2085</v>
      </c>
      <c r="I482" s="1">
        <v>2</v>
      </c>
      <c r="J482" s="1">
        <v>70951.45</v>
      </c>
      <c r="K482" s="1">
        <v>28.03</v>
      </c>
      <c r="L482" s="1">
        <v>102127.52</v>
      </c>
      <c r="M482" s="1">
        <v>28504.32</v>
      </c>
      <c r="N482" s="1" t="s">
        <v>2089</v>
      </c>
    </row>
    <row r="483" spans="1:14">
      <c r="A483" s="1" t="s">
        <v>495</v>
      </c>
      <c r="B483" s="2">
        <v>45467</v>
      </c>
      <c r="C483" s="1" t="s">
        <v>2015</v>
      </c>
      <c r="D483" s="1" t="s">
        <v>2030</v>
      </c>
      <c r="E483" s="1" t="s">
        <v>2047</v>
      </c>
      <c r="F483" s="1" t="s">
        <v>2052</v>
      </c>
      <c r="G483" s="1" t="s">
        <v>2059</v>
      </c>
      <c r="H483" s="1" t="s">
        <v>2086</v>
      </c>
      <c r="I483" s="1">
        <v>6</v>
      </c>
      <c r="J483" s="1">
        <v>5406.68</v>
      </c>
      <c r="K483" s="1">
        <v>20.32</v>
      </c>
      <c r="L483" s="1">
        <v>25848.26</v>
      </c>
      <c r="M483" s="1">
        <v>4061.14</v>
      </c>
      <c r="N483" s="1" t="s">
        <v>2090</v>
      </c>
    </row>
    <row r="484" spans="1:14">
      <c r="A484" s="1" t="s">
        <v>496</v>
      </c>
      <c r="B484" s="2">
        <v>45468</v>
      </c>
      <c r="C484" s="1" t="s">
        <v>2017</v>
      </c>
      <c r="D484" s="1" t="s">
        <v>2031</v>
      </c>
      <c r="E484" s="1" t="s">
        <v>2047</v>
      </c>
      <c r="F484" s="1" t="s">
        <v>2053</v>
      </c>
      <c r="G484" s="1" t="s">
        <v>2062</v>
      </c>
      <c r="H484" s="1" t="s">
        <v>2085</v>
      </c>
      <c r="I484" s="1">
        <v>4</v>
      </c>
      <c r="J484" s="1">
        <v>1943.51</v>
      </c>
      <c r="K484" s="1">
        <v>15.01</v>
      </c>
      <c r="L484" s="1">
        <v>6607.16</v>
      </c>
      <c r="M484" s="1">
        <v>1046.8599999999999</v>
      </c>
      <c r="N484" s="1" t="s">
        <v>2090</v>
      </c>
    </row>
    <row r="485" spans="1:14">
      <c r="A485" s="1" t="s">
        <v>497</v>
      </c>
      <c r="B485" s="2">
        <v>45468</v>
      </c>
      <c r="C485" s="1" t="s">
        <v>2014</v>
      </c>
      <c r="D485" s="1" t="s">
        <v>2032</v>
      </c>
      <c r="E485" s="1" t="s">
        <v>2044</v>
      </c>
      <c r="F485" s="1" t="s">
        <v>2051</v>
      </c>
      <c r="G485" s="1" t="s">
        <v>2069</v>
      </c>
      <c r="H485" s="1" t="s">
        <v>2085</v>
      </c>
      <c r="I485" s="1">
        <v>6</v>
      </c>
      <c r="J485" s="1">
        <v>13683.24</v>
      </c>
      <c r="K485" s="1">
        <v>1.18</v>
      </c>
      <c r="L485" s="1">
        <v>81130.67</v>
      </c>
      <c r="M485" s="1">
        <v>9573.39</v>
      </c>
      <c r="N485" s="1" t="s">
        <v>2088</v>
      </c>
    </row>
    <row r="486" spans="1:14">
      <c r="A486" s="1" t="s">
        <v>498</v>
      </c>
      <c r="B486" s="2">
        <v>45468</v>
      </c>
      <c r="C486" s="1" t="s">
        <v>2020</v>
      </c>
      <c r="D486" s="1" t="s">
        <v>2033</v>
      </c>
      <c r="E486" s="1" t="s">
        <v>2048</v>
      </c>
      <c r="F486" s="1" t="s">
        <v>2049</v>
      </c>
      <c r="G486" s="1" t="s">
        <v>2071</v>
      </c>
      <c r="H486" s="1" t="s">
        <v>2087</v>
      </c>
      <c r="I486" s="1">
        <v>9</v>
      </c>
      <c r="J486" s="1">
        <v>672.11</v>
      </c>
      <c r="K486" s="1">
        <v>25.72</v>
      </c>
      <c r="L486" s="1">
        <v>4493.1899999999996</v>
      </c>
      <c r="M486" s="1">
        <v>1146.24</v>
      </c>
      <c r="N486" s="1" t="s">
        <v>2089</v>
      </c>
    </row>
    <row r="487" spans="1:14">
      <c r="A487" s="1" t="s">
        <v>499</v>
      </c>
      <c r="B487" s="2">
        <v>45469</v>
      </c>
      <c r="C487" s="1" t="s">
        <v>2023</v>
      </c>
      <c r="D487" s="1" t="s">
        <v>2034</v>
      </c>
      <c r="E487" s="1" t="s">
        <v>2047</v>
      </c>
      <c r="F487" s="1" t="s">
        <v>2053</v>
      </c>
      <c r="G487" s="1" t="s">
        <v>2060</v>
      </c>
      <c r="H487" s="1" t="s">
        <v>2085</v>
      </c>
      <c r="I487" s="1">
        <v>10</v>
      </c>
      <c r="J487" s="1">
        <v>161.85</v>
      </c>
      <c r="K487" s="1">
        <v>18.11</v>
      </c>
      <c r="L487" s="1">
        <v>1325.39</v>
      </c>
      <c r="M487" s="1">
        <v>284.8</v>
      </c>
      <c r="N487" s="1" t="s">
        <v>2089</v>
      </c>
    </row>
    <row r="488" spans="1:14">
      <c r="A488" s="1" t="s">
        <v>500</v>
      </c>
      <c r="B488" s="2">
        <v>45469</v>
      </c>
      <c r="C488" s="1" t="s">
        <v>2025</v>
      </c>
      <c r="D488" s="1" t="s">
        <v>2035</v>
      </c>
      <c r="E488" s="1" t="s">
        <v>2048</v>
      </c>
      <c r="F488" s="1" t="s">
        <v>2054</v>
      </c>
      <c r="G488" s="1" t="s">
        <v>2063</v>
      </c>
      <c r="H488" s="1" t="s">
        <v>2087</v>
      </c>
      <c r="I488" s="1">
        <v>7</v>
      </c>
      <c r="J488" s="1">
        <v>5722.52</v>
      </c>
      <c r="K488" s="1">
        <v>26.61</v>
      </c>
      <c r="L488" s="1">
        <v>29398.3</v>
      </c>
      <c r="M488" s="1">
        <v>4555.62</v>
      </c>
      <c r="N488" s="1" t="s">
        <v>2090</v>
      </c>
    </row>
    <row r="489" spans="1:14">
      <c r="A489" s="1" t="s">
        <v>501</v>
      </c>
      <c r="B489" s="2">
        <v>45469</v>
      </c>
      <c r="C489" s="1" t="s">
        <v>2028</v>
      </c>
      <c r="D489" s="1" t="s">
        <v>2036</v>
      </c>
      <c r="E489" s="1" t="s">
        <v>2048</v>
      </c>
      <c r="F489" s="1" t="s">
        <v>2054</v>
      </c>
      <c r="G489" s="1" t="s">
        <v>2081</v>
      </c>
      <c r="H489" s="1" t="s">
        <v>2087</v>
      </c>
      <c r="I489" s="1">
        <v>10</v>
      </c>
      <c r="J489" s="1">
        <v>7188.15</v>
      </c>
      <c r="K489" s="1">
        <v>11.79</v>
      </c>
      <c r="L489" s="1">
        <v>63406.67</v>
      </c>
      <c r="M489" s="1">
        <v>4759.3900000000003</v>
      </c>
      <c r="N489" s="1" t="s">
        <v>2089</v>
      </c>
    </row>
    <row r="490" spans="1:14">
      <c r="A490" s="1" t="s">
        <v>502</v>
      </c>
      <c r="B490" s="2">
        <v>45470</v>
      </c>
      <c r="C490" s="1" t="s">
        <v>2019</v>
      </c>
      <c r="D490" s="1" t="s">
        <v>2037</v>
      </c>
      <c r="E490" s="1" t="s">
        <v>2048</v>
      </c>
      <c r="F490" s="1" t="s">
        <v>2049</v>
      </c>
      <c r="G490" s="1" t="s">
        <v>2082</v>
      </c>
      <c r="H490" s="1" t="s">
        <v>2087</v>
      </c>
      <c r="I490" s="1">
        <v>10</v>
      </c>
      <c r="J490" s="1">
        <v>739.75</v>
      </c>
      <c r="K490" s="1">
        <v>0.71</v>
      </c>
      <c r="L490" s="1">
        <v>7344.98</v>
      </c>
      <c r="M490" s="1">
        <v>1900.42</v>
      </c>
      <c r="N490" s="1" t="s">
        <v>2092</v>
      </c>
    </row>
    <row r="491" spans="1:14">
      <c r="A491" s="1" t="s">
        <v>503</v>
      </c>
      <c r="B491" s="2">
        <v>45470</v>
      </c>
      <c r="C491" s="1" t="s">
        <v>2020</v>
      </c>
      <c r="D491" s="1" t="s">
        <v>2038</v>
      </c>
      <c r="E491" s="1" t="s">
        <v>2047</v>
      </c>
      <c r="F491" s="1" t="s">
        <v>2049</v>
      </c>
      <c r="G491" s="1" t="s">
        <v>2071</v>
      </c>
      <c r="H491" s="1" t="s">
        <v>2086</v>
      </c>
      <c r="I491" s="1">
        <v>10</v>
      </c>
      <c r="J491" s="1">
        <v>2784.4</v>
      </c>
      <c r="K491" s="1">
        <v>6.41</v>
      </c>
      <c r="L491" s="1">
        <v>26059.200000000001</v>
      </c>
      <c r="M491" s="1">
        <v>4039.2</v>
      </c>
      <c r="N491" s="1" t="s">
        <v>2090</v>
      </c>
    </row>
    <row r="492" spans="1:14">
      <c r="A492" s="1" t="s">
        <v>504</v>
      </c>
      <c r="B492" s="2">
        <v>45470</v>
      </c>
      <c r="C492" s="1" t="s">
        <v>2027</v>
      </c>
      <c r="D492" s="1" t="s">
        <v>2039</v>
      </c>
      <c r="E492" s="1" t="s">
        <v>2046</v>
      </c>
      <c r="F492" s="1" t="s">
        <v>2050</v>
      </c>
      <c r="G492" s="1" t="s">
        <v>2075</v>
      </c>
      <c r="H492" s="1" t="s">
        <v>2085</v>
      </c>
      <c r="I492" s="1">
        <v>6</v>
      </c>
      <c r="J492" s="1">
        <v>6318.44</v>
      </c>
      <c r="K492" s="1">
        <v>9.41</v>
      </c>
      <c r="L492" s="1">
        <v>34343.25</v>
      </c>
      <c r="M492" s="1">
        <v>3845.36</v>
      </c>
      <c r="N492" s="1" t="s">
        <v>2088</v>
      </c>
    </row>
    <row r="493" spans="1:14">
      <c r="A493" s="1" t="s">
        <v>505</v>
      </c>
      <c r="B493" s="2">
        <v>45471</v>
      </c>
      <c r="C493" s="1" t="s">
        <v>2016</v>
      </c>
      <c r="D493" s="1" t="s">
        <v>2040</v>
      </c>
      <c r="E493" s="1" t="s">
        <v>2046</v>
      </c>
      <c r="F493" s="1" t="s">
        <v>2052</v>
      </c>
      <c r="G493" s="1" t="s">
        <v>2059</v>
      </c>
      <c r="H493" s="1" t="s">
        <v>2085</v>
      </c>
      <c r="I493" s="1">
        <v>10</v>
      </c>
      <c r="J493" s="1">
        <v>2897.34</v>
      </c>
      <c r="K493" s="1">
        <v>21.28</v>
      </c>
      <c r="L493" s="1">
        <v>22807.86</v>
      </c>
      <c r="M493" s="1">
        <v>2688.43</v>
      </c>
      <c r="N493" s="1" t="s">
        <v>2089</v>
      </c>
    </row>
    <row r="494" spans="1:14">
      <c r="A494" s="1" t="s">
        <v>506</v>
      </c>
      <c r="B494" s="2">
        <v>45471</v>
      </c>
      <c r="C494" s="1" t="s">
        <v>2025</v>
      </c>
      <c r="D494" s="1" t="s">
        <v>2041</v>
      </c>
      <c r="E494" s="1" t="s">
        <v>2046</v>
      </c>
      <c r="F494" s="1" t="s">
        <v>2054</v>
      </c>
      <c r="G494" s="1" t="s">
        <v>2066</v>
      </c>
      <c r="H494" s="1" t="s">
        <v>2087</v>
      </c>
      <c r="I494" s="1">
        <v>1</v>
      </c>
      <c r="J494" s="1">
        <v>18473.29</v>
      </c>
      <c r="K494" s="1">
        <v>24.52</v>
      </c>
      <c r="L494" s="1">
        <v>13943.64</v>
      </c>
      <c r="M494" s="1">
        <v>3940.47</v>
      </c>
      <c r="N494" s="1" t="s">
        <v>2090</v>
      </c>
    </row>
    <row r="495" spans="1:14">
      <c r="A495" s="1" t="s">
        <v>507</v>
      </c>
      <c r="B495" s="2">
        <v>45472</v>
      </c>
      <c r="C495" s="1" t="s">
        <v>2015</v>
      </c>
      <c r="D495" s="1" t="s">
        <v>2042</v>
      </c>
      <c r="E495" s="1" t="s">
        <v>2045</v>
      </c>
      <c r="F495" s="1" t="s">
        <v>2049</v>
      </c>
      <c r="G495" s="1" t="s">
        <v>2055</v>
      </c>
      <c r="H495" s="1" t="s">
        <v>2085</v>
      </c>
      <c r="I495" s="1">
        <v>7</v>
      </c>
      <c r="J495" s="1">
        <v>672.82</v>
      </c>
      <c r="K495" s="1">
        <v>22.57</v>
      </c>
      <c r="L495" s="1">
        <v>3646.75</v>
      </c>
      <c r="M495" s="1">
        <v>229.1</v>
      </c>
      <c r="N495" s="1" t="s">
        <v>2090</v>
      </c>
    </row>
    <row r="496" spans="1:14">
      <c r="A496" s="1" t="s">
        <v>508</v>
      </c>
      <c r="B496" s="2">
        <v>45472</v>
      </c>
      <c r="C496" s="1" t="s">
        <v>2014</v>
      </c>
      <c r="D496" s="1" t="s">
        <v>2043</v>
      </c>
      <c r="E496" s="1" t="s">
        <v>2046</v>
      </c>
      <c r="F496" s="1" t="s">
        <v>2050</v>
      </c>
      <c r="G496" s="1" t="s">
        <v>2070</v>
      </c>
      <c r="H496" s="1" t="s">
        <v>2085</v>
      </c>
      <c r="I496" s="1">
        <v>4</v>
      </c>
      <c r="J496" s="1">
        <v>1542.53</v>
      </c>
      <c r="K496" s="1">
        <v>17.16</v>
      </c>
      <c r="L496" s="1">
        <v>5111.33</v>
      </c>
      <c r="M496" s="1">
        <v>1284.77</v>
      </c>
      <c r="N496" s="1" t="s">
        <v>2088</v>
      </c>
    </row>
    <row r="497" spans="1:14">
      <c r="A497" s="1" t="s">
        <v>509</v>
      </c>
      <c r="B497" s="2">
        <v>45472</v>
      </c>
      <c r="C497" s="1" t="s">
        <v>2025</v>
      </c>
      <c r="D497" s="1" t="s">
        <v>2029</v>
      </c>
      <c r="E497" s="1" t="s">
        <v>2045</v>
      </c>
      <c r="F497" s="1" t="s">
        <v>2054</v>
      </c>
      <c r="G497" s="1" t="s">
        <v>2079</v>
      </c>
      <c r="H497" s="1" t="s">
        <v>2086</v>
      </c>
      <c r="I497" s="1">
        <v>2</v>
      </c>
      <c r="J497" s="1">
        <v>32972.22</v>
      </c>
      <c r="K497" s="1">
        <v>20.39</v>
      </c>
      <c r="L497" s="1">
        <v>52498.37</v>
      </c>
      <c r="M497" s="1">
        <v>3368.83</v>
      </c>
      <c r="N497" s="1" t="s">
        <v>2092</v>
      </c>
    </row>
    <row r="498" spans="1:14">
      <c r="A498" s="1" t="s">
        <v>510</v>
      </c>
      <c r="B498" s="2">
        <v>45473</v>
      </c>
      <c r="C498" s="1" t="s">
        <v>2025</v>
      </c>
      <c r="D498" s="1" t="s">
        <v>2030</v>
      </c>
      <c r="E498" s="1" t="s">
        <v>2048</v>
      </c>
      <c r="F498" s="1" t="s">
        <v>2053</v>
      </c>
      <c r="G498" s="1" t="s">
        <v>2060</v>
      </c>
      <c r="H498" s="1" t="s">
        <v>2086</v>
      </c>
      <c r="I498" s="1">
        <v>6</v>
      </c>
      <c r="J498" s="1">
        <v>723.59</v>
      </c>
      <c r="K498" s="1">
        <v>26.58</v>
      </c>
      <c r="L498" s="1">
        <v>3187.56</v>
      </c>
      <c r="M498" s="1">
        <v>873.14</v>
      </c>
      <c r="N498" s="1" t="s">
        <v>2089</v>
      </c>
    </row>
    <row r="499" spans="1:14">
      <c r="A499" s="1" t="s">
        <v>511</v>
      </c>
      <c r="B499" s="2">
        <v>45473</v>
      </c>
      <c r="C499" s="1" t="s">
        <v>2021</v>
      </c>
      <c r="D499" s="1" t="s">
        <v>2031</v>
      </c>
      <c r="E499" s="1" t="s">
        <v>2046</v>
      </c>
      <c r="F499" s="1" t="s">
        <v>2050</v>
      </c>
      <c r="G499" s="1" t="s">
        <v>2070</v>
      </c>
      <c r="H499" s="1" t="s">
        <v>2086</v>
      </c>
      <c r="I499" s="1">
        <v>9</v>
      </c>
      <c r="J499" s="1">
        <v>1386.53</v>
      </c>
      <c r="K499" s="1">
        <v>16.37</v>
      </c>
      <c r="L499" s="1">
        <v>10436</v>
      </c>
      <c r="M499" s="1">
        <v>797.29</v>
      </c>
      <c r="N499" s="1" t="s">
        <v>2089</v>
      </c>
    </row>
    <row r="500" spans="1:14">
      <c r="A500" s="1" t="s">
        <v>512</v>
      </c>
      <c r="B500" s="2">
        <v>45473</v>
      </c>
      <c r="C500" s="1" t="s">
        <v>2027</v>
      </c>
      <c r="D500" s="1" t="s">
        <v>2032</v>
      </c>
      <c r="E500" s="1" t="s">
        <v>2046</v>
      </c>
      <c r="F500" s="1" t="s">
        <v>2053</v>
      </c>
      <c r="G500" s="1" t="s">
        <v>2062</v>
      </c>
      <c r="H500" s="1" t="s">
        <v>2086</v>
      </c>
      <c r="I500" s="1">
        <v>4</v>
      </c>
      <c r="J500" s="1">
        <v>749.55</v>
      </c>
      <c r="K500" s="1">
        <v>2.44</v>
      </c>
      <c r="L500" s="1">
        <v>2925.04</v>
      </c>
      <c r="M500" s="1">
        <v>872.09</v>
      </c>
      <c r="N500" s="1" t="s">
        <v>2092</v>
      </c>
    </row>
    <row r="501" spans="1:14">
      <c r="A501" s="1" t="s">
        <v>513</v>
      </c>
      <c r="B501" s="2">
        <v>45474</v>
      </c>
      <c r="C501" s="1" t="s">
        <v>2026</v>
      </c>
      <c r="D501" s="1" t="s">
        <v>2033</v>
      </c>
      <c r="E501" s="1" t="s">
        <v>2044</v>
      </c>
      <c r="F501" s="1" t="s">
        <v>2052</v>
      </c>
      <c r="G501" s="1" t="s">
        <v>2072</v>
      </c>
      <c r="H501" s="1" t="s">
        <v>2087</v>
      </c>
      <c r="I501" s="1">
        <v>9</v>
      </c>
      <c r="J501" s="1">
        <v>5169.41</v>
      </c>
      <c r="K501" s="1">
        <v>19.14</v>
      </c>
      <c r="L501" s="1">
        <v>37619.86</v>
      </c>
      <c r="M501" s="1">
        <v>11146.53</v>
      </c>
      <c r="N501" s="1" t="s">
        <v>2092</v>
      </c>
    </row>
    <row r="502" spans="1:14">
      <c r="A502" s="1" t="s">
        <v>514</v>
      </c>
      <c r="B502" s="2">
        <v>45474</v>
      </c>
      <c r="C502" s="1" t="s">
        <v>2021</v>
      </c>
      <c r="D502" s="1" t="s">
        <v>2034</v>
      </c>
      <c r="E502" s="1" t="s">
        <v>2044</v>
      </c>
      <c r="F502" s="1" t="s">
        <v>2051</v>
      </c>
      <c r="G502" s="1" t="s">
        <v>2069</v>
      </c>
      <c r="H502" s="1" t="s">
        <v>2085</v>
      </c>
      <c r="I502" s="1">
        <v>8</v>
      </c>
      <c r="J502" s="1">
        <v>23005.040000000001</v>
      </c>
      <c r="K502" s="1">
        <v>25.52</v>
      </c>
      <c r="L502" s="1">
        <v>137073.23000000001</v>
      </c>
      <c r="M502" s="1">
        <v>13759.7</v>
      </c>
      <c r="N502" s="1" t="s">
        <v>2089</v>
      </c>
    </row>
    <row r="503" spans="1:14">
      <c r="A503" s="1" t="s">
        <v>515</v>
      </c>
      <c r="B503" s="2">
        <v>45474</v>
      </c>
      <c r="C503" s="1" t="s">
        <v>2023</v>
      </c>
      <c r="D503" s="1" t="s">
        <v>2035</v>
      </c>
      <c r="E503" s="1" t="s">
        <v>2044</v>
      </c>
      <c r="F503" s="1" t="s">
        <v>2053</v>
      </c>
      <c r="G503" s="1" t="s">
        <v>2067</v>
      </c>
      <c r="H503" s="1" t="s">
        <v>2085</v>
      </c>
      <c r="I503" s="1">
        <v>7</v>
      </c>
      <c r="J503" s="1">
        <v>138.88</v>
      </c>
      <c r="K503" s="1">
        <v>24.55</v>
      </c>
      <c r="L503" s="1">
        <v>733.49</v>
      </c>
      <c r="M503" s="1">
        <v>44.03</v>
      </c>
      <c r="N503" s="1" t="s">
        <v>2088</v>
      </c>
    </row>
    <row r="504" spans="1:14">
      <c r="A504" s="1" t="s">
        <v>516</v>
      </c>
      <c r="B504" s="2">
        <v>45475</v>
      </c>
      <c r="C504" s="1" t="s">
        <v>2027</v>
      </c>
      <c r="D504" s="1" t="s">
        <v>2036</v>
      </c>
      <c r="E504" s="1" t="s">
        <v>2044</v>
      </c>
      <c r="F504" s="1" t="s">
        <v>2053</v>
      </c>
      <c r="G504" s="1" t="s">
        <v>2062</v>
      </c>
      <c r="H504" s="1" t="s">
        <v>2087</v>
      </c>
      <c r="I504" s="1">
        <v>7</v>
      </c>
      <c r="J504" s="1">
        <v>707.26</v>
      </c>
      <c r="K504" s="1">
        <v>25.97</v>
      </c>
      <c r="L504" s="1">
        <v>3665.09</v>
      </c>
      <c r="M504" s="1">
        <v>277.49</v>
      </c>
      <c r="N504" s="1" t="s">
        <v>2089</v>
      </c>
    </row>
    <row r="505" spans="1:14">
      <c r="A505" s="1" t="s">
        <v>517</v>
      </c>
      <c r="B505" s="2">
        <v>45475</v>
      </c>
      <c r="C505" s="1" t="s">
        <v>2026</v>
      </c>
      <c r="D505" s="1" t="s">
        <v>2037</v>
      </c>
      <c r="E505" s="1" t="s">
        <v>2048</v>
      </c>
      <c r="F505" s="1" t="s">
        <v>2050</v>
      </c>
      <c r="G505" s="1" t="s">
        <v>2056</v>
      </c>
      <c r="H505" s="1" t="s">
        <v>2087</v>
      </c>
      <c r="I505" s="1">
        <v>3</v>
      </c>
      <c r="J505" s="1">
        <v>2797.34</v>
      </c>
      <c r="K505" s="1">
        <v>20.29</v>
      </c>
      <c r="L505" s="1">
        <v>6689.28</v>
      </c>
      <c r="M505" s="1">
        <v>1328.23</v>
      </c>
      <c r="N505" s="1" t="s">
        <v>2088</v>
      </c>
    </row>
    <row r="506" spans="1:14">
      <c r="A506" s="1" t="s">
        <v>518</v>
      </c>
      <c r="B506" s="2">
        <v>45476</v>
      </c>
      <c r="C506" s="1" t="s">
        <v>2027</v>
      </c>
      <c r="D506" s="1" t="s">
        <v>2038</v>
      </c>
      <c r="E506" s="1" t="s">
        <v>2048</v>
      </c>
      <c r="F506" s="1" t="s">
        <v>2052</v>
      </c>
      <c r="G506" s="1" t="s">
        <v>2078</v>
      </c>
      <c r="H506" s="1" t="s">
        <v>2085</v>
      </c>
      <c r="I506" s="1">
        <v>6</v>
      </c>
      <c r="J506" s="1">
        <v>1605.27</v>
      </c>
      <c r="K506" s="1">
        <v>0.55000000000000004</v>
      </c>
      <c r="L506" s="1">
        <v>9578.65</v>
      </c>
      <c r="M506" s="1">
        <v>1590.22</v>
      </c>
      <c r="N506" s="1" t="s">
        <v>2091</v>
      </c>
    </row>
    <row r="507" spans="1:14">
      <c r="A507" s="1" t="s">
        <v>519</v>
      </c>
      <c r="B507" s="2">
        <v>45476</v>
      </c>
      <c r="C507" s="1" t="s">
        <v>2026</v>
      </c>
      <c r="D507" s="1" t="s">
        <v>2039</v>
      </c>
      <c r="E507" s="1" t="s">
        <v>2044</v>
      </c>
      <c r="F507" s="1" t="s">
        <v>2052</v>
      </c>
      <c r="G507" s="1" t="s">
        <v>2059</v>
      </c>
      <c r="H507" s="1" t="s">
        <v>2086</v>
      </c>
      <c r="I507" s="1">
        <v>5</v>
      </c>
      <c r="J507" s="1">
        <v>6574.17</v>
      </c>
      <c r="K507" s="1">
        <v>6.37</v>
      </c>
      <c r="L507" s="1">
        <v>30776.98</v>
      </c>
      <c r="M507" s="1">
        <v>2477.6</v>
      </c>
      <c r="N507" s="1" t="s">
        <v>2091</v>
      </c>
    </row>
    <row r="508" spans="1:14">
      <c r="A508" s="1" t="s">
        <v>520</v>
      </c>
      <c r="B508" s="2">
        <v>45476</v>
      </c>
      <c r="C508" s="1" t="s">
        <v>2028</v>
      </c>
      <c r="D508" s="1" t="s">
        <v>2040</v>
      </c>
      <c r="E508" s="1" t="s">
        <v>2047</v>
      </c>
      <c r="F508" s="1" t="s">
        <v>2051</v>
      </c>
      <c r="G508" s="1" t="s">
        <v>2061</v>
      </c>
      <c r="H508" s="1" t="s">
        <v>2085</v>
      </c>
      <c r="I508" s="1">
        <v>9</v>
      </c>
      <c r="J508" s="1">
        <v>37225.519999999997</v>
      </c>
      <c r="K508" s="1">
        <v>9.9600000000000009</v>
      </c>
      <c r="L508" s="1">
        <v>301660.71999999997</v>
      </c>
      <c r="M508" s="1">
        <v>50176.5</v>
      </c>
      <c r="N508" s="1" t="s">
        <v>2092</v>
      </c>
    </row>
    <row r="509" spans="1:14">
      <c r="A509" s="1" t="s">
        <v>521</v>
      </c>
      <c r="B509" s="2">
        <v>45477</v>
      </c>
      <c r="C509" s="1" t="s">
        <v>2014</v>
      </c>
      <c r="D509" s="1" t="s">
        <v>2041</v>
      </c>
      <c r="E509" s="1" t="s">
        <v>2047</v>
      </c>
      <c r="F509" s="1" t="s">
        <v>2049</v>
      </c>
      <c r="G509" s="1" t="s">
        <v>2058</v>
      </c>
      <c r="H509" s="1" t="s">
        <v>2086</v>
      </c>
      <c r="I509" s="1">
        <v>2</v>
      </c>
      <c r="J509" s="1">
        <v>1307.8800000000001</v>
      </c>
      <c r="K509" s="1">
        <v>16.440000000000001</v>
      </c>
      <c r="L509" s="1">
        <v>2185.73</v>
      </c>
      <c r="M509" s="1">
        <v>204.72</v>
      </c>
      <c r="N509" s="1" t="s">
        <v>2091</v>
      </c>
    </row>
    <row r="510" spans="1:14">
      <c r="A510" s="1" t="s">
        <v>522</v>
      </c>
      <c r="B510" s="2">
        <v>45477</v>
      </c>
      <c r="C510" s="1" t="s">
        <v>2027</v>
      </c>
      <c r="D510" s="1" t="s">
        <v>2042</v>
      </c>
      <c r="E510" s="1" t="s">
        <v>2045</v>
      </c>
      <c r="F510" s="1" t="s">
        <v>2052</v>
      </c>
      <c r="G510" s="1" t="s">
        <v>2059</v>
      </c>
      <c r="H510" s="1" t="s">
        <v>2087</v>
      </c>
      <c r="I510" s="1">
        <v>5</v>
      </c>
      <c r="J510" s="1">
        <v>5853.44</v>
      </c>
      <c r="K510" s="1">
        <v>16.920000000000002</v>
      </c>
      <c r="L510" s="1">
        <v>24315.19</v>
      </c>
      <c r="M510" s="1">
        <v>4256.8500000000004</v>
      </c>
      <c r="N510" s="1" t="s">
        <v>2092</v>
      </c>
    </row>
    <row r="511" spans="1:14">
      <c r="A511" s="1" t="s">
        <v>523</v>
      </c>
      <c r="B511" s="2">
        <v>45477</v>
      </c>
      <c r="C511" s="1" t="s">
        <v>2024</v>
      </c>
      <c r="D511" s="1" t="s">
        <v>2043</v>
      </c>
      <c r="E511" s="1" t="s">
        <v>2045</v>
      </c>
      <c r="F511" s="1" t="s">
        <v>2051</v>
      </c>
      <c r="G511" s="1" t="s">
        <v>2069</v>
      </c>
      <c r="H511" s="1" t="s">
        <v>2085</v>
      </c>
      <c r="I511" s="1">
        <v>6</v>
      </c>
      <c r="J511" s="1">
        <v>6587.98</v>
      </c>
      <c r="K511" s="1">
        <v>21.44</v>
      </c>
      <c r="L511" s="1">
        <v>31053.1</v>
      </c>
      <c r="M511" s="1">
        <v>3830.04</v>
      </c>
      <c r="N511" s="1" t="s">
        <v>2091</v>
      </c>
    </row>
    <row r="512" spans="1:14">
      <c r="A512" s="1" t="s">
        <v>524</v>
      </c>
      <c r="B512" s="2">
        <v>45478</v>
      </c>
      <c r="C512" s="1" t="s">
        <v>2014</v>
      </c>
      <c r="D512" s="1" t="s">
        <v>2029</v>
      </c>
      <c r="E512" s="1" t="s">
        <v>2044</v>
      </c>
      <c r="F512" s="1" t="s">
        <v>2053</v>
      </c>
      <c r="G512" s="1" t="s">
        <v>2067</v>
      </c>
      <c r="H512" s="1" t="s">
        <v>2085</v>
      </c>
      <c r="I512" s="1">
        <v>4</v>
      </c>
      <c r="J512" s="1">
        <v>2370.2199999999998</v>
      </c>
      <c r="K512" s="1">
        <v>8.8699999999999992</v>
      </c>
      <c r="L512" s="1">
        <v>8639.93</v>
      </c>
      <c r="M512" s="1">
        <v>434.4</v>
      </c>
      <c r="N512" s="1" t="s">
        <v>2088</v>
      </c>
    </row>
    <row r="513" spans="1:14">
      <c r="A513" s="1" t="s">
        <v>525</v>
      </c>
      <c r="B513" s="2">
        <v>45478</v>
      </c>
      <c r="C513" s="1" t="s">
        <v>2019</v>
      </c>
      <c r="D513" s="1" t="s">
        <v>2030</v>
      </c>
      <c r="E513" s="1" t="s">
        <v>2045</v>
      </c>
      <c r="F513" s="1" t="s">
        <v>2053</v>
      </c>
      <c r="G513" s="1" t="s">
        <v>2060</v>
      </c>
      <c r="H513" s="1" t="s">
        <v>2086</v>
      </c>
      <c r="I513" s="1">
        <v>7</v>
      </c>
      <c r="J513" s="1">
        <v>138.97999999999999</v>
      </c>
      <c r="K513" s="1">
        <v>21.86</v>
      </c>
      <c r="L513" s="1">
        <v>760.19</v>
      </c>
      <c r="M513" s="1">
        <v>99.5</v>
      </c>
      <c r="N513" s="1" t="s">
        <v>2088</v>
      </c>
    </row>
    <row r="514" spans="1:14">
      <c r="A514" s="1" t="s">
        <v>526</v>
      </c>
      <c r="B514" s="2">
        <v>45478</v>
      </c>
      <c r="C514" s="1" t="s">
        <v>2025</v>
      </c>
      <c r="D514" s="1" t="s">
        <v>2031</v>
      </c>
      <c r="E514" s="1" t="s">
        <v>2044</v>
      </c>
      <c r="F514" s="1" t="s">
        <v>2054</v>
      </c>
      <c r="G514" s="1" t="s">
        <v>2063</v>
      </c>
      <c r="H514" s="1" t="s">
        <v>2087</v>
      </c>
      <c r="I514" s="1">
        <v>6</v>
      </c>
      <c r="J514" s="1">
        <v>73512.600000000006</v>
      </c>
      <c r="K514" s="1">
        <v>19.489999999999998</v>
      </c>
      <c r="L514" s="1">
        <v>355109.97</v>
      </c>
      <c r="M514" s="1">
        <v>26938.12</v>
      </c>
      <c r="N514" s="1" t="s">
        <v>2089</v>
      </c>
    </row>
    <row r="515" spans="1:14">
      <c r="A515" s="1" t="s">
        <v>527</v>
      </c>
      <c r="B515" s="2">
        <v>45479</v>
      </c>
      <c r="C515" s="1" t="s">
        <v>2016</v>
      </c>
      <c r="D515" s="1" t="s">
        <v>2032</v>
      </c>
      <c r="E515" s="1" t="s">
        <v>2045</v>
      </c>
      <c r="F515" s="1" t="s">
        <v>2054</v>
      </c>
      <c r="G515" s="1" t="s">
        <v>2066</v>
      </c>
      <c r="H515" s="1" t="s">
        <v>2086</v>
      </c>
      <c r="I515" s="1">
        <v>3</v>
      </c>
      <c r="J515" s="1">
        <v>28849.4</v>
      </c>
      <c r="K515" s="1">
        <v>7.63</v>
      </c>
      <c r="L515" s="1">
        <v>79944.570000000007</v>
      </c>
      <c r="M515" s="1">
        <v>4255</v>
      </c>
      <c r="N515" s="1" t="s">
        <v>2088</v>
      </c>
    </row>
    <row r="516" spans="1:14">
      <c r="A516" s="1" t="s">
        <v>528</v>
      </c>
      <c r="B516" s="2">
        <v>45479</v>
      </c>
      <c r="C516" s="1" t="s">
        <v>2026</v>
      </c>
      <c r="D516" s="1" t="s">
        <v>2033</v>
      </c>
      <c r="E516" s="1" t="s">
        <v>2045</v>
      </c>
      <c r="F516" s="1" t="s">
        <v>2050</v>
      </c>
      <c r="G516" s="1" t="s">
        <v>2056</v>
      </c>
      <c r="H516" s="1" t="s">
        <v>2085</v>
      </c>
      <c r="I516" s="1">
        <v>9</v>
      </c>
      <c r="J516" s="1">
        <v>4558.96</v>
      </c>
      <c r="K516" s="1">
        <v>24.37</v>
      </c>
      <c r="L516" s="1">
        <v>31031.47</v>
      </c>
      <c r="M516" s="1">
        <v>4530.93</v>
      </c>
      <c r="N516" s="1" t="s">
        <v>2088</v>
      </c>
    </row>
    <row r="517" spans="1:14">
      <c r="A517" s="1" t="s">
        <v>529</v>
      </c>
      <c r="B517" s="2">
        <v>45480</v>
      </c>
      <c r="C517" s="1" t="s">
        <v>2014</v>
      </c>
      <c r="D517" s="1" t="s">
        <v>2034</v>
      </c>
      <c r="E517" s="1" t="s">
        <v>2044</v>
      </c>
      <c r="F517" s="1" t="s">
        <v>2050</v>
      </c>
      <c r="G517" s="1" t="s">
        <v>2084</v>
      </c>
      <c r="H517" s="1" t="s">
        <v>2085</v>
      </c>
      <c r="I517" s="1">
        <v>8</v>
      </c>
      <c r="J517" s="1">
        <v>1031.23</v>
      </c>
      <c r="K517" s="1">
        <v>9.4499999999999993</v>
      </c>
      <c r="L517" s="1">
        <v>7470.23</v>
      </c>
      <c r="M517" s="1">
        <v>554</v>
      </c>
      <c r="N517" s="1" t="s">
        <v>2092</v>
      </c>
    </row>
    <row r="518" spans="1:14">
      <c r="A518" s="1" t="s">
        <v>530</v>
      </c>
      <c r="B518" s="2">
        <v>45480</v>
      </c>
      <c r="C518" s="1" t="s">
        <v>2023</v>
      </c>
      <c r="D518" s="1" t="s">
        <v>2035</v>
      </c>
      <c r="E518" s="1" t="s">
        <v>2047</v>
      </c>
      <c r="F518" s="1" t="s">
        <v>2050</v>
      </c>
      <c r="G518" s="1" t="s">
        <v>2070</v>
      </c>
      <c r="H518" s="1" t="s">
        <v>2085</v>
      </c>
      <c r="I518" s="1">
        <v>3</v>
      </c>
      <c r="J518" s="1">
        <v>6556.05</v>
      </c>
      <c r="K518" s="1">
        <v>9.81</v>
      </c>
      <c r="L518" s="1">
        <v>17738.7</v>
      </c>
      <c r="M518" s="1">
        <v>2242.81</v>
      </c>
      <c r="N518" s="1" t="s">
        <v>2088</v>
      </c>
    </row>
    <row r="519" spans="1:14">
      <c r="A519" s="1" t="s">
        <v>531</v>
      </c>
      <c r="B519" s="2">
        <v>45480</v>
      </c>
      <c r="C519" s="1" t="s">
        <v>2015</v>
      </c>
      <c r="D519" s="1" t="s">
        <v>2036</v>
      </c>
      <c r="E519" s="1" t="s">
        <v>2046</v>
      </c>
      <c r="F519" s="1" t="s">
        <v>2052</v>
      </c>
      <c r="G519" s="1" t="s">
        <v>2065</v>
      </c>
      <c r="H519" s="1" t="s">
        <v>2085</v>
      </c>
      <c r="I519" s="1">
        <v>3</v>
      </c>
      <c r="J519" s="1">
        <v>3773.77</v>
      </c>
      <c r="K519" s="1">
        <v>22.16</v>
      </c>
      <c r="L519" s="1">
        <v>8812.51</v>
      </c>
      <c r="M519" s="1">
        <v>1909.27</v>
      </c>
      <c r="N519" s="1" t="s">
        <v>2088</v>
      </c>
    </row>
    <row r="520" spans="1:14">
      <c r="A520" s="1" t="s">
        <v>532</v>
      </c>
      <c r="B520" s="2">
        <v>45481</v>
      </c>
      <c r="C520" s="1" t="s">
        <v>2019</v>
      </c>
      <c r="D520" s="1" t="s">
        <v>2037</v>
      </c>
      <c r="E520" s="1" t="s">
        <v>2045</v>
      </c>
      <c r="F520" s="1" t="s">
        <v>2054</v>
      </c>
      <c r="G520" s="1" t="s">
        <v>2079</v>
      </c>
      <c r="H520" s="1" t="s">
        <v>2085</v>
      </c>
      <c r="I520" s="1">
        <v>3</v>
      </c>
      <c r="J520" s="1">
        <v>40246.74</v>
      </c>
      <c r="K520" s="1">
        <v>21.91</v>
      </c>
      <c r="L520" s="1">
        <v>94286.04</v>
      </c>
      <c r="M520" s="1">
        <v>19309.14</v>
      </c>
      <c r="N520" s="1" t="s">
        <v>2088</v>
      </c>
    </row>
    <row r="521" spans="1:14">
      <c r="A521" s="1" t="s">
        <v>533</v>
      </c>
      <c r="B521" s="2">
        <v>45481</v>
      </c>
      <c r="C521" s="1" t="s">
        <v>2027</v>
      </c>
      <c r="D521" s="1" t="s">
        <v>2038</v>
      </c>
      <c r="E521" s="1" t="s">
        <v>2044</v>
      </c>
      <c r="F521" s="1" t="s">
        <v>2049</v>
      </c>
      <c r="G521" s="1" t="s">
        <v>2055</v>
      </c>
      <c r="H521" s="1" t="s">
        <v>2087</v>
      </c>
      <c r="I521" s="1">
        <v>6</v>
      </c>
      <c r="J521" s="1">
        <v>736</v>
      </c>
      <c r="K521" s="1">
        <v>6.78</v>
      </c>
      <c r="L521" s="1">
        <v>4116.6000000000004</v>
      </c>
      <c r="M521" s="1">
        <v>772.94</v>
      </c>
      <c r="N521" s="1" t="s">
        <v>2089</v>
      </c>
    </row>
    <row r="522" spans="1:14">
      <c r="A522" s="1" t="s">
        <v>534</v>
      </c>
      <c r="B522" s="2">
        <v>45481</v>
      </c>
      <c r="C522" s="1" t="s">
        <v>2015</v>
      </c>
      <c r="D522" s="1" t="s">
        <v>2039</v>
      </c>
      <c r="E522" s="1" t="s">
        <v>2044</v>
      </c>
      <c r="F522" s="1" t="s">
        <v>2053</v>
      </c>
      <c r="G522" s="1" t="s">
        <v>2067</v>
      </c>
      <c r="H522" s="1" t="s">
        <v>2087</v>
      </c>
      <c r="I522" s="1">
        <v>9</v>
      </c>
      <c r="J522" s="1">
        <v>306.48</v>
      </c>
      <c r="K522" s="1">
        <v>1.71</v>
      </c>
      <c r="L522" s="1">
        <v>2711.15</v>
      </c>
      <c r="M522" s="1">
        <v>207.05</v>
      </c>
      <c r="N522" s="1" t="s">
        <v>2092</v>
      </c>
    </row>
    <row r="523" spans="1:14">
      <c r="A523" s="1" t="s">
        <v>535</v>
      </c>
      <c r="B523" s="2">
        <v>45482</v>
      </c>
      <c r="C523" s="1" t="s">
        <v>2025</v>
      </c>
      <c r="D523" s="1" t="s">
        <v>2040</v>
      </c>
      <c r="E523" s="1" t="s">
        <v>2048</v>
      </c>
      <c r="F523" s="1" t="s">
        <v>2050</v>
      </c>
      <c r="G523" s="1" t="s">
        <v>2064</v>
      </c>
      <c r="H523" s="1" t="s">
        <v>2087</v>
      </c>
      <c r="I523" s="1">
        <v>6</v>
      </c>
      <c r="J523" s="1">
        <v>4328.74</v>
      </c>
      <c r="K523" s="1">
        <v>8.15</v>
      </c>
      <c r="L523" s="1">
        <v>23855.69</v>
      </c>
      <c r="M523" s="1">
        <v>3573.38</v>
      </c>
      <c r="N523" s="1" t="s">
        <v>2088</v>
      </c>
    </row>
    <row r="524" spans="1:14">
      <c r="A524" s="1" t="s">
        <v>536</v>
      </c>
      <c r="B524" s="2">
        <v>45482</v>
      </c>
      <c r="C524" s="1" t="s">
        <v>2016</v>
      </c>
      <c r="D524" s="1" t="s">
        <v>2041</v>
      </c>
      <c r="E524" s="1" t="s">
        <v>2044</v>
      </c>
      <c r="F524" s="1" t="s">
        <v>2054</v>
      </c>
      <c r="G524" s="1" t="s">
        <v>2068</v>
      </c>
      <c r="H524" s="1" t="s">
        <v>2086</v>
      </c>
      <c r="I524" s="1">
        <v>8</v>
      </c>
      <c r="J524" s="1">
        <v>43809.39</v>
      </c>
      <c r="K524" s="1">
        <v>4.07</v>
      </c>
      <c r="L524" s="1">
        <v>336210.78</v>
      </c>
      <c r="M524" s="1">
        <v>91922.99</v>
      </c>
      <c r="N524" s="1" t="s">
        <v>2090</v>
      </c>
    </row>
    <row r="525" spans="1:14">
      <c r="A525" s="1" t="s">
        <v>537</v>
      </c>
      <c r="B525" s="2">
        <v>45482</v>
      </c>
      <c r="C525" s="1" t="s">
        <v>2021</v>
      </c>
      <c r="D525" s="1" t="s">
        <v>2042</v>
      </c>
      <c r="E525" s="1" t="s">
        <v>2045</v>
      </c>
      <c r="F525" s="1" t="s">
        <v>2049</v>
      </c>
      <c r="G525" s="1" t="s">
        <v>2071</v>
      </c>
      <c r="H525" s="1" t="s">
        <v>2085</v>
      </c>
      <c r="I525" s="1">
        <v>10</v>
      </c>
      <c r="J525" s="1">
        <v>2322.8200000000002</v>
      </c>
      <c r="K525" s="1">
        <v>10.119999999999999</v>
      </c>
      <c r="L525" s="1">
        <v>20877.509999999998</v>
      </c>
      <c r="M525" s="1">
        <v>5958.32</v>
      </c>
      <c r="N525" s="1" t="s">
        <v>2090</v>
      </c>
    </row>
    <row r="526" spans="1:14">
      <c r="A526" s="1" t="s">
        <v>538</v>
      </c>
      <c r="B526" s="2">
        <v>45483</v>
      </c>
      <c r="C526" s="1" t="s">
        <v>2023</v>
      </c>
      <c r="D526" s="1" t="s">
        <v>2043</v>
      </c>
      <c r="E526" s="1" t="s">
        <v>2047</v>
      </c>
      <c r="F526" s="1" t="s">
        <v>2054</v>
      </c>
      <c r="G526" s="1" t="s">
        <v>2066</v>
      </c>
      <c r="H526" s="1" t="s">
        <v>2086</v>
      </c>
      <c r="I526" s="1">
        <v>6</v>
      </c>
      <c r="J526" s="1">
        <v>24589.89</v>
      </c>
      <c r="K526" s="1">
        <v>29</v>
      </c>
      <c r="L526" s="1">
        <v>104752.93</v>
      </c>
      <c r="M526" s="1">
        <v>21686.99</v>
      </c>
      <c r="N526" s="1" t="s">
        <v>2088</v>
      </c>
    </row>
    <row r="527" spans="1:14">
      <c r="A527" s="1" t="s">
        <v>539</v>
      </c>
      <c r="B527" s="2">
        <v>45483</v>
      </c>
      <c r="C527" s="1" t="s">
        <v>2028</v>
      </c>
      <c r="D527" s="1" t="s">
        <v>2029</v>
      </c>
      <c r="E527" s="1" t="s">
        <v>2047</v>
      </c>
      <c r="F527" s="1" t="s">
        <v>2052</v>
      </c>
      <c r="G527" s="1" t="s">
        <v>2083</v>
      </c>
      <c r="H527" s="1" t="s">
        <v>2085</v>
      </c>
      <c r="I527" s="1">
        <v>7</v>
      </c>
      <c r="J527" s="1">
        <v>7942.15</v>
      </c>
      <c r="K527" s="1">
        <v>9.5399999999999991</v>
      </c>
      <c r="L527" s="1">
        <v>50291.28</v>
      </c>
      <c r="M527" s="1">
        <v>9803.42</v>
      </c>
      <c r="N527" s="1" t="s">
        <v>2090</v>
      </c>
    </row>
    <row r="528" spans="1:14">
      <c r="A528" s="1" t="s">
        <v>540</v>
      </c>
      <c r="B528" s="2">
        <v>45484</v>
      </c>
      <c r="C528" s="1" t="s">
        <v>2020</v>
      </c>
      <c r="D528" s="1" t="s">
        <v>2030</v>
      </c>
      <c r="E528" s="1" t="s">
        <v>2046</v>
      </c>
      <c r="F528" s="1" t="s">
        <v>2050</v>
      </c>
      <c r="G528" s="1" t="s">
        <v>2084</v>
      </c>
      <c r="H528" s="1" t="s">
        <v>2085</v>
      </c>
      <c r="I528" s="1">
        <v>4</v>
      </c>
      <c r="J528" s="1">
        <v>1578.6</v>
      </c>
      <c r="K528" s="1">
        <v>1.83</v>
      </c>
      <c r="L528" s="1">
        <v>6198.85</v>
      </c>
      <c r="M528" s="1">
        <v>1083.72</v>
      </c>
      <c r="N528" s="1" t="s">
        <v>2090</v>
      </c>
    </row>
    <row r="529" spans="1:14">
      <c r="A529" s="1" t="s">
        <v>541</v>
      </c>
      <c r="B529" s="2">
        <v>45484</v>
      </c>
      <c r="C529" s="1" t="s">
        <v>2018</v>
      </c>
      <c r="D529" s="1" t="s">
        <v>2031</v>
      </c>
      <c r="E529" s="1" t="s">
        <v>2046</v>
      </c>
      <c r="F529" s="1" t="s">
        <v>2052</v>
      </c>
      <c r="G529" s="1" t="s">
        <v>2083</v>
      </c>
      <c r="H529" s="1" t="s">
        <v>2087</v>
      </c>
      <c r="I529" s="1">
        <v>3</v>
      </c>
      <c r="J529" s="1">
        <v>201.83</v>
      </c>
      <c r="K529" s="1">
        <v>18.420000000000002</v>
      </c>
      <c r="L529" s="1">
        <v>493.96</v>
      </c>
      <c r="M529" s="1">
        <v>100.82</v>
      </c>
      <c r="N529" s="1" t="s">
        <v>2091</v>
      </c>
    </row>
    <row r="530" spans="1:14">
      <c r="A530" s="1" t="s">
        <v>542</v>
      </c>
      <c r="B530" s="2">
        <v>45484</v>
      </c>
      <c r="C530" s="1" t="s">
        <v>2019</v>
      </c>
      <c r="D530" s="1" t="s">
        <v>2032</v>
      </c>
      <c r="E530" s="1" t="s">
        <v>2047</v>
      </c>
      <c r="F530" s="1" t="s">
        <v>2051</v>
      </c>
      <c r="G530" s="1" t="s">
        <v>2077</v>
      </c>
      <c r="H530" s="1" t="s">
        <v>2087</v>
      </c>
      <c r="I530" s="1">
        <v>2</v>
      </c>
      <c r="J530" s="1">
        <v>8707.93</v>
      </c>
      <c r="K530" s="1">
        <v>5.42</v>
      </c>
      <c r="L530" s="1">
        <v>16471.919999999998</v>
      </c>
      <c r="M530" s="1">
        <v>1904.44</v>
      </c>
      <c r="N530" s="1" t="s">
        <v>2089</v>
      </c>
    </row>
    <row r="531" spans="1:14">
      <c r="A531" s="1" t="s">
        <v>543</v>
      </c>
      <c r="B531" s="2">
        <v>45485</v>
      </c>
      <c r="C531" s="1" t="s">
        <v>2025</v>
      </c>
      <c r="D531" s="1" t="s">
        <v>2033</v>
      </c>
      <c r="E531" s="1" t="s">
        <v>2044</v>
      </c>
      <c r="F531" s="1" t="s">
        <v>2049</v>
      </c>
      <c r="G531" s="1" t="s">
        <v>2071</v>
      </c>
      <c r="H531" s="1" t="s">
        <v>2087</v>
      </c>
      <c r="I531" s="1">
        <v>1</v>
      </c>
      <c r="J531" s="1">
        <v>529.49</v>
      </c>
      <c r="K531" s="1">
        <v>20.27</v>
      </c>
      <c r="L531" s="1">
        <v>422.16</v>
      </c>
      <c r="M531" s="1">
        <v>25.13</v>
      </c>
      <c r="N531" s="1" t="s">
        <v>2092</v>
      </c>
    </row>
    <row r="532" spans="1:14">
      <c r="A532" s="1" t="s">
        <v>544</v>
      </c>
      <c r="B532" s="2">
        <v>45485</v>
      </c>
      <c r="C532" s="1" t="s">
        <v>2019</v>
      </c>
      <c r="D532" s="1" t="s">
        <v>2034</v>
      </c>
      <c r="E532" s="1" t="s">
        <v>2044</v>
      </c>
      <c r="F532" s="1" t="s">
        <v>2049</v>
      </c>
      <c r="G532" s="1" t="s">
        <v>2071</v>
      </c>
      <c r="H532" s="1" t="s">
        <v>2087</v>
      </c>
      <c r="I532" s="1">
        <v>7</v>
      </c>
      <c r="J532" s="1">
        <v>1805.93</v>
      </c>
      <c r="K532" s="1">
        <v>26.16</v>
      </c>
      <c r="L532" s="1">
        <v>9334.49</v>
      </c>
      <c r="M532" s="1">
        <v>1813.18</v>
      </c>
      <c r="N532" s="1" t="s">
        <v>2088</v>
      </c>
    </row>
    <row r="533" spans="1:14">
      <c r="A533" s="1" t="s">
        <v>545</v>
      </c>
      <c r="B533" s="2">
        <v>45485</v>
      </c>
      <c r="C533" s="1" t="s">
        <v>2017</v>
      </c>
      <c r="D533" s="1" t="s">
        <v>2035</v>
      </c>
      <c r="E533" s="1" t="s">
        <v>2044</v>
      </c>
      <c r="F533" s="1" t="s">
        <v>2050</v>
      </c>
      <c r="G533" s="1" t="s">
        <v>2064</v>
      </c>
      <c r="H533" s="1" t="s">
        <v>2086</v>
      </c>
      <c r="I533" s="1">
        <v>9</v>
      </c>
      <c r="J533" s="1">
        <v>3351.61</v>
      </c>
      <c r="K533" s="1">
        <v>8.89</v>
      </c>
      <c r="L533" s="1">
        <v>27482.87</v>
      </c>
      <c r="M533" s="1">
        <v>2359.88</v>
      </c>
      <c r="N533" s="1" t="s">
        <v>2088</v>
      </c>
    </row>
    <row r="534" spans="1:14">
      <c r="A534" s="1" t="s">
        <v>546</v>
      </c>
      <c r="B534" s="2">
        <v>45486</v>
      </c>
      <c r="C534" s="1" t="s">
        <v>2025</v>
      </c>
      <c r="D534" s="1" t="s">
        <v>2036</v>
      </c>
      <c r="E534" s="1" t="s">
        <v>2044</v>
      </c>
      <c r="F534" s="1" t="s">
        <v>2053</v>
      </c>
      <c r="G534" s="1" t="s">
        <v>2073</v>
      </c>
      <c r="H534" s="1" t="s">
        <v>2087</v>
      </c>
      <c r="I534" s="1">
        <v>7</v>
      </c>
      <c r="J534" s="1">
        <v>2354.96</v>
      </c>
      <c r="K534" s="1">
        <v>22.65</v>
      </c>
      <c r="L534" s="1">
        <v>12750.93</v>
      </c>
      <c r="M534" s="1">
        <v>2507.5500000000002</v>
      </c>
      <c r="N534" s="1" t="s">
        <v>2088</v>
      </c>
    </row>
    <row r="535" spans="1:14">
      <c r="A535" s="1" t="s">
        <v>547</v>
      </c>
      <c r="B535" s="2">
        <v>45486</v>
      </c>
      <c r="C535" s="1" t="s">
        <v>2017</v>
      </c>
      <c r="D535" s="1" t="s">
        <v>2037</v>
      </c>
      <c r="E535" s="1" t="s">
        <v>2047</v>
      </c>
      <c r="F535" s="1" t="s">
        <v>2049</v>
      </c>
      <c r="G535" s="1" t="s">
        <v>2058</v>
      </c>
      <c r="H535" s="1" t="s">
        <v>2087</v>
      </c>
      <c r="I535" s="1">
        <v>2</v>
      </c>
      <c r="J535" s="1">
        <v>955.57</v>
      </c>
      <c r="K535" s="1">
        <v>5.86</v>
      </c>
      <c r="L535" s="1">
        <v>1799.15</v>
      </c>
      <c r="M535" s="1">
        <v>395.13</v>
      </c>
      <c r="N535" s="1" t="s">
        <v>2092</v>
      </c>
    </row>
    <row r="536" spans="1:14">
      <c r="A536" s="1" t="s">
        <v>548</v>
      </c>
      <c r="B536" s="2">
        <v>45487</v>
      </c>
      <c r="C536" s="1" t="s">
        <v>2024</v>
      </c>
      <c r="D536" s="1" t="s">
        <v>2038</v>
      </c>
      <c r="E536" s="1" t="s">
        <v>2045</v>
      </c>
      <c r="F536" s="1" t="s">
        <v>2053</v>
      </c>
      <c r="G536" s="1" t="s">
        <v>2067</v>
      </c>
      <c r="H536" s="1" t="s">
        <v>2087</v>
      </c>
      <c r="I536" s="1">
        <v>8</v>
      </c>
      <c r="J536" s="1">
        <v>2024.04</v>
      </c>
      <c r="K536" s="1">
        <v>14.09</v>
      </c>
      <c r="L536" s="1">
        <v>13910.82</v>
      </c>
      <c r="M536" s="1">
        <v>2165.41</v>
      </c>
      <c r="N536" s="1" t="s">
        <v>2091</v>
      </c>
    </row>
    <row r="537" spans="1:14">
      <c r="A537" s="1" t="s">
        <v>549</v>
      </c>
      <c r="B537" s="2">
        <v>45487</v>
      </c>
      <c r="C537" s="1" t="s">
        <v>2028</v>
      </c>
      <c r="D537" s="1" t="s">
        <v>2039</v>
      </c>
      <c r="E537" s="1" t="s">
        <v>2045</v>
      </c>
      <c r="F537" s="1" t="s">
        <v>2051</v>
      </c>
      <c r="G537" s="1" t="s">
        <v>2077</v>
      </c>
      <c r="H537" s="1" t="s">
        <v>2086</v>
      </c>
      <c r="I537" s="1">
        <v>10</v>
      </c>
      <c r="J537" s="1">
        <v>32577.33</v>
      </c>
      <c r="K537" s="1">
        <v>28.52</v>
      </c>
      <c r="L537" s="1">
        <v>232862.75</v>
      </c>
      <c r="M537" s="1">
        <v>12927.73</v>
      </c>
      <c r="N537" s="1" t="s">
        <v>2090</v>
      </c>
    </row>
    <row r="538" spans="1:14">
      <c r="A538" s="1" t="s">
        <v>550</v>
      </c>
      <c r="B538" s="2">
        <v>45487</v>
      </c>
      <c r="C538" s="1" t="s">
        <v>2018</v>
      </c>
      <c r="D538" s="1" t="s">
        <v>2040</v>
      </c>
      <c r="E538" s="1" t="s">
        <v>2047</v>
      </c>
      <c r="F538" s="1" t="s">
        <v>2054</v>
      </c>
      <c r="G538" s="1" t="s">
        <v>2068</v>
      </c>
      <c r="H538" s="1" t="s">
        <v>2086</v>
      </c>
      <c r="I538" s="1">
        <v>5</v>
      </c>
      <c r="J538" s="1">
        <v>35468.519999999997</v>
      </c>
      <c r="K538" s="1">
        <v>19.32</v>
      </c>
      <c r="L538" s="1">
        <v>143080.01</v>
      </c>
      <c r="M538" s="1">
        <v>20780.650000000001</v>
      </c>
      <c r="N538" s="1" t="s">
        <v>2089</v>
      </c>
    </row>
    <row r="539" spans="1:14">
      <c r="A539" s="1" t="s">
        <v>551</v>
      </c>
      <c r="B539" s="2">
        <v>45488</v>
      </c>
      <c r="C539" s="1" t="s">
        <v>2027</v>
      </c>
      <c r="D539" s="1" t="s">
        <v>2041</v>
      </c>
      <c r="E539" s="1" t="s">
        <v>2044</v>
      </c>
      <c r="F539" s="1" t="s">
        <v>2051</v>
      </c>
      <c r="G539" s="1" t="s">
        <v>2069</v>
      </c>
      <c r="H539" s="1" t="s">
        <v>2086</v>
      </c>
      <c r="I539" s="1">
        <v>6</v>
      </c>
      <c r="J539" s="1">
        <v>9436.98</v>
      </c>
      <c r="K539" s="1">
        <v>13.28</v>
      </c>
      <c r="L539" s="1">
        <v>49102.49</v>
      </c>
      <c r="M539" s="1">
        <v>3048.81</v>
      </c>
      <c r="N539" s="1" t="s">
        <v>2092</v>
      </c>
    </row>
    <row r="540" spans="1:14">
      <c r="A540" s="1" t="s">
        <v>552</v>
      </c>
      <c r="B540" s="2">
        <v>45488</v>
      </c>
      <c r="C540" s="1" t="s">
        <v>2018</v>
      </c>
      <c r="D540" s="1" t="s">
        <v>2042</v>
      </c>
      <c r="E540" s="1" t="s">
        <v>2047</v>
      </c>
      <c r="F540" s="1" t="s">
        <v>2049</v>
      </c>
      <c r="G540" s="1" t="s">
        <v>2071</v>
      </c>
      <c r="H540" s="1" t="s">
        <v>2085</v>
      </c>
      <c r="I540" s="1">
        <v>2</v>
      </c>
      <c r="J540" s="1">
        <v>2409.36</v>
      </c>
      <c r="K540" s="1">
        <v>16.64</v>
      </c>
      <c r="L540" s="1">
        <v>4016.88</v>
      </c>
      <c r="M540" s="1">
        <v>1030.26</v>
      </c>
      <c r="N540" s="1" t="s">
        <v>2091</v>
      </c>
    </row>
    <row r="541" spans="1:14">
      <c r="A541" s="1" t="s">
        <v>553</v>
      </c>
      <c r="B541" s="2">
        <v>45488</v>
      </c>
      <c r="C541" s="1" t="s">
        <v>2028</v>
      </c>
      <c r="D541" s="1" t="s">
        <v>2043</v>
      </c>
      <c r="E541" s="1" t="s">
        <v>2047</v>
      </c>
      <c r="F541" s="1" t="s">
        <v>2053</v>
      </c>
      <c r="G541" s="1" t="s">
        <v>2060</v>
      </c>
      <c r="H541" s="1" t="s">
        <v>2085</v>
      </c>
      <c r="I541" s="1">
        <v>7</v>
      </c>
      <c r="J541" s="1">
        <v>1552.21</v>
      </c>
      <c r="K541" s="1">
        <v>6.61</v>
      </c>
      <c r="L541" s="1">
        <v>10147.26</v>
      </c>
      <c r="M541" s="1">
        <v>2094.52</v>
      </c>
      <c r="N541" s="1" t="s">
        <v>2090</v>
      </c>
    </row>
    <row r="542" spans="1:14">
      <c r="A542" s="1" t="s">
        <v>554</v>
      </c>
      <c r="B542" s="2">
        <v>45489</v>
      </c>
      <c r="C542" s="1" t="s">
        <v>2017</v>
      </c>
      <c r="D542" s="1" t="s">
        <v>2029</v>
      </c>
      <c r="E542" s="1" t="s">
        <v>2045</v>
      </c>
      <c r="F542" s="1" t="s">
        <v>2053</v>
      </c>
      <c r="G542" s="1" t="s">
        <v>2062</v>
      </c>
      <c r="H542" s="1" t="s">
        <v>2086</v>
      </c>
      <c r="I542" s="1">
        <v>5</v>
      </c>
      <c r="J542" s="1">
        <v>1356.16</v>
      </c>
      <c r="K542" s="1">
        <v>6.8</v>
      </c>
      <c r="L542" s="1">
        <v>6319.71</v>
      </c>
      <c r="M542" s="1">
        <v>1369.04</v>
      </c>
      <c r="N542" s="1" t="s">
        <v>2089</v>
      </c>
    </row>
    <row r="543" spans="1:14">
      <c r="A543" s="1" t="s">
        <v>555</v>
      </c>
      <c r="B543" s="2">
        <v>45489</v>
      </c>
      <c r="C543" s="1" t="s">
        <v>2020</v>
      </c>
      <c r="D543" s="1" t="s">
        <v>2030</v>
      </c>
      <c r="E543" s="1" t="s">
        <v>2044</v>
      </c>
      <c r="F543" s="1" t="s">
        <v>2050</v>
      </c>
      <c r="G543" s="1" t="s">
        <v>2075</v>
      </c>
      <c r="H543" s="1" t="s">
        <v>2086</v>
      </c>
      <c r="I543" s="1">
        <v>3</v>
      </c>
      <c r="J543" s="1">
        <v>693.86</v>
      </c>
      <c r="K543" s="1">
        <v>11.93</v>
      </c>
      <c r="L543" s="1">
        <v>1833.25</v>
      </c>
      <c r="M543" s="1">
        <v>326.18</v>
      </c>
      <c r="N543" s="1" t="s">
        <v>2092</v>
      </c>
    </row>
    <row r="544" spans="1:14">
      <c r="A544" s="1" t="s">
        <v>556</v>
      </c>
      <c r="B544" s="2">
        <v>45489</v>
      </c>
      <c r="C544" s="1" t="s">
        <v>2019</v>
      </c>
      <c r="D544" s="1" t="s">
        <v>2031</v>
      </c>
      <c r="E544" s="1" t="s">
        <v>2044</v>
      </c>
      <c r="F544" s="1" t="s">
        <v>2049</v>
      </c>
      <c r="G544" s="1" t="s">
        <v>2058</v>
      </c>
      <c r="H544" s="1" t="s">
        <v>2085</v>
      </c>
      <c r="I544" s="1">
        <v>3</v>
      </c>
      <c r="J544" s="1">
        <v>233.02</v>
      </c>
      <c r="K544" s="1">
        <v>2.13</v>
      </c>
      <c r="L544" s="1">
        <v>684.17</v>
      </c>
      <c r="M544" s="1">
        <v>132.36000000000001</v>
      </c>
      <c r="N544" s="1" t="s">
        <v>2088</v>
      </c>
    </row>
    <row r="545" spans="1:14">
      <c r="A545" s="1" t="s">
        <v>557</v>
      </c>
      <c r="B545" s="2">
        <v>45490</v>
      </c>
      <c r="C545" s="1" t="s">
        <v>2028</v>
      </c>
      <c r="D545" s="1" t="s">
        <v>2032</v>
      </c>
      <c r="E545" s="1" t="s">
        <v>2048</v>
      </c>
      <c r="F545" s="1" t="s">
        <v>2052</v>
      </c>
      <c r="G545" s="1" t="s">
        <v>2065</v>
      </c>
      <c r="H545" s="1" t="s">
        <v>2085</v>
      </c>
      <c r="I545" s="1">
        <v>5</v>
      </c>
      <c r="J545" s="1">
        <v>677.21</v>
      </c>
      <c r="K545" s="1">
        <v>2.94</v>
      </c>
      <c r="L545" s="1">
        <v>3286.5</v>
      </c>
      <c r="M545" s="1">
        <v>200.53</v>
      </c>
      <c r="N545" s="1" t="s">
        <v>2088</v>
      </c>
    </row>
    <row r="546" spans="1:14">
      <c r="A546" s="1" t="s">
        <v>558</v>
      </c>
      <c r="B546" s="2">
        <v>45490</v>
      </c>
      <c r="C546" s="1" t="s">
        <v>2023</v>
      </c>
      <c r="D546" s="1" t="s">
        <v>2033</v>
      </c>
      <c r="E546" s="1" t="s">
        <v>2046</v>
      </c>
      <c r="F546" s="1" t="s">
        <v>2054</v>
      </c>
      <c r="G546" s="1" t="s">
        <v>2081</v>
      </c>
      <c r="H546" s="1" t="s">
        <v>2087</v>
      </c>
      <c r="I546" s="1">
        <v>8</v>
      </c>
      <c r="J546" s="1">
        <v>24080.69</v>
      </c>
      <c r="K546" s="1">
        <v>2.3199999999999998</v>
      </c>
      <c r="L546" s="1">
        <v>188176.14</v>
      </c>
      <c r="M546" s="1">
        <v>17400.98</v>
      </c>
      <c r="N546" s="1" t="s">
        <v>2091</v>
      </c>
    </row>
    <row r="547" spans="1:14">
      <c r="A547" s="1" t="s">
        <v>559</v>
      </c>
      <c r="B547" s="2">
        <v>45491</v>
      </c>
      <c r="C547" s="1" t="s">
        <v>2026</v>
      </c>
      <c r="D547" s="1" t="s">
        <v>2034</v>
      </c>
      <c r="E547" s="1" t="s">
        <v>2045</v>
      </c>
      <c r="F547" s="1" t="s">
        <v>2049</v>
      </c>
      <c r="G547" s="1" t="s">
        <v>2071</v>
      </c>
      <c r="H547" s="1" t="s">
        <v>2086</v>
      </c>
      <c r="I547" s="1">
        <v>7</v>
      </c>
      <c r="J547" s="1">
        <v>2969.04</v>
      </c>
      <c r="K547" s="1">
        <v>20.53</v>
      </c>
      <c r="L547" s="1">
        <v>16516.47</v>
      </c>
      <c r="M547" s="1">
        <v>4744.28</v>
      </c>
      <c r="N547" s="1" t="s">
        <v>2088</v>
      </c>
    </row>
    <row r="548" spans="1:14">
      <c r="A548" s="1" t="s">
        <v>560</v>
      </c>
      <c r="B548" s="2">
        <v>45491</v>
      </c>
      <c r="C548" s="1" t="s">
        <v>2028</v>
      </c>
      <c r="D548" s="1" t="s">
        <v>2035</v>
      </c>
      <c r="E548" s="1" t="s">
        <v>2046</v>
      </c>
      <c r="F548" s="1" t="s">
        <v>2051</v>
      </c>
      <c r="G548" s="1" t="s">
        <v>2080</v>
      </c>
      <c r="H548" s="1" t="s">
        <v>2085</v>
      </c>
      <c r="I548" s="1">
        <v>9</v>
      </c>
      <c r="J548" s="1">
        <v>3161.22</v>
      </c>
      <c r="K548" s="1">
        <v>9.93</v>
      </c>
      <c r="L548" s="1">
        <v>25625.8</v>
      </c>
      <c r="M548" s="1">
        <v>6188.45</v>
      </c>
      <c r="N548" s="1" t="s">
        <v>2088</v>
      </c>
    </row>
    <row r="549" spans="1:14">
      <c r="A549" s="1" t="s">
        <v>561</v>
      </c>
      <c r="B549" s="2">
        <v>45491</v>
      </c>
      <c r="C549" s="1" t="s">
        <v>2022</v>
      </c>
      <c r="D549" s="1" t="s">
        <v>2036</v>
      </c>
      <c r="E549" s="1" t="s">
        <v>2045</v>
      </c>
      <c r="F549" s="1" t="s">
        <v>2052</v>
      </c>
      <c r="G549" s="1" t="s">
        <v>2083</v>
      </c>
      <c r="H549" s="1" t="s">
        <v>2085</v>
      </c>
      <c r="I549" s="1">
        <v>2</v>
      </c>
      <c r="J549" s="1">
        <v>606</v>
      </c>
      <c r="K549" s="1">
        <v>29.03</v>
      </c>
      <c r="L549" s="1">
        <v>860.16</v>
      </c>
      <c r="M549" s="1">
        <v>161.25</v>
      </c>
      <c r="N549" s="1" t="s">
        <v>2090</v>
      </c>
    </row>
    <row r="550" spans="1:14">
      <c r="A550" s="1" t="s">
        <v>562</v>
      </c>
      <c r="B550" s="2">
        <v>45492</v>
      </c>
      <c r="C550" s="1" t="s">
        <v>2019</v>
      </c>
      <c r="D550" s="1" t="s">
        <v>2037</v>
      </c>
      <c r="E550" s="1" t="s">
        <v>2047</v>
      </c>
      <c r="F550" s="1" t="s">
        <v>2054</v>
      </c>
      <c r="G550" s="1" t="s">
        <v>2079</v>
      </c>
      <c r="H550" s="1" t="s">
        <v>2086</v>
      </c>
      <c r="I550" s="1">
        <v>6</v>
      </c>
      <c r="J550" s="1">
        <v>49593.56</v>
      </c>
      <c r="K550" s="1">
        <v>6.23</v>
      </c>
      <c r="L550" s="1">
        <v>279023.28999999998</v>
      </c>
      <c r="M550" s="1">
        <v>54946.45</v>
      </c>
      <c r="N550" s="1" t="s">
        <v>2088</v>
      </c>
    </row>
    <row r="551" spans="1:14">
      <c r="A551" s="1" t="s">
        <v>563</v>
      </c>
      <c r="B551" s="2">
        <v>45492</v>
      </c>
      <c r="C551" s="1" t="s">
        <v>2027</v>
      </c>
      <c r="D551" s="1" t="s">
        <v>2038</v>
      </c>
      <c r="E551" s="1" t="s">
        <v>2045</v>
      </c>
      <c r="F551" s="1" t="s">
        <v>2053</v>
      </c>
      <c r="G551" s="1" t="s">
        <v>2062</v>
      </c>
      <c r="H551" s="1" t="s">
        <v>2085</v>
      </c>
      <c r="I551" s="1">
        <v>9</v>
      </c>
      <c r="J551" s="1">
        <v>1653.9</v>
      </c>
      <c r="K551" s="1">
        <v>25.31</v>
      </c>
      <c r="L551" s="1">
        <v>11117.68</v>
      </c>
      <c r="M551" s="1">
        <v>1458.98</v>
      </c>
      <c r="N551" s="1" t="s">
        <v>2091</v>
      </c>
    </row>
    <row r="552" spans="1:14">
      <c r="A552" s="1" t="s">
        <v>564</v>
      </c>
      <c r="B552" s="2">
        <v>45492</v>
      </c>
      <c r="C552" s="1" t="s">
        <v>2015</v>
      </c>
      <c r="D552" s="1" t="s">
        <v>2039</v>
      </c>
      <c r="E552" s="1" t="s">
        <v>2046</v>
      </c>
      <c r="F552" s="1" t="s">
        <v>2050</v>
      </c>
      <c r="G552" s="1" t="s">
        <v>2064</v>
      </c>
      <c r="H552" s="1" t="s">
        <v>2086</v>
      </c>
      <c r="I552" s="1">
        <v>7</v>
      </c>
      <c r="J552" s="1">
        <v>5014.5200000000004</v>
      </c>
      <c r="K552" s="1">
        <v>0.5</v>
      </c>
      <c r="L552" s="1">
        <v>34926.129999999997</v>
      </c>
      <c r="M552" s="1">
        <v>3446.98</v>
      </c>
      <c r="N552" s="1" t="s">
        <v>2091</v>
      </c>
    </row>
    <row r="553" spans="1:14">
      <c r="A553" s="1" t="s">
        <v>565</v>
      </c>
      <c r="B553" s="2">
        <v>45493</v>
      </c>
      <c r="C553" s="1" t="s">
        <v>2026</v>
      </c>
      <c r="D553" s="1" t="s">
        <v>2040</v>
      </c>
      <c r="E553" s="1" t="s">
        <v>2044</v>
      </c>
      <c r="F553" s="1" t="s">
        <v>2050</v>
      </c>
      <c r="G553" s="1" t="s">
        <v>2070</v>
      </c>
      <c r="H553" s="1" t="s">
        <v>2087</v>
      </c>
      <c r="I553" s="1">
        <v>4</v>
      </c>
      <c r="J553" s="1">
        <v>6971.46</v>
      </c>
      <c r="K553" s="1">
        <v>1.79</v>
      </c>
      <c r="L553" s="1">
        <v>27386.68</v>
      </c>
      <c r="M553" s="1">
        <v>6107.58</v>
      </c>
      <c r="N553" s="1" t="s">
        <v>2090</v>
      </c>
    </row>
    <row r="554" spans="1:14">
      <c r="A554" s="1" t="s">
        <v>566</v>
      </c>
      <c r="B554" s="2">
        <v>45493</v>
      </c>
      <c r="C554" s="1" t="s">
        <v>2019</v>
      </c>
      <c r="D554" s="1" t="s">
        <v>2041</v>
      </c>
      <c r="E554" s="1" t="s">
        <v>2046</v>
      </c>
      <c r="F554" s="1" t="s">
        <v>2052</v>
      </c>
      <c r="G554" s="1" t="s">
        <v>2078</v>
      </c>
      <c r="H554" s="1" t="s">
        <v>2086</v>
      </c>
      <c r="I554" s="1">
        <v>6</v>
      </c>
      <c r="J554" s="1">
        <v>779.94</v>
      </c>
      <c r="K554" s="1">
        <v>18.98</v>
      </c>
      <c r="L554" s="1">
        <v>3791.44</v>
      </c>
      <c r="M554" s="1">
        <v>918.4</v>
      </c>
      <c r="N554" s="1" t="s">
        <v>2090</v>
      </c>
    </row>
    <row r="555" spans="1:14">
      <c r="A555" s="1" t="s">
        <v>567</v>
      </c>
      <c r="B555" s="2">
        <v>45493</v>
      </c>
      <c r="C555" s="1" t="s">
        <v>2016</v>
      </c>
      <c r="D555" s="1" t="s">
        <v>2042</v>
      </c>
      <c r="E555" s="1" t="s">
        <v>2044</v>
      </c>
      <c r="F555" s="1" t="s">
        <v>2051</v>
      </c>
      <c r="G555" s="1" t="s">
        <v>2057</v>
      </c>
      <c r="H555" s="1" t="s">
        <v>2086</v>
      </c>
      <c r="I555" s="1">
        <v>9</v>
      </c>
      <c r="J555" s="1">
        <v>16954.32</v>
      </c>
      <c r="K555" s="1">
        <v>10.63</v>
      </c>
      <c r="L555" s="1">
        <v>136368.68</v>
      </c>
      <c r="M555" s="1">
        <v>17142.560000000001</v>
      </c>
      <c r="N555" s="1" t="s">
        <v>2090</v>
      </c>
    </row>
    <row r="556" spans="1:14">
      <c r="A556" s="1" t="s">
        <v>568</v>
      </c>
      <c r="B556" s="2">
        <v>45494</v>
      </c>
      <c r="C556" s="1" t="s">
        <v>2014</v>
      </c>
      <c r="D556" s="1" t="s">
        <v>2043</v>
      </c>
      <c r="E556" s="1" t="s">
        <v>2045</v>
      </c>
      <c r="F556" s="1" t="s">
        <v>2050</v>
      </c>
      <c r="G556" s="1" t="s">
        <v>2075</v>
      </c>
      <c r="H556" s="1" t="s">
        <v>2087</v>
      </c>
      <c r="I556" s="1">
        <v>7</v>
      </c>
      <c r="J556" s="1">
        <v>2177.27</v>
      </c>
      <c r="K556" s="1">
        <v>19.68</v>
      </c>
      <c r="L556" s="1">
        <v>12241.48</v>
      </c>
      <c r="M556" s="1">
        <v>1220.52</v>
      </c>
      <c r="N556" s="1" t="s">
        <v>2089</v>
      </c>
    </row>
    <row r="557" spans="1:14">
      <c r="A557" s="1" t="s">
        <v>569</v>
      </c>
      <c r="B557" s="2">
        <v>45494</v>
      </c>
      <c r="C557" s="1" t="s">
        <v>2028</v>
      </c>
      <c r="D557" s="1" t="s">
        <v>2029</v>
      </c>
      <c r="E557" s="1" t="s">
        <v>2045</v>
      </c>
      <c r="F557" s="1" t="s">
        <v>2050</v>
      </c>
      <c r="G557" s="1" t="s">
        <v>2075</v>
      </c>
      <c r="H557" s="1" t="s">
        <v>2085</v>
      </c>
      <c r="I557" s="1">
        <v>7</v>
      </c>
      <c r="J557" s="1">
        <v>6307.64</v>
      </c>
      <c r="K557" s="1">
        <v>16.920000000000002</v>
      </c>
      <c r="L557" s="1">
        <v>36682.71</v>
      </c>
      <c r="M557" s="1">
        <v>4229.17</v>
      </c>
      <c r="N557" s="1" t="s">
        <v>2091</v>
      </c>
    </row>
    <row r="558" spans="1:14">
      <c r="A558" s="1" t="s">
        <v>570</v>
      </c>
      <c r="B558" s="2">
        <v>45495</v>
      </c>
      <c r="C558" s="1" t="s">
        <v>2021</v>
      </c>
      <c r="D558" s="1" t="s">
        <v>2030</v>
      </c>
      <c r="E558" s="1" t="s">
        <v>2045</v>
      </c>
      <c r="F558" s="1" t="s">
        <v>2053</v>
      </c>
      <c r="G558" s="1" t="s">
        <v>2062</v>
      </c>
      <c r="H558" s="1" t="s">
        <v>2085</v>
      </c>
      <c r="I558" s="1">
        <v>8</v>
      </c>
      <c r="J558" s="1">
        <v>1564.26</v>
      </c>
      <c r="K558" s="1">
        <v>14.65</v>
      </c>
      <c r="L558" s="1">
        <v>10680.77</v>
      </c>
      <c r="M558" s="1">
        <v>889.66</v>
      </c>
      <c r="N558" s="1" t="s">
        <v>2088</v>
      </c>
    </row>
    <row r="559" spans="1:14">
      <c r="A559" s="1" t="s">
        <v>571</v>
      </c>
      <c r="B559" s="2">
        <v>45495</v>
      </c>
      <c r="C559" s="1" t="s">
        <v>2019</v>
      </c>
      <c r="D559" s="1" t="s">
        <v>2031</v>
      </c>
      <c r="E559" s="1" t="s">
        <v>2045</v>
      </c>
      <c r="F559" s="1" t="s">
        <v>2054</v>
      </c>
      <c r="G559" s="1" t="s">
        <v>2081</v>
      </c>
      <c r="H559" s="1" t="s">
        <v>2086</v>
      </c>
      <c r="I559" s="1">
        <v>9</v>
      </c>
      <c r="J559" s="1">
        <v>25864.080000000002</v>
      </c>
      <c r="K559" s="1">
        <v>12.47</v>
      </c>
      <c r="L559" s="1">
        <v>203749.46</v>
      </c>
      <c r="M559" s="1">
        <v>56439.37</v>
      </c>
      <c r="N559" s="1" t="s">
        <v>2092</v>
      </c>
    </row>
    <row r="560" spans="1:14">
      <c r="A560" s="1" t="s">
        <v>572</v>
      </c>
      <c r="B560" s="2">
        <v>45495</v>
      </c>
      <c r="C560" s="1" t="s">
        <v>2025</v>
      </c>
      <c r="D560" s="1" t="s">
        <v>2032</v>
      </c>
      <c r="E560" s="1" t="s">
        <v>2045</v>
      </c>
      <c r="F560" s="1" t="s">
        <v>2050</v>
      </c>
      <c r="G560" s="1" t="s">
        <v>2056</v>
      </c>
      <c r="H560" s="1" t="s">
        <v>2085</v>
      </c>
      <c r="I560" s="1">
        <v>3</v>
      </c>
      <c r="J560" s="1">
        <v>768.94</v>
      </c>
      <c r="K560" s="1">
        <v>0.93</v>
      </c>
      <c r="L560" s="1">
        <v>2285.37</v>
      </c>
      <c r="M560" s="1">
        <v>522.44000000000005</v>
      </c>
      <c r="N560" s="1" t="s">
        <v>2089</v>
      </c>
    </row>
    <row r="561" spans="1:14">
      <c r="A561" s="1" t="s">
        <v>573</v>
      </c>
      <c r="B561" s="2">
        <v>45496</v>
      </c>
      <c r="C561" s="1" t="s">
        <v>2026</v>
      </c>
      <c r="D561" s="1" t="s">
        <v>2033</v>
      </c>
      <c r="E561" s="1" t="s">
        <v>2048</v>
      </c>
      <c r="F561" s="1" t="s">
        <v>2052</v>
      </c>
      <c r="G561" s="1" t="s">
        <v>2083</v>
      </c>
      <c r="H561" s="1" t="s">
        <v>2087</v>
      </c>
      <c r="I561" s="1">
        <v>4</v>
      </c>
      <c r="J561" s="1">
        <v>2900.26</v>
      </c>
      <c r="K561" s="1">
        <v>14.84</v>
      </c>
      <c r="L561" s="1">
        <v>9879.4500000000007</v>
      </c>
      <c r="M561" s="1">
        <v>794.54</v>
      </c>
      <c r="N561" s="1" t="s">
        <v>2090</v>
      </c>
    </row>
    <row r="562" spans="1:14">
      <c r="A562" s="1" t="s">
        <v>574</v>
      </c>
      <c r="B562" s="2">
        <v>45496</v>
      </c>
      <c r="C562" s="1" t="s">
        <v>2020</v>
      </c>
      <c r="D562" s="1" t="s">
        <v>2034</v>
      </c>
      <c r="E562" s="1" t="s">
        <v>2048</v>
      </c>
      <c r="F562" s="1" t="s">
        <v>2050</v>
      </c>
      <c r="G562" s="1" t="s">
        <v>2064</v>
      </c>
      <c r="H562" s="1" t="s">
        <v>2087</v>
      </c>
      <c r="I562" s="1">
        <v>9</v>
      </c>
      <c r="J562" s="1">
        <v>6073.92</v>
      </c>
      <c r="K562" s="1">
        <v>27.39</v>
      </c>
      <c r="L562" s="1">
        <v>39692.46</v>
      </c>
      <c r="M562" s="1">
        <v>7661.86</v>
      </c>
      <c r="N562" s="1" t="s">
        <v>2088</v>
      </c>
    </row>
    <row r="563" spans="1:14">
      <c r="A563" s="1" t="s">
        <v>575</v>
      </c>
      <c r="B563" s="2">
        <v>45496</v>
      </c>
      <c r="C563" s="1" t="s">
        <v>2028</v>
      </c>
      <c r="D563" s="1" t="s">
        <v>2035</v>
      </c>
      <c r="E563" s="1" t="s">
        <v>2044</v>
      </c>
      <c r="F563" s="1" t="s">
        <v>2051</v>
      </c>
      <c r="G563" s="1" t="s">
        <v>2061</v>
      </c>
      <c r="H563" s="1" t="s">
        <v>2086</v>
      </c>
      <c r="I563" s="1">
        <v>9</v>
      </c>
      <c r="J563" s="1">
        <v>22650.22</v>
      </c>
      <c r="K563" s="1">
        <v>17.64</v>
      </c>
      <c r="L563" s="1">
        <v>167892.49</v>
      </c>
      <c r="M563" s="1">
        <v>26296.15</v>
      </c>
      <c r="N563" s="1" t="s">
        <v>2092</v>
      </c>
    </row>
    <row r="564" spans="1:14">
      <c r="A564" s="1" t="s">
        <v>576</v>
      </c>
      <c r="B564" s="2">
        <v>45497</v>
      </c>
      <c r="C564" s="1" t="s">
        <v>2017</v>
      </c>
      <c r="D564" s="1" t="s">
        <v>2036</v>
      </c>
      <c r="E564" s="1" t="s">
        <v>2046</v>
      </c>
      <c r="F564" s="1" t="s">
        <v>2051</v>
      </c>
      <c r="G564" s="1" t="s">
        <v>2077</v>
      </c>
      <c r="H564" s="1" t="s">
        <v>2086</v>
      </c>
      <c r="I564" s="1">
        <v>4</v>
      </c>
      <c r="J564" s="1">
        <v>23580.13</v>
      </c>
      <c r="K564" s="1">
        <v>0.44</v>
      </c>
      <c r="L564" s="1">
        <v>93905.51</v>
      </c>
      <c r="M564" s="1">
        <v>13155.59</v>
      </c>
      <c r="N564" s="1" t="s">
        <v>2091</v>
      </c>
    </row>
    <row r="565" spans="1:14">
      <c r="A565" s="1" t="s">
        <v>577</v>
      </c>
      <c r="B565" s="2">
        <v>45497</v>
      </c>
      <c r="C565" s="1" t="s">
        <v>2025</v>
      </c>
      <c r="D565" s="1" t="s">
        <v>2037</v>
      </c>
      <c r="E565" s="1" t="s">
        <v>2045</v>
      </c>
      <c r="F565" s="1" t="s">
        <v>2053</v>
      </c>
      <c r="G565" s="1" t="s">
        <v>2073</v>
      </c>
      <c r="H565" s="1" t="s">
        <v>2086</v>
      </c>
      <c r="I565" s="1">
        <v>10</v>
      </c>
      <c r="J565" s="1">
        <v>2338.61</v>
      </c>
      <c r="K565" s="1">
        <v>0.6</v>
      </c>
      <c r="L565" s="1">
        <v>23245.78</v>
      </c>
      <c r="M565" s="1">
        <v>2055.9899999999998</v>
      </c>
      <c r="N565" s="1" t="s">
        <v>2090</v>
      </c>
    </row>
    <row r="566" spans="1:14">
      <c r="A566" s="1" t="s">
        <v>578</v>
      </c>
      <c r="B566" s="2">
        <v>45497</v>
      </c>
      <c r="C566" s="1" t="s">
        <v>2019</v>
      </c>
      <c r="D566" s="1" t="s">
        <v>2038</v>
      </c>
      <c r="E566" s="1" t="s">
        <v>2048</v>
      </c>
      <c r="F566" s="1" t="s">
        <v>2049</v>
      </c>
      <c r="G566" s="1" t="s">
        <v>2082</v>
      </c>
      <c r="H566" s="1" t="s">
        <v>2086</v>
      </c>
      <c r="I566" s="1">
        <v>2</v>
      </c>
      <c r="J566" s="1">
        <v>2457.4299999999998</v>
      </c>
      <c r="K566" s="1">
        <v>0.56999999999999995</v>
      </c>
      <c r="L566" s="1">
        <v>4886.8500000000004</v>
      </c>
      <c r="M566" s="1">
        <v>1143.42</v>
      </c>
      <c r="N566" s="1" t="s">
        <v>2091</v>
      </c>
    </row>
    <row r="567" spans="1:14">
      <c r="A567" s="1" t="s">
        <v>579</v>
      </c>
      <c r="B567" s="2">
        <v>45498</v>
      </c>
      <c r="C567" s="1" t="s">
        <v>2019</v>
      </c>
      <c r="D567" s="1" t="s">
        <v>2039</v>
      </c>
      <c r="E567" s="1" t="s">
        <v>2046</v>
      </c>
      <c r="F567" s="1" t="s">
        <v>2052</v>
      </c>
      <c r="G567" s="1" t="s">
        <v>2065</v>
      </c>
      <c r="H567" s="1" t="s">
        <v>2085</v>
      </c>
      <c r="I567" s="1">
        <v>3</v>
      </c>
      <c r="J567" s="1">
        <v>9051.59</v>
      </c>
      <c r="K567" s="1">
        <v>0.74</v>
      </c>
      <c r="L567" s="1">
        <v>26953.82</v>
      </c>
      <c r="M567" s="1">
        <v>2759.1</v>
      </c>
      <c r="N567" s="1" t="s">
        <v>2092</v>
      </c>
    </row>
    <row r="568" spans="1:14">
      <c r="A568" s="1" t="s">
        <v>580</v>
      </c>
      <c r="B568" s="2">
        <v>45498</v>
      </c>
      <c r="C568" s="1" t="s">
        <v>2016</v>
      </c>
      <c r="D568" s="1" t="s">
        <v>2040</v>
      </c>
      <c r="E568" s="1" t="s">
        <v>2045</v>
      </c>
      <c r="F568" s="1" t="s">
        <v>2049</v>
      </c>
      <c r="G568" s="1" t="s">
        <v>2071</v>
      </c>
      <c r="H568" s="1" t="s">
        <v>2086</v>
      </c>
      <c r="I568" s="1">
        <v>4</v>
      </c>
      <c r="J568" s="1">
        <v>1561.03</v>
      </c>
      <c r="K568" s="1">
        <v>20.41</v>
      </c>
      <c r="L568" s="1">
        <v>4969.7</v>
      </c>
      <c r="M568" s="1">
        <v>1406.05</v>
      </c>
      <c r="N568" s="1" t="s">
        <v>2090</v>
      </c>
    </row>
    <row r="569" spans="1:14">
      <c r="A569" s="1" t="s">
        <v>581</v>
      </c>
      <c r="B569" s="2">
        <v>45499</v>
      </c>
      <c r="C569" s="1" t="s">
        <v>2025</v>
      </c>
      <c r="D569" s="1" t="s">
        <v>2041</v>
      </c>
      <c r="E569" s="1" t="s">
        <v>2046</v>
      </c>
      <c r="F569" s="1" t="s">
        <v>2052</v>
      </c>
      <c r="G569" s="1" t="s">
        <v>2059</v>
      </c>
      <c r="H569" s="1" t="s">
        <v>2086</v>
      </c>
      <c r="I569" s="1">
        <v>3</v>
      </c>
      <c r="J569" s="1">
        <v>8885.6200000000008</v>
      </c>
      <c r="K569" s="1">
        <v>4.54</v>
      </c>
      <c r="L569" s="1">
        <v>25446.639999999999</v>
      </c>
      <c r="M569" s="1">
        <v>2238.58</v>
      </c>
      <c r="N569" s="1" t="s">
        <v>2091</v>
      </c>
    </row>
    <row r="570" spans="1:14">
      <c r="A570" s="1" t="s">
        <v>582</v>
      </c>
      <c r="B570" s="2">
        <v>45499</v>
      </c>
      <c r="C570" s="1" t="s">
        <v>2018</v>
      </c>
      <c r="D570" s="1" t="s">
        <v>2042</v>
      </c>
      <c r="E570" s="1" t="s">
        <v>2044</v>
      </c>
      <c r="F570" s="1" t="s">
        <v>2053</v>
      </c>
      <c r="G570" s="1" t="s">
        <v>2062</v>
      </c>
      <c r="H570" s="1" t="s">
        <v>2087</v>
      </c>
      <c r="I570" s="1">
        <v>9</v>
      </c>
      <c r="J570" s="1">
        <v>1850.34</v>
      </c>
      <c r="K570" s="1">
        <v>17.25</v>
      </c>
      <c r="L570" s="1">
        <v>13780.41</v>
      </c>
      <c r="M570" s="1">
        <v>1401.53</v>
      </c>
      <c r="N570" s="1" t="s">
        <v>2089</v>
      </c>
    </row>
    <row r="571" spans="1:14">
      <c r="A571" s="1" t="s">
        <v>583</v>
      </c>
      <c r="B571" s="2">
        <v>45499</v>
      </c>
      <c r="C571" s="1" t="s">
        <v>2015</v>
      </c>
      <c r="D571" s="1" t="s">
        <v>2043</v>
      </c>
      <c r="E571" s="1" t="s">
        <v>2044</v>
      </c>
      <c r="F571" s="1" t="s">
        <v>2051</v>
      </c>
      <c r="G571" s="1" t="s">
        <v>2080</v>
      </c>
      <c r="H571" s="1" t="s">
        <v>2087</v>
      </c>
      <c r="I571" s="1">
        <v>6</v>
      </c>
      <c r="J571" s="1">
        <v>13217.39</v>
      </c>
      <c r="K571" s="1">
        <v>19.079999999999998</v>
      </c>
      <c r="L571" s="1">
        <v>64173.07</v>
      </c>
      <c r="M571" s="1">
        <v>9598.3700000000008</v>
      </c>
      <c r="N571" s="1" t="s">
        <v>2091</v>
      </c>
    </row>
    <row r="572" spans="1:14">
      <c r="A572" s="1" t="s">
        <v>584</v>
      </c>
      <c r="B572" s="2">
        <v>45500</v>
      </c>
      <c r="C572" s="1" t="s">
        <v>2025</v>
      </c>
      <c r="D572" s="1" t="s">
        <v>2029</v>
      </c>
      <c r="E572" s="1" t="s">
        <v>2044</v>
      </c>
      <c r="F572" s="1" t="s">
        <v>2049</v>
      </c>
      <c r="G572" s="1" t="s">
        <v>2071</v>
      </c>
      <c r="H572" s="1" t="s">
        <v>2085</v>
      </c>
      <c r="I572" s="1">
        <v>7</v>
      </c>
      <c r="J572" s="1">
        <v>2307.3200000000002</v>
      </c>
      <c r="K572" s="1">
        <v>4.29</v>
      </c>
      <c r="L572" s="1">
        <v>15458.35</v>
      </c>
      <c r="M572" s="1">
        <v>3314.72</v>
      </c>
      <c r="N572" s="1" t="s">
        <v>2091</v>
      </c>
    </row>
    <row r="573" spans="1:14">
      <c r="A573" s="1" t="s">
        <v>585</v>
      </c>
      <c r="B573" s="2">
        <v>45500</v>
      </c>
      <c r="C573" s="1" t="s">
        <v>2023</v>
      </c>
      <c r="D573" s="1" t="s">
        <v>2030</v>
      </c>
      <c r="E573" s="1" t="s">
        <v>2045</v>
      </c>
      <c r="F573" s="1" t="s">
        <v>2052</v>
      </c>
      <c r="G573" s="1" t="s">
        <v>2072</v>
      </c>
      <c r="H573" s="1" t="s">
        <v>2085</v>
      </c>
      <c r="I573" s="1">
        <v>8</v>
      </c>
      <c r="J573" s="1">
        <v>1007.58</v>
      </c>
      <c r="K573" s="1">
        <v>18</v>
      </c>
      <c r="L573" s="1">
        <v>6609.72</v>
      </c>
      <c r="M573" s="1">
        <v>1132.98</v>
      </c>
      <c r="N573" s="1" t="s">
        <v>2089</v>
      </c>
    </row>
    <row r="574" spans="1:14">
      <c r="A574" s="1" t="s">
        <v>586</v>
      </c>
      <c r="B574" s="2">
        <v>45500</v>
      </c>
      <c r="C574" s="1" t="s">
        <v>2019</v>
      </c>
      <c r="D574" s="1" t="s">
        <v>2031</v>
      </c>
      <c r="E574" s="1" t="s">
        <v>2048</v>
      </c>
      <c r="F574" s="1" t="s">
        <v>2051</v>
      </c>
      <c r="G574" s="1" t="s">
        <v>2061</v>
      </c>
      <c r="H574" s="1" t="s">
        <v>2086</v>
      </c>
      <c r="I574" s="1">
        <v>4</v>
      </c>
      <c r="J574" s="1">
        <v>6721.11</v>
      </c>
      <c r="K574" s="1">
        <v>20.71</v>
      </c>
      <c r="L574" s="1">
        <v>21316.67</v>
      </c>
      <c r="M574" s="1">
        <v>6102.03</v>
      </c>
      <c r="N574" s="1" t="s">
        <v>2091</v>
      </c>
    </row>
    <row r="575" spans="1:14">
      <c r="A575" s="1" t="s">
        <v>587</v>
      </c>
      <c r="B575" s="2">
        <v>45501</v>
      </c>
      <c r="C575" s="1" t="s">
        <v>2014</v>
      </c>
      <c r="D575" s="1" t="s">
        <v>2032</v>
      </c>
      <c r="E575" s="1" t="s">
        <v>2045</v>
      </c>
      <c r="F575" s="1" t="s">
        <v>2052</v>
      </c>
      <c r="G575" s="1" t="s">
        <v>2072</v>
      </c>
      <c r="H575" s="1" t="s">
        <v>2087</v>
      </c>
      <c r="I575" s="1">
        <v>10</v>
      </c>
      <c r="J575" s="1">
        <v>2587</v>
      </c>
      <c r="K575" s="1">
        <v>9.18</v>
      </c>
      <c r="L575" s="1">
        <v>23495.13</v>
      </c>
      <c r="M575" s="1">
        <v>1548.83</v>
      </c>
      <c r="N575" s="1" t="s">
        <v>2089</v>
      </c>
    </row>
    <row r="576" spans="1:14">
      <c r="A576" s="1" t="s">
        <v>588</v>
      </c>
      <c r="B576" s="2">
        <v>45501</v>
      </c>
      <c r="C576" s="1" t="s">
        <v>2025</v>
      </c>
      <c r="D576" s="1" t="s">
        <v>2033</v>
      </c>
      <c r="E576" s="1" t="s">
        <v>2044</v>
      </c>
      <c r="F576" s="1" t="s">
        <v>2051</v>
      </c>
      <c r="G576" s="1" t="s">
        <v>2057</v>
      </c>
      <c r="H576" s="1" t="s">
        <v>2086</v>
      </c>
      <c r="I576" s="1">
        <v>6</v>
      </c>
      <c r="J576" s="1">
        <v>26830.240000000002</v>
      </c>
      <c r="K576" s="1">
        <v>22.55</v>
      </c>
      <c r="L576" s="1">
        <v>124680.13</v>
      </c>
      <c r="M576" s="1">
        <v>31542.400000000001</v>
      </c>
      <c r="N576" s="1" t="s">
        <v>2091</v>
      </c>
    </row>
    <row r="577" spans="1:14">
      <c r="A577" s="1" t="s">
        <v>589</v>
      </c>
      <c r="B577" s="2">
        <v>45501</v>
      </c>
      <c r="C577" s="1" t="s">
        <v>2018</v>
      </c>
      <c r="D577" s="1" t="s">
        <v>2034</v>
      </c>
      <c r="E577" s="1" t="s">
        <v>2045</v>
      </c>
      <c r="F577" s="1" t="s">
        <v>2053</v>
      </c>
      <c r="G577" s="1" t="s">
        <v>2073</v>
      </c>
      <c r="H577" s="1" t="s">
        <v>2086</v>
      </c>
      <c r="I577" s="1">
        <v>8</v>
      </c>
      <c r="J577" s="1">
        <v>1726.54</v>
      </c>
      <c r="K577" s="1">
        <v>7.57</v>
      </c>
      <c r="L577" s="1">
        <v>12766.73</v>
      </c>
      <c r="M577" s="1">
        <v>3424.81</v>
      </c>
      <c r="N577" s="1" t="s">
        <v>2089</v>
      </c>
    </row>
    <row r="578" spans="1:14">
      <c r="A578" s="1" t="s">
        <v>590</v>
      </c>
      <c r="B578" s="2">
        <v>45502</v>
      </c>
      <c r="C578" s="1" t="s">
        <v>2027</v>
      </c>
      <c r="D578" s="1" t="s">
        <v>2035</v>
      </c>
      <c r="E578" s="1" t="s">
        <v>2045</v>
      </c>
      <c r="F578" s="1" t="s">
        <v>2054</v>
      </c>
      <c r="G578" s="1" t="s">
        <v>2068</v>
      </c>
      <c r="H578" s="1" t="s">
        <v>2085</v>
      </c>
      <c r="I578" s="1">
        <v>6</v>
      </c>
      <c r="J578" s="1">
        <v>7508.1</v>
      </c>
      <c r="K578" s="1">
        <v>5.84</v>
      </c>
      <c r="L578" s="1">
        <v>42417.760000000002</v>
      </c>
      <c r="M578" s="1">
        <v>10822.38</v>
      </c>
      <c r="N578" s="1" t="s">
        <v>2092</v>
      </c>
    </row>
    <row r="579" spans="1:14">
      <c r="A579" s="1" t="s">
        <v>591</v>
      </c>
      <c r="B579" s="2">
        <v>45502</v>
      </c>
      <c r="C579" s="1" t="s">
        <v>2020</v>
      </c>
      <c r="D579" s="1" t="s">
        <v>2036</v>
      </c>
      <c r="E579" s="1" t="s">
        <v>2046</v>
      </c>
      <c r="F579" s="1" t="s">
        <v>2049</v>
      </c>
      <c r="G579" s="1" t="s">
        <v>2055</v>
      </c>
      <c r="H579" s="1" t="s">
        <v>2086</v>
      </c>
      <c r="I579" s="1">
        <v>9</v>
      </c>
      <c r="J579" s="1">
        <v>958.23</v>
      </c>
      <c r="K579" s="1">
        <v>14.32</v>
      </c>
      <c r="L579" s="1">
        <v>7389.1</v>
      </c>
      <c r="M579" s="1">
        <v>1834.46</v>
      </c>
      <c r="N579" s="1" t="s">
        <v>2089</v>
      </c>
    </row>
    <row r="580" spans="1:14">
      <c r="A580" s="1" t="s">
        <v>592</v>
      </c>
      <c r="B580" s="2">
        <v>45503</v>
      </c>
      <c r="C580" s="1" t="s">
        <v>2018</v>
      </c>
      <c r="D580" s="1" t="s">
        <v>2037</v>
      </c>
      <c r="E580" s="1" t="s">
        <v>2047</v>
      </c>
      <c r="F580" s="1" t="s">
        <v>2049</v>
      </c>
      <c r="G580" s="1" t="s">
        <v>2055</v>
      </c>
      <c r="H580" s="1" t="s">
        <v>2086</v>
      </c>
      <c r="I580" s="1">
        <v>1</v>
      </c>
      <c r="J580" s="1">
        <v>947.51</v>
      </c>
      <c r="K580" s="1">
        <v>4.18</v>
      </c>
      <c r="L580" s="1">
        <v>907.9</v>
      </c>
      <c r="M580" s="1">
        <v>184.31</v>
      </c>
      <c r="N580" s="1" t="s">
        <v>2089</v>
      </c>
    </row>
    <row r="581" spans="1:14">
      <c r="A581" s="1" t="s">
        <v>593</v>
      </c>
      <c r="B581" s="2">
        <v>45503</v>
      </c>
      <c r="C581" s="1" t="s">
        <v>2028</v>
      </c>
      <c r="D581" s="1" t="s">
        <v>2038</v>
      </c>
      <c r="E581" s="1" t="s">
        <v>2047</v>
      </c>
      <c r="F581" s="1" t="s">
        <v>2051</v>
      </c>
      <c r="G581" s="1" t="s">
        <v>2069</v>
      </c>
      <c r="H581" s="1" t="s">
        <v>2085</v>
      </c>
      <c r="I581" s="1">
        <v>7</v>
      </c>
      <c r="J581" s="1">
        <v>11551.81</v>
      </c>
      <c r="K581" s="1">
        <v>7.46</v>
      </c>
      <c r="L581" s="1">
        <v>74830.31</v>
      </c>
      <c r="M581" s="1">
        <v>21365.14</v>
      </c>
      <c r="N581" s="1" t="s">
        <v>2088</v>
      </c>
    </row>
    <row r="582" spans="1:14">
      <c r="A582" s="1" t="s">
        <v>594</v>
      </c>
      <c r="B582" s="2">
        <v>45503</v>
      </c>
      <c r="C582" s="1" t="s">
        <v>2019</v>
      </c>
      <c r="D582" s="1" t="s">
        <v>2039</v>
      </c>
      <c r="E582" s="1" t="s">
        <v>2047</v>
      </c>
      <c r="F582" s="1" t="s">
        <v>2054</v>
      </c>
      <c r="G582" s="1" t="s">
        <v>2066</v>
      </c>
      <c r="H582" s="1" t="s">
        <v>2087</v>
      </c>
      <c r="I582" s="1">
        <v>1</v>
      </c>
      <c r="J582" s="1">
        <v>4964.88</v>
      </c>
      <c r="K582" s="1">
        <v>7.67</v>
      </c>
      <c r="L582" s="1">
        <v>4584.07</v>
      </c>
      <c r="M582" s="1">
        <v>833.8</v>
      </c>
      <c r="N582" s="1" t="s">
        <v>2090</v>
      </c>
    </row>
    <row r="583" spans="1:14">
      <c r="A583" s="1" t="s">
        <v>595</v>
      </c>
      <c r="B583" s="2">
        <v>45504</v>
      </c>
      <c r="C583" s="1" t="s">
        <v>2021</v>
      </c>
      <c r="D583" s="1" t="s">
        <v>2040</v>
      </c>
      <c r="E583" s="1" t="s">
        <v>2048</v>
      </c>
      <c r="F583" s="1" t="s">
        <v>2053</v>
      </c>
      <c r="G583" s="1" t="s">
        <v>2073</v>
      </c>
      <c r="H583" s="1" t="s">
        <v>2087</v>
      </c>
      <c r="I583" s="1">
        <v>6</v>
      </c>
      <c r="J583" s="1">
        <v>251.51</v>
      </c>
      <c r="K583" s="1">
        <v>11.9</v>
      </c>
      <c r="L583" s="1">
        <v>1329.48</v>
      </c>
      <c r="M583" s="1">
        <v>224.02</v>
      </c>
      <c r="N583" s="1" t="s">
        <v>2090</v>
      </c>
    </row>
    <row r="584" spans="1:14">
      <c r="A584" s="1" t="s">
        <v>596</v>
      </c>
      <c r="B584" s="2">
        <v>45504</v>
      </c>
      <c r="C584" s="1" t="s">
        <v>2023</v>
      </c>
      <c r="D584" s="1" t="s">
        <v>2041</v>
      </c>
      <c r="E584" s="1" t="s">
        <v>2044</v>
      </c>
      <c r="F584" s="1" t="s">
        <v>2049</v>
      </c>
      <c r="G584" s="1" t="s">
        <v>2055</v>
      </c>
      <c r="H584" s="1" t="s">
        <v>2085</v>
      </c>
      <c r="I584" s="1">
        <v>5</v>
      </c>
      <c r="J584" s="1">
        <v>2461.9899999999998</v>
      </c>
      <c r="K584" s="1">
        <v>26.85</v>
      </c>
      <c r="L584" s="1">
        <v>9004.73</v>
      </c>
      <c r="M584" s="1">
        <v>2371.04</v>
      </c>
      <c r="N584" s="1" t="s">
        <v>2092</v>
      </c>
    </row>
    <row r="585" spans="1:14">
      <c r="A585" s="1" t="s">
        <v>597</v>
      </c>
      <c r="B585" s="2">
        <v>45504</v>
      </c>
      <c r="C585" s="1" t="s">
        <v>2028</v>
      </c>
      <c r="D585" s="1" t="s">
        <v>2042</v>
      </c>
      <c r="E585" s="1" t="s">
        <v>2045</v>
      </c>
      <c r="F585" s="1" t="s">
        <v>2051</v>
      </c>
      <c r="G585" s="1" t="s">
        <v>2069</v>
      </c>
      <c r="H585" s="1" t="s">
        <v>2085</v>
      </c>
      <c r="I585" s="1">
        <v>5</v>
      </c>
      <c r="J585" s="1">
        <v>26771.14</v>
      </c>
      <c r="K585" s="1">
        <v>22.39</v>
      </c>
      <c r="L585" s="1">
        <v>103885.41</v>
      </c>
      <c r="M585" s="1">
        <v>13286.21</v>
      </c>
      <c r="N585" s="1" t="s">
        <v>2088</v>
      </c>
    </row>
    <row r="586" spans="1:14">
      <c r="A586" s="1" t="s">
        <v>598</v>
      </c>
      <c r="B586" s="2">
        <v>45505</v>
      </c>
      <c r="C586" s="1" t="s">
        <v>2028</v>
      </c>
      <c r="D586" s="1" t="s">
        <v>2043</v>
      </c>
      <c r="E586" s="1" t="s">
        <v>2044</v>
      </c>
      <c r="F586" s="1" t="s">
        <v>2050</v>
      </c>
      <c r="G586" s="1" t="s">
        <v>2084</v>
      </c>
      <c r="H586" s="1" t="s">
        <v>2087</v>
      </c>
      <c r="I586" s="1">
        <v>5</v>
      </c>
      <c r="J586" s="1">
        <v>1872.66</v>
      </c>
      <c r="K586" s="1">
        <v>12.56</v>
      </c>
      <c r="L586" s="1">
        <v>8187.27</v>
      </c>
      <c r="M586" s="1">
        <v>858.92</v>
      </c>
      <c r="N586" s="1" t="s">
        <v>2092</v>
      </c>
    </row>
    <row r="587" spans="1:14">
      <c r="A587" s="1" t="s">
        <v>599</v>
      </c>
      <c r="B587" s="2">
        <v>45505</v>
      </c>
      <c r="C587" s="1" t="s">
        <v>2022</v>
      </c>
      <c r="D587" s="1" t="s">
        <v>2029</v>
      </c>
      <c r="E587" s="1" t="s">
        <v>2046</v>
      </c>
      <c r="F587" s="1" t="s">
        <v>2053</v>
      </c>
      <c r="G587" s="1" t="s">
        <v>2060</v>
      </c>
      <c r="H587" s="1" t="s">
        <v>2085</v>
      </c>
      <c r="I587" s="1">
        <v>1</v>
      </c>
      <c r="J587" s="1">
        <v>1837.67</v>
      </c>
      <c r="K587" s="1">
        <v>27.86</v>
      </c>
      <c r="L587" s="1">
        <v>1325.7</v>
      </c>
      <c r="M587" s="1">
        <v>208.98</v>
      </c>
      <c r="N587" s="1" t="s">
        <v>2092</v>
      </c>
    </row>
    <row r="588" spans="1:14">
      <c r="A588" s="1" t="s">
        <v>600</v>
      </c>
      <c r="B588" s="2">
        <v>45505</v>
      </c>
      <c r="C588" s="1" t="s">
        <v>2018</v>
      </c>
      <c r="D588" s="1" t="s">
        <v>2030</v>
      </c>
      <c r="E588" s="1" t="s">
        <v>2047</v>
      </c>
      <c r="F588" s="1" t="s">
        <v>2050</v>
      </c>
      <c r="G588" s="1" t="s">
        <v>2064</v>
      </c>
      <c r="H588" s="1" t="s">
        <v>2086</v>
      </c>
      <c r="I588" s="1">
        <v>1</v>
      </c>
      <c r="J588" s="1">
        <v>5834.13</v>
      </c>
      <c r="K588" s="1">
        <v>3.32</v>
      </c>
      <c r="L588" s="1">
        <v>5640.44</v>
      </c>
      <c r="M588" s="1">
        <v>332.21</v>
      </c>
      <c r="N588" s="1" t="s">
        <v>2092</v>
      </c>
    </row>
    <row r="589" spans="1:14">
      <c r="A589" s="1" t="s">
        <v>601</v>
      </c>
      <c r="B589" s="2">
        <v>45506</v>
      </c>
      <c r="C589" s="1" t="s">
        <v>2016</v>
      </c>
      <c r="D589" s="1" t="s">
        <v>2031</v>
      </c>
      <c r="E589" s="1" t="s">
        <v>2045</v>
      </c>
      <c r="F589" s="1" t="s">
        <v>2051</v>
      </c>
      <c r="G589" s="1" t="s">
        <v>2077</v>
      </c>
      <c r="H589" s="1" t="s">
        <v>2087</v>
      </c>
      <c r="I589" s="1">
        <v>8</v>
      </c>
      <c r="J589" s="1">
        <v>32293.67</v>
      </c>
      <c r="K589" s="1">
        <v>10.24</v>
      </c>
      <c r="L589" s="1">
        <v>231894.39</v>
      </c>
      <c r="M589" s="1">
        <v>37345.629999999997</v>
      </c>
      <c r="N589" s="1" t="s">
        <v>2091</v>
      </c>
    </row>
    <row r="590" spans="1:14">
      <c r="A590" s="1" t="s">
        <v>602</v>
      </c>
      <c r="B590" s="2">
        <v>45506</v>
      </c>
      <c r="C590" s="1" t="s">
        <v>2026</v>
      </c>
      <c r="D590" s="1" t="s">
        <v>2032</v>
      </c>
      <c r="E590" s="1" t="s">
        <v>2047</v>
      </c>
      <c r="F590" s="1" t="s">
        <v>2051</v>
      </c>
      <c r="G590" s="1" t="s">
        <v>2080</v>
      </c>
      <c r="H590" s="1" t="s">
        <v>2086</v>
      </c>
      <c r="I590" s="1">
        <v>10</v>
      </c>
      <c r="J590" s="1">
        <v>21863.7</v>
      </c>
      <c r="K590" s="1">
        <v>1.1299999999999999</v>
      </c>
      <c r="L590" s="1">
        <v>216166.39999999999</v>
      </c>
      <c r="M590" s="1">
        <v>54477.599999999999</v>
      </c>
      <c r="N590" s="1" t="s">
        <v>2092</v>
      </c>
    </row>
    <row r="591" spans="1:14">
      <c r="A591" s="1" t="s">
        <v>603</v>
      </c>
      <c r="B591" s="2">
        <v>45507</v>
      </c>
      <c r="C591" s="1" t="s">
        <v>2024</v>
      </c>
      <c r="D591" s="1" t="s">
        <v>2033</v>
      </c>
      <c r="E591" s="1" t="s">
        <v>2048</v>
      </c>
      <c r="F591" s="1" t="s">
        <v>2054</v>
      </c>
      <c r="G591" s="1" t="s">
        <v>2079</v>
      </c>
      <c r="H591" s="1" t="s">
        <v>2086</v>
      </c>
      <c r="I591" s="1">
        <v>1</v>
      </c>
      <c r="J591" s="1">
        <v>68673.679999999993</v>
      </c>
      <c r="K591" s="1">
        <v>2.92</v>
      </c>
      <c r="L591" s="1">
        <v>66668.41</v>
      </c>
      <c r="M591" s="1">
        <v>15106.59</v>
      </c>
      <c r="N591" s="1" t="s">
        <v>2088</v>
      </c>
    </row>
    <row r="592" spans="1:14">
      <c r="A592" s="1" t="s">
        <v>604</v>
      </c>
      <c r="B592" s="2">
        <v>45507</v>
      </c>
      <c r="C592" s="1" t="s">
        <v>2018</v>
      </c>
      <c r="D592" s="1" t="s">
        <v>2034</v>
      </c>
      <c r="E592" s="1" t="s">
        <v>2048</v>
      </c>
      <c r="F592" s="1" t="s">
        <v>2051</v>
      </c>
      <c r="G592" s="1" t="s">
        <v>2080</v>
      </c>
      <c r="H592" s="1" t="s">
        <v>2087</v>
      </c>
      <c r="I592" s="1">
        <v>8</v>
      </c>
      <c r="J592" s="1">
        <v>32935.9</v>
      </c>
      <c r="K592" s="1">
        <v>10.119999999999999</v>
      </c>
      <c r="L592" s="1">
        <v>236822.3</v>
      </c>
      <c r="M592" s="1">
        <v>60835.13</v>
      </c>
      <c r="N592" s="1" t="s">
        <v>2091</v>
      </c>
    </row>
    <row r="593" spans="1:14">
      <c r="A593" s="1" t="s">
        <v>605</v>
      </c>
      <c r="B593" s="2">
        <v>45507</v>
      </c>
      <c r="C593" s="1" t="s">
        <v>2024</v>
      </c>
      <c r="D593" s="1" t="s">
        <v>2035</v>
      </c>
      <c r="E593" s="1" t="s">
        <v>2045</v>
      </c>
      <c r="F593" s="1" t="s">
        <v>2054</v>
      </c>
      <c r="G593" s="1" t="s">
        <v>2068</v>
      </c>
      <c r="H593" s="1" t="s">
        <v>2087</v>
      </c>
      <c r="I593" s="1">
        <v>6</v>
      </c>
      <c r="J593" s="1">
        <v>44666.19</v>
      </c>
      <c r="K593" s="1">
        <v>8.74</v>
      </c>
      <c r="L593" s="1">
        <v>244574.19</v>
      </c>
      <c r="M593" s="1">
        <v>37749.71</v>
      </c>
      <c r="N593" s="1" t="s">
        <v>2089</v>
      </c>
    </row>
    <row r="594" spans="1:14">
      <c r="A594" s="1" t="s">
        <v>606</v>
      </c>
      <c r="B594" s="2">
        <v>45508</v>
      </c>
      <c r="C594" s="1" t="s">
        <v>2026</v>
      </c>
      <c r="D594" s="1" t="s">
        <v>2036</v>
      </c>
      <c r="E594" s="1" t="s">
        <v>2047</v>
      </c>
      <c r="F594" s="1" t="s">
        <v>2049</v>
      </c>
      <c r="G594" s="1" t="s">
        <v>2055</v>
      </c>
      <c r="H594" s="1" t="s">
        <v>2085</v>
      </c>
      <c r="I594" s="1">
        <v>3</v>
      </c>
      <c r="J594" s="1">
        <v>1023.96</v>
      </c>
      <c r="K594" s="1">
        <v>3.2</v>
      </c>
      <c r="L594" s="1">
        <v>2973.58</v>
      </c>
      <c r="M594" s="1">
        <v>857.43</v>
      </c>
      <c r="N594" s="1" t="s">
        <v>2091</v>
      </c>
    </row>
    <row r="595" spans="1:14">
      <c r="A595" s="1" t="s">
        <v>607</v>
      </c>
      <c r="B595" s="2">
        <v>45508</v>
      </c>
      <c r="C595" s="1" t="s">
        <v>2026</v>
      </c>
      <c r="D595" s="1" t="s">
        <v>2037</v>
      </c>
      <c r="E595" s="1" t="s">
        <v>2045</v>
      </c>
      <c r="F595" s="1" t="s">
        <v>2052</v>
      </c>
      <c r="G595" s="1" t="s">
        <v>2072</v>
      </c>
      <c r="H595" s="1" t="s">
        <v>2085</v>
      </c>
      <c r="I595" s="1">
        <v>8</v>
      </c>
      <c r="J595" s="1">
        <v>2979.36</v>
      </c>
      <c r="K595" s="1">
        <v>9.7899999999999991</v>
      </c>
      <c r="L595" s="1">
        <v>21501.45</v>
      </c>
      <c r="M595" s="1">
        <v>1186.6500000000001</v>
      </c>
      <c r="N595" s="1" t="s">
        <v>2088</v>
      </c>
    </row>
    <row r="596" spans="1:14">
      <c r="A596" s="1" t="s">
        <v>608</v>
      </c>
      <c r="B596" s="2">
        <v>45508</v>
      </c>
      <c r="C596" s="1" t="s">
        <v>2021</v>
      </c>
      <c r="D596" s="1" t="s">
        <v>2038</v>
      </c>
      <c r="E596" s="1" t="s">
        <v>2046</v>
      </c>
      <c r="F596" s="1" t="s">
        <v>2053</v>
      </c>
      <c r="G596" s="1" t="s">
        <v>2076</v>
      </c>
      <c r="H596" s="1" t="s">
        <v>2086</v>
      </c>
      <c r="I596" s="1">
        <v>6</v>
      </c>
      <c r="J596" s="1">
        <v>286.86</v>
      </c>
      <c r="K596" s="1">
        <v>28.66</v>
      </c>
      <c r="L596" s="1">
        <v>1227.8800000000001</v>
      </c>
      <c r="M596" s="1">
        <v>137.19999999999999</v>
      </c>
      <c r="N596" s="1" t="s">
        <v>2090</v>
      </c>
    </row>
    <row r="597" spans="1:14">
      <c r="A597" s="1" t="s">
        <v>609</v>
      </c>
      <c r="B597" s="2">
        <v>45509</v>
      </c>
      <c r="C597" s="1" t="s">
        <v>2014</v>
      </c>
      <c r="D597" s="1" t="s">
        <v>2039</v>
      </c>
      <c r="E597" s="1" t="s">
        <v>2046</v>
      </c>
      <c r="F597" s="1" t="s">
        <v>2052</v>
      </c>
      <c r="G597" s="1" t="s">
        <v>2059</v>
      </c>
      <c r="H597" s="1" t="s">
        <v>2085</v>
      </c>
      <c r="I597" s="1">
        <v>1</v>
      </c>
      <c r="J597" s="1">
        <v>8396.93</v>
      </c>
      <c r="K597" s="1">
        <v>15.07</v>
      </c>
      <c r="L597" s="1">
        <v>7131.51</v>
      </c>
      <c r="M597" s="1">
        <v>382.22</v>
      </c>
      <c r="N597" s="1" t="s">
        <v>2088</v>
      </c>
    </row>
    <row r="598" spans="1:14">
      <c r="A598" s="1" t="s">
        <v>610</v>
      </c>
      <c r="B598" s="2">
        <v>45509</v>
      </c>
      <c r="C598" s="1" t="s">
        <v>2026</v>
      </c>
      <c r="D598" s="1" t="s">
        <v>2040</v>
      </c>
      <c r="E598" s="1" t="s">
        <v>2047</v>
      </c>
      <c r="F598" s="1" t="s">
        <v>2051</v>
      </c>
      <c r="G598" s="1" t="s">
        <v>2057</v>
      </c>
      <c r="H598" s="1" t="s">
        <v>2087</v>
      </c>
      <c r="I598" s="1">
        <v>4</v>
      </c>
      <c r="J598" s="1">
        <v>30426.94</v>
      </c>
      <c r="K598" s="1">
        <v>13.36</v>
      </c>
      <c r="L598" s="1">
        <v>105447.6</v>
      </c>
      <c r="M598" s="1">
        <v>20884.46</v>
      </c>
      <c r="N598" s="1" t="s">
        <v>2090</v>
      </c>
    </row>
    <row r="599" spans="1:14">
      <c r="A599" s="1" t="s">
        <v>611</v>
      </c>
      <c r="B599" s="2">
        <v>45510</v>
      </c>
      <c r="C599" s="1" t="s">
        <v>2017</v>
      </c>
      <c r="D599" s="1" t="s">
        <v>2041</v>
      </c>
      <c r="E599" s="1" t="s">
        <v>2045</v>
      </c>
      <c r="F599" s="1" t="s">
        <v>2054</v>
      </c>
      <c r="G599" s="1" t="s">
        <v>2066</v>
      </c>
      <c r="H599" s="1" t="s">
        <v>2087</v>
      </c>
      <c r="I599" s="1">
        <v>6</v>
      </c>
      <c r="J599" s="1">
        <v>52550.67</v>
      </c>
      <c r="K599" s="1">
        <v>12.34</v>
      </c>
      <c r="L599" s="1">
        <v>276395.5</v>
      </c>
      <c r="M599" s="1">
        <v>59657.38</v>
      </c>
      <c r="N599" s="1" t="s">
        <v>2089</v>
      </c>
    </row>
    <row r="600" spans="1:14">
      <c r="A600" s="1" t="s">
        <v>612</v>
      </c>
      <c r="B600" s="2">
        <v>45510</v>
      </c>
      <c r="C600" s="1" t="s">
        <v>2015</v>
      </c>
      <c r="D600" s="1" t="s">
        <v>2042</v>
      </c>
      <c r="E600" s="1" t="s">
        <v>2044</v>
      </c>
      <c r="F600" s="1" t="s">
        <v>2051</v>
      </c>
      <c r="G600" s="1" t="s">
        <v>2057</v>
      </c>
      <c r="H600" s="1" t="s">
        <v>2087</v>
      </c>
      <c r="I600" s="1">
        <v>1</v>
      </c>
      <c r="J600" s="1">
        <v>2552.65</v>
      </c>
      <c r="K600" s="1">
        <v>8.2200000000000006</v>
      </c>
      <c r="L600" s="1">
        <v>2342.8200000000002</v>
      </c>
      <c r="M600" s="1">
        <v>676.87</v>
      </c>
      <c r="N600" s="1" t="s">
        <v>2091</v>
      </c>
    </row>
    <row r="601" spans="1:14">
      <c r="A601" s="1" t="s">
        <v>613</v>
      </c>
      <c r="B601" s="2">
        <v>45510</v>
      </c>
      <c r="C601" s="1" t="s">
        <v>2016</v>
      </c>
      <c r="D601" s="1" t="s">
        <v>2043</v>
      </c>
      <c r="E601" s="1" t="s">
        <v>2047</v>
      </c>
      <c r="F601" s="1" t="s">
        <v>2049</v>
      </c>
      <c r="G601" s="1" t="s">
        <v>2055</v>
      </c>
      <c r="H601" s="1" t="s">
        <v>2085</v>
      </c>
      <c r="I601" s="1">
        <v>7</v>
      </c>
      <c r="J601" s="1">
        <v>1207.04</v>
      </c>
      <c r="K601" s="1">
        <v>28.43</v>
      </c>
      <c r="L601" s="1">
        <v>6047.15</v>
      </c>
      <c r="M601" s="1">
        <v>515.82000000000005</v>
      </c>
      <c r="N601" s="1" t="s">
        <v>2090</v>
      </c>
    </row>
    <row r="602" spans="1:14">
      <c r="A602" s="1" t="s">
        <v>614</v>
      </c>
      <c r="B602" s="2">
        <v>45511</v>
      </c>
      <c r="C602" s="1" t="s">
        <v>2016</v>
      </c>
      <c r="D602" s="1" t="s">
        <v>2029</v>
      </c>
      <c r="E602" s="1" t="s">
        <v>2044</v>
      </c>
      <c r="F602" s="1" t="s">
        <v>2051</v>
      </c>
      <c r="G602" s="1" t="s">
        <v>2080</v>
      </c>
      <c r="H602" s="1" t="s">
        <v>2087</v>
      </c>
      <c r="I602" s="1">
        <v>3</v>
      </c>
      <c r="J602" s="1">
        <v>8488.6299999999992</v>
      </c>
      <c r="K602" s="1">
        <v>4.38</v>
      </c>
      <c r="L602" s="1">
        <v>24350.48</v>
      </c>
      <c r="M602" s="1">
        <v>6928.1</v>
      </c>
      <c r="N602" s="1" t="s">
        <v>2092</v>
      </c>
    </row>
    <row r="603" spans="1:14">
      <c r="A603" s="1" t="s">
        <v>615</v>
      </c>
      <c r="B603" s="2">
        <v>45511</v>
      </c>
      <c r="C603" s="1" t="s">
        <v>2027</v>
      </c>
      <c r="D603" s="1" t="s">
        <v>2030</v>
      </c>
      <c r="E603" s="1" t="s">
        <v>2047</v>
      </c>
      <c r="F603" s="1" t="s">
        <v>2050</v>
      </c>
      <c r="G603" s="1" t="s">
        <v>2084</v>
      </c>
      <c r="H603" s="1" t="s">
        <v>2087</v>
      </c>
      <c r="I603" s="1">
        <v>1</v>
      </c>
      <c r="J603" s="1">
        <v>4626.3500000000004</v>
      </c>
      <c r="K603" s="1">
        <v>20.14</v>
      </c>
      <c r="L603" s="1">
        <v>3694.6</v>
      </c>
      <c r="M603" s="1">
        <v>1040.31</v>
      </c>
      <c r="N603" s="1" t="s">
        <v>2088</v>
      </c>
    </row>
    <row r="604" spans="1:14">
      <c r="A604" s="1" t="s">
        <v>616</v>
      </c>
      <c r="B604" s="2">
        <v>45511</v>
      </c>
      <c r="C604" s="1" t="s">
        <v>2020</v>
      </c>
      <c r="D604" s="1" t="s">
        <v>2031</v>
      </c>
      <c r="E604" s="1" t="s">
        <v>2046</v>
      </c>
      <c r="F604" s="1" t="s">
        <v>2053</v>
      </c>
      <c r="G604" s="1" t="s">
        <v>2067</v>
      </c>
      <c r="H604" s="1" t="s">
        <v>2085</v>
      </c>
      <c r="I604" s="1">
        <v>1</v>
      </c>
      <c r="J604" s="1">
        <v>1122.3900000000001</v>
      </c>
      <c r="K604" s="1">
        <v>29.03</v>
      </c>
      <c r="L604" s="1">
        <v>796.56</v>
      </c>
      <c r="M604" s="1">
        <v>170.82</v>
      </c>
      <c r="N604" s="1" t="s">
        <v>2089</v>
      </c>
    </row>
    <row r="605" spans="1:14">
      <c r="A605" s="1" t="s">
        <v>617</v>
      </c>
      <c r="B605" s="2">
        <v>45512</v>
      </c>
      <c r="C605" s="1" t="s">
        <v>2019</v>
      </c>
      <c r="D605" s="1" t="s">
        <v>2032</v>
      </c>
      <c r="E605" s="1" t="s">
        <v>2048</v>
      </c>
      <c r="F605" s="1" t="s">
        <v>2049</v>
      </c>
      <c r="G605" s="1" t="s">
        <v>2071</v>
      </c>
      <c r="H605" s="1" t="s">
        <v>2086</v>
      </c>
      <c r="I605" s="1">
        <v>2</v>
      </c>
      <c r="J605" s="1">
        <v>1443.92</v>
      </c>
      <c r="K605" s="1">
        <v>11.35</v>
      </c>
      <c r="L605" s="1">
        <v>2560.0700000000002</v>
      </c>
      <c r="M605" s="1">
        <v>459.08</v>
      </c>
      <c r="N605" s="1" t="s">
        <v>2088</v>
      </c>
    </row>
    <row r="606" spans="1:14">
      <c r="A606" s="1" t="s">
        <v>618</v>
      </c>
      <c r="B606" s="2">
        <v>45512</v>
      </c>
      <c r="C606" s="1" t="s">
        <v>2021</v>
      </c>
      <c r="D606" s="1" t="s">
        <v>2033</v>
      </c>
      <c r="E606" s="1" t="s">
        <v>2048</v>
      </c>
      <c r="F606" s="1" t="s">
        <v>2052</v>
      </c>
      <c r="G606" s="1" t="s">
        <v>2059</v>
      </c>
      <c r="H606" s="1" t="s">
        <v>2085</v>
      </c>
      <c r="I606" s="1">
        <v>1</v>
      </c>
      <c r="J606" s="1">
        <v>8565.81</v>
      </c>
      <c r="K606" s="1">
        <v>21.76</v>
      </c>
      <c r="L606" s="1">
        <v>6701.89</v>
      </c>
      <c r="M606" s="1">
        <v>938.92</v>
      </c>
      <c r="N606" s="1" t="s">
        <v>2091</v>
      </c>
    </row>
    <row r="607" spans="1:14">
      <c r="A607" s="1" t="s">
        <v>619</v>
      </c>
      <c r="B607" s="2">
        <v>45512</v>
      </c>
      <c r="C607" s="1" t="s">
        <v>2028</v>
      </c>
      <c r="D607" s="1" t="s">
        <v>2034</v>
      </c>
      <c r="E607" s="1" t="s">
        <v>2046</v>
      </c>
      <c r="F607" s="1" t="s">
        <v>2054</v>
      </c>
      <c r="G607" s="1" t="s">
        <v>2066</v>
      </c>
      <c r="H607" s="1" t="s">
        <v>2085</v>
      </c>
      <c r="I607" s="1">
        <v>9</v>
      </c>
      <c r="J607" s="1">
        <v>980.74</v>
      </c>
      <c r="K607" s="1">
        <v>14.52</v>
      </c>
      <c r="L607" s="1">
        <v>7545.03</v>
      </c>
      <c r="M607" s="1">
        <v>609.73</v>
      </c>
      <c r="N607" s="1" t="s">
        <v>2091</v>
      </c>
    </row>
    <row r="608" spans="1:14">
      <c r="A608" s="1" t="s">
        <v>620</v>
      </c>
      <c r="B608" s="2">
        <v>45513</v>
      </c>
      <c r="C608" s="1" t="s">
        <v>2019</v>
      </c>
      <c r="D608" s="1" t="s">
        <v>2035</v>
      </c>
      <c r="E608" s="1" t="s">
        <v>2047</v>
      </c>
      <c r="F608" s="1" t="s">
        <v>2053</v>
      </c>
      <c r="G608" s="1" t="s">
        <v>2062</v>
      </c>
      <c r="H608" s="1" t="s">
        <v>2085</v>
      </c>
      <c r="I608" s="1">
        <v>8</v>
      </c>
      <c r="J608" s="1">
        <v>1815.27</v>
      </c>
      <c r="K608" s="1">
        <v>7.21</v>
      </c>
      <c r="L608" s="1">
        <v>13475.11</v>
      </c>
      <c r="M608" s="1">
        <v>2168.7199999999998</v>
      </c>
      <c r="N608" s="1" t="s">
        <v>2091</v>
      </c>
    </row>
    <row r="609" spans="1:14">
      <c r="A609" s="1" t="s">
        <v>621</v>
      </c>
      <c r="B609" s="2">
        <v>45513</v>
      </c>
      <c r="C609" s="1" t="s">
        <v>2023</v>
      </c>
      <c r="D609" s="1" t="s">
        <v>2036</v>
      </c>
      <c r="E609" s="1" t="s">
        <v>2045</v>
      </c>
      <c r="F609" s="1" t="s">
        <v>2051</v>
      </c>
      <c r="G609" s="1" t="s">
        <v>2061</v>
      </c>
      <c r="H609" s="1" t="s">
        <v>2086</v>
      </c>
      <c r="I609" s="1">
        <v>4</v>
      </c>
      <c r="J609" s="1">
        <v>36743.08</v>
      </c>
      <c r="K609" s="1">
        <v>9.84</v>
      </c>
      <c r="L609" s="1">
        <v>132510.24</v>
      </c>
      <c r="M609" s="1">
        <v>18951.689999999999</v>
      </c>
      <c r="N609" s="1" t="s">
        <v>2088</v>
      </c>
    </row>
    <row r="610" spans="1:14">
      <c r="A610" s="1" t="s">
        <v>622</v>
      </c>
      <c r="B610" s="2">
        <v>45514</v>
      </c>
      <c r="C610" s="1" t="s">
        <v>2019</v>
      </c>
      <c r="D610" s="1" t="s">
        <v>2037</v>
      </c>
      <c r="E610" s="1" t="s">
        <v>2044</v>
      </c>
      <c r="F610" s="1" t="s">
        <v>2051</v>
      </c>
      <c r="G610" s="1" t="s">
        <v>2080</v>
      </c>
      <c r="H610" s="1" t="s">
        <v>2086</v>
      </c>
      <c r="I610" s="1">
        <v>4</v>
      </c>
      <c r="J610" s="1">
        <v>23741.99</v>
      </c>
      <c r="K610" s="1">
        <v>17.37</v>
      </c>
      <c r="L610" s="1">
        <v>78472.03</v>
      </c>
      <c r="M610" s="1">
        <v>4993.0200000000004</v>
      </c>
      <c r="N610" s="1" t="s">
        <v>2088</v>
      </c>
    </row>
    <row r="611" spans="1:14">
      <c r="A611" s="1" t="s">
        <v>623</v>
      </c>
      <c r="B611" s="2">
        <v>45514</v>
      </c>
      <c r="C611" s="1" t="s">
        <v>2015</v>
      </c>
      <c r="D611" s="1" t="s">
        <v>2038</v>
      </c>
      <c r="E611" s="1" t="s">
        <v>2048</v>
      </c>
      <c r="F611" s="1" t="s">
        <v>2053</v>
      </c>
      <c r="G611" s="1" t="s">
        <v>2060</v>
      </c>
      <c r="H611" s="1" t="s">
        <v>2087</v>
      </c>
      <c r="I611" s="1">
        <v>10</v>
      </c>
      <c r="J611" s="1">
        <v>2306.1</v>
      </c>
      <c r="K611" s="1">
        <v>12.71</v>
      </c>
      <c r="L611" s="1">
        <v>20129.95</v>
      </c>
      <c r="M611" s="1">
        <v>2728.28</v>
      </c>
      <c r="N611" s="1" t="s">
        <v>2090</v>
      </c>
    </row>
    <row r="612" spans="1:14">
      <c r="A612" s="1" t="s">
        <v>624</v>
      </c>
      <c r="B612" s="2">
        <v>45514</v>
      </c>
      <c r="C612" s="1" t="s">
        <v>2023</v>
      </c>
      <c r="D612" s="1" t="s">
        <v>2039</v>
      </c>
      <c r="E612" s="1" t="s">
        <v>2044</v>
      </c>
      <c r="F612" s="1" t="s">
        <v>2050</v>
      </c>
      <c r="G612" s="1" t="s">
        <v>2075</v>
      </c>
      <c r="H612" s="1" t="s">
        <v>2086</v>
      </c>
      <c r="I612" s="1">
        <v>1</v>
      </c>
      <c r="J612" s="1">
        <v>7303.52</v>
      </c>
      <c r="K612" s="1">
        <v>17.07</v>
      </c>
      <c r="L612" s="1">
        <v>6056.81</v>
      </c>
      <c r="M612" s="1">
        <v>1456.93</v>
      </c>
      <c r="N612" s="1" t="s">
        <v>2091</v>
      </c>
    </row>
    <row r="613" spans="1:14">
      <c r="A613" s="1" t="s">
        <v>625</v>
      </c>
      <c r="B613" s="2">
        <v>45515</v>
      </c>
      <c r="C613" s="1" t="s">
        <v>2024</v>
      </c>
      <c r="D613" s="1" t="s">
        <v>2040</v>
      </c>
      <c r="E613" s="1" t="s">
        <v>2046</v>
      </c>
      <c r="F613" s="1" t="s">
        <v>2051</v>
      </c>
      <c r="G613" s="1" t="s">
        <v>2080</v>
      </c>
      <c r="H613" s="1" t="s">
        <v>2085</v>
      </c>
      <c r="I613" s="1">
        <v>8</v>
      </c>
      <c r="J613" s="1">
        <v>31963.47</v>
      </c>
      <c r="K613" s="1">
        <v>28.23</v>
      </c>
      <c r="L613" s="1">
        <v>183521.46</v>
      </c>
      <c r="M613" s="1">
        <v>37769.19</v>
      </c>
      <c r="N613" s="1" t="s">
        <v>2091</v>
      </c>
    </row>
    <row r="614" spans="1:14">
      <c r="A614" s="1" t="s">
        <v>626</v>
      </c>
      <c r="B614" s="2">
        <v>45515</v>
      </c>
      <c r="C614" s="1" t="s">
        <v>2016</v>
      </c>
      <c r="D614" s="1" t="s">
        <v>2041</v>
      </c>
      <c r="E614" s="1" t="s">
        <v>2046</v>
      </c>
      <c r="F614" s="1" t="s">
        <v>2054</v>
      </c>
      <c r="G614" s="1" t="s">
        <v>2063</v>
      </c>
      <c r="H614" s="1" t="s">
        <v>2087</v>
      </c>
      <c r="I614" s="1">
        <v>10</v>
      </c>
      <c r="J614" s="1">
        <v>5469.3</v>
      </c>
      <c r="K614" s="1">
        <v>11.62</v>
      </c>
      <c r="L614" s="1">
        <v>48337.67</v>
      </c>
      <c r="M614" s="1">
        <v>9467.19</v>
      </c>
      <c r="N614" s="1" t="s">
        <v>2088</v>
      </c>
    </row>
    <row r="615" spans="1:14">
      <c r="A615" s="1" t="s">
        <v>627</v>
      </c>
      <c r="B615" s="2">
        <v>45515</v>
      </c>
      <c r="C615" s="1" t="s">
        <v>2019</v>
      </c>
      <c r="D615" s="1" t="s">
        <v>2042</v>
      </c>
      <c r="E615" s="1" t="s">
        <v>2046</v>
      </c>
      <c r="F615" s="1" t="s">
        <v>2054</v>
      </c>
      <c r="G615" s="1" t="s">
        <v>2068</v>
      </c>
      <c r="H615" s="1" t="s">
        <v>2086</v>
      </c>
      <c r="I615" s="1">
        <v>10</v>
      </c>
      <c r="J615" s="1">
        <v>16723.12</v>
      </c>
      <c r="K615" s="1">
        <v>8.76</v>
      </c>
      <c r="L615" s="1">
        <v>152581.75</v>
      </c>
      <c r="M615" s="1">
        <v>36185.089999999997</v>
      </c>
      <c r="N615" s="1" t="s">
        <v>2089</v>
      </c>
    </row>
    <row r="616" spans="1:14">
      <c r="A616" s="1" t="s">
        <v>628</v>
      </c>
      <c r="B616" s="2">
        <v>45516</v>
      </c>
      <c r="C616" s="1" t="s">
        <v>2015</v>
      </c>
      <c r="D616" s="1" t="s">
        <v>2043</v>
      </c>
      <c r="E616" s="1" t="s">
        <v>2047</v>
      </c>
      <c r="F616" s="1" t="s">
        <v>2049</v>
      </c>
      <c r="G616" s="1" t="s">
        <v>2058</v>
      </c>
      <c r="H616" s="1" t="s">
        <v>2085</v>
      </c>
      <c r="I616" s="1">
        <v>10</v>
      </c>
      <c r="J616" s="1">
        <v>2873.55</v>
      </c>
      <c r="K616" s="1">
        <v>12.81</v>
      </c>
      <c r="L616" s="1">
        <v>25054.48</v>
      </c>
      <c r="M616" s="1">
        <v>4228.57</v>
      </c>
      <c r="N616" s="1" t="s">
        <v>2090</v>
      </c>
    </row>
    <row r="617" spans="1:14">
      <c r="A617" s="1" t="s">
        <v>629</v>
      </c>
      <c r="B617" s="2">
        <v>45516</v>
      </c>
      <c r="C617" s="1" t="s">
        <v>2027</v>
      </c>
      <c r="D617" s="1" t="s">
        <v>2029</v>
      </c>
      <c r="E617" s="1" t="s">
        <v>2048</v>
      </c>
      <c r="F617" s="1" t="s">
        <v>2052</v>
      </c>
      <c r="G617" s="1" t="s">
        <v>2059</v>
      </c>
      <c r="H617" s="1" t="s">
        <v>2086</v>
      </c>
      <c r="I617" s="1">
        <v>10</v>
      </c>
      <c r="J617" s="1">
        <v>5207.51</v>
      </c>
      <c r="K617" s="1">
        <v>12.86</v>
      </c>
      <c r="L617" s="1">
        <v>45378.239999999998</v>
      </c>
      <c r="M617" s="1">
        <v>2879.04</v>
      </c>
      <c r="N617" s="1" t="s">
        <v>2090</v>
      </c>
    </row>
    <row r="618" spans="1:14">
      <c r="A618" s="1" t="s">
        <v>630</v>
      </c>
      <c r="B618" s="2">
        <v>45516</v>
      </c>
      <c r="C618" s="1" t="s">
        <v>2015</v>
      </c>
      <c r="D618" s="1" t="s">
        <v>2030</v>
      </c>
      <c r="E618" s="1" t="s">
        <v>2047</v>
      </c>
      <c r="F618" s="1" t="s">
        <v>2054</v>
      </c>
      <c r="G618" s="1" t="s">
        <v>2079</v>
      </c>
      <c r="H618" s="1" t="s">
        <v>2087</v>
      </c>
      <c r="I618" s="1">
        <v>2</v>
      </c>
      <c r="J618" s="1">
        <v>12674.99</v>
      </c>
      <c r="K618" s="1">
        <v>21.84</v>
      </c>
      <c r="L618" s="1">
        <v>19813.54</v>
      </c>
      <c r="M618" s="1">
        <v>3963.95</v>
      </c>
      <c r="N618" s="1" t="s">
        <v>2089</v>
      </c>
    </row>
    <row r="619" spans="1:14">
      <c r="A619" s="1" t="s">
        <v>631</v>
      </c>
      <c r="B619" s="2">
        <v>45517</v>
      </c>
      <c r="C619" s="1" t="s">
        <v>2025</v>
      </c>
      <c r="D619" s="1" t="s">
        <v>2031</v>
      </c>
      <c r="E619" s="1" t="s">
        <v>2044</v>
      </c>
      <c r="F619" s="1" t="s">
        <v>2051</v>
      </c>
      <c r="G619" s="1" t="s">
        <v>2069</v>
      </c>
      <c r="H619" s="1" t="s">
        <v>2087</v>
      </c>
      <c r="I619" s="1">
        <v>6</v>
      </c>
      <c r="J619" s="1">
        <v>20392.900000000001</v>
      </c>
      <c r="K619" s="1">
        <v>5.35</v>
      </c>
      <c r="L619" s="1">
        <v>115811.28</v>
      </c>
      <c r="M619" s="1">
        <v>8921.9599999999991</v>
      </c>
      <c r="N619" s="1" t="s">
        <v>2090</v>
      </c>
    </row>
    <row r="620" spans="1:14">
      <c r="A620" s="1" t="s">
        <v>632</v>
      </c>
      <c r="B620" s="2">
        <v>45517</v>
      </c>
      <c r="C620" s="1" t="s">
        <v>2016</v>
      </c>
      <c r="D620" s="1" t="s">
        <v>2032</v>
      </c>
      <c r="E620" s="1" t="s">
        <v>2044</v>
      </c>
      <c r="F620" s="1" t="s">
        <v>2050</v>
      </c>
      <c r="G620" s="1" t="s">
        <v>2064</v>
      </c>
      <c r="H620" s="1" t="s">
        <v>2085</v>
      </c>
      <c r="I620" s="1">
        <v>6</v>
      </c>
      <c r="J620" s="1">
        <v>1893.85</v>
      </c>
      <c r="K620" s="1">
        <v>25.54</v>
      </c>
      <c r="L620" s="1">
        <v>8460.9599999999991</v>
      </c>
      <c r="M620" s="1">
        <v>601.29</v>
      </c>
      <c r="N620" s="1" t="s">
        <v>2089</v>
      </c>
    </row>
    <row r="621" spans="1:14">
      <c r="A621" s="1" t="s">
        <v>633</v>
      </c>
      <c r="B621" s="2">
        <v>45518</v>
      </c>
      <c r="C621" s="1" t="s">
        <v>2019</v>
      </c>
      <c r="D621" s="1" t="s">
        <v>2033</v>
      </c>
      <c r="E621" s="1" t="s">
        <v>2048</v>
      </c>
      <c r="F621" s="1" t="s">
        <v>2050</v>
      </c>
      <c r="G621" s="1" t="s">
        <v>2075</v>
      </c>
      <c r="H621" s="1" t="s">
        <v>2087</v>
      </c>
      <c r="I621" s="1">
        <v>5</v>
      </c>
      <c r="J621" s="1">
        <v>5740.85</v>
      </c>
      <c r="K621" s="1">
        <v>16.059999999999999</v>
      </c>
      <c r="L621" s="1">
        <v>24094.35</v>
      </c>
      <c r="M621" s="1">
        <v>5031.6400000000003</v>
      </c>
      <c r="N621" s="1" t="s">
        <v>2090</v>
      </c>
    </row>
    <row r="622" spans="1:14">
      <c r="A622" s="1" t="s">
        <v>634</v>
      </c>
      <c r="B622" s="2">
        <v>45518</v>
      </c>
      <c r="C622" s="1" t="s">
        <v>2024</v>
      </c>
      <c r="D622" s="1" t="s">
        <v>2034</v>
      </c>
      <c r="E622" s="1" t="s">
        <v>2047</v>
      </c>
      <c r="F622" s="1" t="s">
        <v>2053</v>
      </c>
      <c r="G622" s="1" t="s">
        <v>2073</v>
      </c>
      <c r="H622" s="1" t="s">
        <v>2087</v>
      </c>
      <c r="I622" s="1">
        <v>6</v>
      </c>
      <c r="J622" s="1">
        <v>2159.04</v>
      </c>
      <c r="K622" s="1">
        <v>20.010000000000002</v>
      </c>
      <c r="L622" s="1">
        <v>10362.1</v>
      </c>
      <c r="M622" s="1">
        <v>1646.01</v>
      </c>
      <c r="N622" s="1" t="s">
        <v>2088</v>
      </c>
    </row>
    <row r="623" spans="1:14">
      <c r="A623" s="1" t="s">
        <v>635</v>
      </c>
      <c r="B623" s="2">
        <v>45518</v>
      </c>
      <c r="C623" s="1" t="s">
        <v>2017</v>
      </c>
      <c r="D623" s="1" t="s">
        <v>2035</v>
      </c>
      <c r="E623" s="1" t="s">
        <v>2044</v>
      </c>
      <c r="F623" s="1" t="s">
        <v>2052</v>
      </c>
      <c r="G623" s="1" t="s">
        <v>2059</v>
      </c>
      <c r="H623" s="1" t="s">
        <v>2085</v>
      </c>
      <c r="I623" s="1">
        <v>9</v>
      </c>
      <c r="J623" s="1">
        <v>8252.09</v>
      </c>
      <c r="K623" s="1">
        <v>3.04</v>
      </c>
      <c r="L623" s="1">
        <v>72011.039999999994</v>
      </c>
      <c r="M623" s="1">
        <v>17856.78</v>
      </c>
      <c r="N623" s="1" t="s">
        <v>2088</v>
      </c>
    </row>
    <row r="624" spans="1:14">
      <c r="A624" s="1" t="s">
        <v>636</v>
      </c>
      <c r="B624" s="2">
        <v>45519</v>
      </c>
      <c r="C624" s="1" t="s">
        <v>2021</v>
      </c>
      <c r="D624" s="1" t="s">
        <v>2036</v>
      </c>
      <c r="E624" s="1" t="s">
        <v>2044</v>
      </c>
      <c r="F624" s="1" t="s">
        <v>2049</v>
      </c>
      <c r="G624" s="1" t="s">
        <v>2082</v>
      </c>
      <c r="H624" s="1" t="s">
        <v>2087</v>
      </c>
      <c r="I624" s="1">
        <v>2</v>
      </c>
      <c r="J624" s="1">
        <v>1170.23</v>
      </c>
      <c r="K624" s="1">
        <v>18.52</v>
      </c>
      <c r="L624" s="1">
        <v>1907.01</v>
      </c>
      <c r="M624" s="1">
        <v>557.71</v>
      </c>
      <c r="N624" s="1" t="s">
        <v>2088</v>
      </c>
    </row>
    <row r="625" spans="1:14">
      <c r="A625" s="1" t="s">
        <v>637</v>
      </c>
      <c r="B625" s="2">
        <v>45519</v>
      </c>
      <c r="C625" s="1" t="s">
        <v>2028</v>
      </c>
      <c r="D625" s="1" t="s">
        <v>2037</v>
      </c>
      <c r="E625" s="1" t="s">
        <v>2046</v>
      </c>
      <c r="F625" s="1" t="s">
        <v>2054</v>
      </c>
      <c r="G625" s="1" t="s">
        <v>2081</v>
      </c>
      <c r="H625" s="1" t="s">
        <v>2085</v>
      </c>
      <c r="I625" s="1">
        <v>2</v>
      </c>
      <c r="J625" s="1">
        <v>15110.88</v>
      </c>
      <c r="K625" s="1">
        <v>9.85</v>
      </c>
      <c r="L625" s="1">
        <v>27244.92</v>
      </c>
      <c r="M625" s="1">
        <v>4680.76</v>
      </c>
      <c r="N625" s="1" t="s">
        <v>2092</v>
      </c>
    </row>
    <row r="626" spans="1:14">
      <c r="A626" s="1" t="s">
        <v>638</v>
      </c>
      <c r="B626" s="2">
        <v>45519</v>
      </c>
      <c r="C626" s="1" t="s">
        <v>2025</v>
      </c>
      <c r="D626" s="1" t="s">
        <v>2038</v>
      </c>
      <c r="E626" s="1" t="s">
        <v>2045</v>
      </c>
      <c r="F626" s="1" t="s">
        <v>2051</v>
      </c>
      <c r="G626" s="1" t="s">
        <v>2080</v>
      </c>
      <c r="H626" s="1" t="s">
        <v>2087</v>
      </c>
      <c r="I626" s="1">
        <v>5</v>
      </c>
      <c r="J626" s="1">
        <v>29392.48</v>
      </c>
      <c r="K626" s="1">
        <v>24.39</v>
      </c>
      <c r="L626" s="1">
        <v>111118.27</v>
      </c>
      <c r="M626" s="1">
        <v>12708.57</v>
      </c>
      <c r="N626" s="1" t="s">
        <v>2088</v>
      </c>
    </row>
    <row r="627" spans="1:14">
      <c r="A627" s="1" t="s">
        <v>639</v>
      </c>
      <c r="B627" s="2">
        <v>45520</v>
      </c>
      <c r="C627" s="1" t="s">
        <v>2025</v>
      </c>
      <c r="D627" s="1" t="s">
        <v>2039</v>
      </c>
      <c r="E627" s="1" t="s">
        <v>2048</v>
      </c>
      <c r="F627" s="1" t="s">
        <v>2053</v>
      </c>
      <c r="G627" s="1" t="s">
        <v>2062</v>
      </c>
      <c r="H627" s="1" t="s">
        <v>2085</v>
      </c>
      <c r="I627" s="1">
        <v>5</v>
      </c>
      <c r="J627" s="1">
        <v>2032.28</v>
      </c>
      <c r="K627" s="1">
        <v>4.1100000000000003</v>
      </c>
      <c r="L627" s="1">
        <v>9743.77</v>
      </c>
      <c r="M627" s="1">
        <v>657.02</v>
      </c>
      <c r="N627" s="1" t="s">
        <v>2092</v>
      </c>
    </row>
    <row r="628" spans="1:14">
      <c r="A628" s="1" t="s">
        <v>640</v>
      </c>
      <c r="B628" s="2">
        <v>45520</v>
      </c>
      <c r="C628" s="1" t="s">
        <v>2023</v>
      </c>
      <c r="D628" s="1" t="s">
        <v>2040</v>
      </c>
      <c r="E628" s="1" t="s">
        <v>2044</v>
      </c>
      <c r="F628" s="1" t="s">
        <v>2052</v>
      </c>
      <c r="G628" s="1" t="s">
        <v>2065</v>
      </c>
      <c r="H628" s="1" t="s">
        <v>2087</v>
      </c>
      <c r="I628" s="1">
        <v>6</v>
      </c>
      <c r="J628" s="1">
        <v>3495.97</v>
      </c>
      <c r="K628" s="1">
        <v>27.62</v>
      </c>
      <c r="L628" s="1">
        <v>15182.3</v>
      </c>
      <c r="M628" s="1">
        <v>804.67</v>
      </c>
      <c r="N628" s="1" t="s">
        <v>2089</v>
      </c>
    </row>
    <row r="629" spans="1:14">
      <c r="A629" s="1" t="s">
        <v>641</v>
      </c>
      <c r="B629" s="2">
        <v>45520</v>
      </c>
      <c r="C629" s="1" t="s">
        <v>2023</v>
      </c>
      <c r="D629" s="1" t="s">
        <v>2041</v>
      </c>
      <c r="E629" s="1" t="s">
        <v>2044</v>
      </c>
      <c r="F629" s="1" t="s">
        <v>2051</v>
      </c>
      <c r="G629" s="1" t="s">
        <v>2057</v>
      </c>
      <c r="H629" s="1" t="s">
        <v>2087</v>
      </c>
      <c r="I629" s="1">
        <v>8</v>
      </c>
      <c r="J629" s="1">
        <v>8004.39</v>
      </c>
      <c r="K629" s="1">
        <v>8.44</v>
      </c>
      <c r="L629" s="1">
        <v>58630.559999999998</v>
      </c>
      <c r="M629" s="1">
        <v>9638.5</v>
      </c>
      <c r="N629" s="1" t="s">
        <v>2088</v>
      </c>
    </row>
    <row r="630" spans="1:14">
      <c r="A630" s="1" t="s">
        <v>642</v>
      </c>
      <c r="B630" s="2">
        <v>45521</v>
      </c>
      <c r="C630" s="1" t="s">
        <v>2027</v>
      </c>
      <c r="D630" s="1" t="s">
        <v>2042</v>
      </c>
      <c r="E630" s="1" t="s">
        <v>2047</v>
      </c>
      <c r="F630" s="1" t="s">
        <v>2054</v>
      </c>
      <c r="G630" s="1" t="s">
        <v>2079</v>
      </c>
      <c r="H630" s="1" t="s">
        <v>2085</v>
      </c>
      <c r="I630" s="1">
        <v>10</v>
      </c>
      <c r="J630" s="1">
        <v>15999.18</v>
      </c>
      <c r="K630" s="1">
        <v>15.15</v>
      </c>
      <c r="L630" s="1">
        <v>135753.04</v>
      </c>
      <c r="M630" s="1">
        <v>32877.589999999997</v>
      </c>
      <c r="N630" s="1" t="s">
        <v>2089</v>
      </c>
    </row>
    <row r="631" spans="1:14">
      <c r="A631" s="1" t="s">
        <v>643</v>
      </c>
      <c r="B631" s="2">
        <v>45521</v>
      </c>
      <c r="C631" s="1" t="s">
        <v>2016</v>
      </c>
      <c r="D631" s="1" t="s">
        <v>2043</v>
      </c>
      <c r="E631" s="1" t="s">
        <v>2048</v>
      </c>
      <c r="F631" s="1" t="s">
        <v>2051</v>
      </c>
      <c r="G631" s="1" t="s">
        <v>2077</v>
      </c>
      <c r="H631" s="1" t="s">
        <v>2085</v>
      </c>
      <c r="I631" s="1">
        <v>4</v>
      </c>
      <c r="J631" s="1">
        <v>17573.189999999999</v>
      </c>
      <c r="K631" s="1">
        <v>11.49</v>
      </c>
      <c r="L631" s="1">
        <v>62216.12</v>
      </c>
      <c r="M631" s="1">
        <v>14295.33</v>
      </c>
      <c r="N631" s="1" t="s">
        <v>2092</v>
      </c>
    </row>
    <row r="632" spans="1:14">
      <c r="A632" s="1" t="s">
        <v>644</v>
      </c>
      <c r="B632" s="2">
        <v>45522</v>
      </c>
      <c r="C632" s="1" t="s">
        <v>2018</v>
      </c>
      <c r="D632" s="1" t="s">
        <v>2029</v>
      </c>
      <c r="E632" s="1" t="s">
        <v>2047</v>
      </c>
      <c r="F632" s="1" t="s">
        <v>2051</v>
      </c>
      <c r="G632" s="1" t="s">
        <v>2077</v>
      </c>
      <c r="H632" s="1" t="s">
        <v>2087</v>
      </c>
      <c r="I632" s="1">
        <v>5</v>
      </c>
      <c r="J632" s="1">
        <v>2556.98</v>
      </c>
      <c r="K632" s="1">
        <v>13.47</v>
      </c>
      <c r="L632" s="1">
        <v>11062.77</v>
      </c>
      <c r="M632" s="1">
        <v>2150.64</v>
      </c>
      <c r="N632" s="1" t="s">
        <v>2090</v>
      </c>
    </row>
    <row r="633" spans="1:14">
      <c r="A633" s="1" t="s">
        <v>645</v>
      </c>
      <c r="B633" s="2">
        <v>45522</v>
      </c>
      <c r="C633" s="1" t="s">
        <v>2027</v>
      </c>
      <c r="D633" s="1" t="s">
        <v>2030</v>
      </c>
      <c r="E633" s="1" t="s">
        <v>2047</v>
      </c>
      <c r="F633" s="1" t="s">
        <v>2052</v>
      </c>
      <c r="G633" s="1" t="s">
        <v>2078</v>
      </c>
      <c r="H633" s="1" t="s">
        <v>2085</v>
      </c>
      <c r="I633" s="1">
        <v>5</v>
      </c>
      <c r="J633" s="1">
        <v>1175.05</v>
      </c>
      <c r="K633" s="1">
        <v>23</v>
      </c>
      <c r="L633" s="1">
        <v>4523.9399999999996</v>
      </c>
      <c r="M633" s="1">
        <v>1319.04</v>
      </c>
      <c r="N633" s="1" t="s">
        <v>2090</v>
      </c>
    </row>
    <row r="634" spans="1:14">
      <c r="A634" s="1" t="s">
        <v>646</v>
      </c>
      <c r="B634" s="2">
        <v>45522</v>
      </c>
      <c r="C634" s="1" t="s">
        <v>2016</v>
      </c>
      <c r="D634" s="1" t="s">
        <v>2031</v>
      </c>
      <c r="E634" s="1" t="s">
        <v>2044</v>
      </c>
      <c r="F634" s="1" t="s">
        <v>2054</v>
      </c>
      <c r="G634" s="1" t="s">
        <v>2079</v>
      </c>
      <c r="H634" s="1" t="s">
        <v>2087</v>
      </c>
      <c r="I634" s="1">
        <v>10</v>
      </c>
      <c r="J634" s="1">
        <v>50646.25</v>
      </c>
      <c r="K634" s="1">
        <v>13.67</v>
      </c>
      <c r="L634" s="1">
        <v>437229.08</v>
      </c>
      <c r="M634" s="1">
        <v>74549.45</v>
      </c>
      <c r="N634" s="1" t="s">
        <v>2091</v>
      </c>
    </row>
    <row r="635" spans="1:14">
      <c r="A635" s="1" t="s">
        <v>647</v>
      </c>
      <c r="B635" s="2">
        <v>45523</v>
      </c>
      <c r="C635" s="1" t="s">
        <v>2027</v>
      </c>
      <c r="D635" s="1" t="s">
        <v>2032</v>
      </c>
      <c r="E635" s="1" t="s">
        <v>2045</v>
      </c>
      <c r="F635" s="1" t="s">
        <v>2049</v>
      </c>
      <c r="G635" s="1" t="s">
        <v>2082</v>
      </c>
      <c r="H635" s="1" t="s">
        <v>2086</v>
      </c>
      <c r="I635" s="1">
        <v>5</v>
      </c>
      <c r="J635" s="1">
        <v>384.23</v>
      </c>
      <c r="K635" s="1">
        <v>5.16</v>
      </c>
      <c r="L635" s="1">
        <v>1822.02</v>
      </c>
      <c r="M635" s="1">
        <v>340.41</v>
      </c>
      <c r="N635" s="1" t="s">
        <v>2090</v>
      </c>
    </row>
    <row r="636" spans="1:14">
      <c r="A636" s="1" t="s">
        <v>648</v>
      </c>
      <c r="B636" s="2">
        <v>45523</v>
      </c>
      <c r="C636" s="1" t="s">
        <v>2014</v>
      </c>
      <c r="D636" s="1" t="s">
        <v>2033</v>
      </c>
      <c r="E636" s="1" t="s">
        <v>2046</v>
      </c>
      <c r="F636" s="1" t="s">
        <v>2050</v>
      </c>
      <c r="G636" s="1" t="s">
        <v>2075</v>
      </c>
      <c r="H636" s="1" t="s">
        <v>2087</v>
      </c>
      <c r="I636" s="1">
        <v>8</v>
      </c>
      <c r="J636" s="1">
        <v>4605.9799999999996</v>
      </c>
      <c r="K636" s="1">
        <v>15.44</v>
      </c>
      <c r="L636" s="1">
        <v>31158.53</v>
      </c>
      <c r="M636" s="1">
        <v>2333.62</v>
      </c>
      <c r="N636" s="1" t="s">
        <v>2090</v>
      </c>
    </row>
    <row r="637" spans="1:14">
      <c r="A637" s="1" t="s">
        <v>649</v>
      </c>
      <c r="B637" s="2">
        <v>45523</v>
      </c>
      <c r="C637" s="1" t="s">
        <v>2015</v>
      </c>
      <c r="D637" s="1" t="s">
        <v>2034</v>
      </c>
      <c r="E637" s="1" t="s">
        <v>2046</v>
      </c>
      <c r="F637" s="1" t="s">
        <v>2053</v>
      </c>
      <c r="G637" s="1" t="s">
        <v>2067</v>
      </c>
      <c r="H637" s="1" t="s">
        <v>2085</v>
      </c>
      <c r="I637" s="1">
        <v>2</v>
      </c>
      <c r="J637" s="1">
        <v>125.32</v>
      </c>
      <c r="K637" s="1">
        <v>11.82</v>
      </c>
      <c r="L637" s="1">
        <v>221.01</v>
      </c>
      <c r="M637" s="1">
        <v>58.07</v>
      </c>
      <c r="N637" s="1" t="s">
        <v>2090</v>
      </c>
    </row>
    <row r="638" spans="1:14">
      <c r="A638" s="1" t="s">
        <v>650</v>
      </c>
      <c r="B638" s="2">
        <v>45524</v>
      </c>
      <c r="C638" s="1" t="s">
        <v>2017</v>
      </c>
      <c r="D638" s="1" t="s">
        <v>2035</v>
      </c>
      <c r="E638" s="1" t="s">
        <v>2047</v>
      </c>
      <c r="F638" s="1" t="s">
        <v>2053</v>
      </c>
      <c r="G638" s="1" t="s">
        <v>2076</v>
      </c>
      <c r="H638" s="1" t="s">
        <v>2086</v>
      </c>
      <c r="I638" s="1">
        <v>10</v>
      </c>
      <c r="J638" s="1">
        <v>1826.16</v>
      </c>
      <c r="K638" s="1">
        <v>8.15</v>
      </c>
      <c r="L638" s="1">
        <v>16773.28</v>
      </c>
      <c r="M638" s="1">
        <v>2164.66</v>
      </c>
      <c r="N638" s="1" t="s">
        <v>2088</v>
      </c>
    </row>
    <row r="639" spans="1:14">
      <c r="A639" s="1" t="s">
        <v>651</v>
      </c>
      <c r="B639" s="2">
        <v>45524</v>
      </c>
      <c r="C639" s="1" t="s">
        <v>2019</v>
      </c>
      <c r="D639" s="1" t="s">
        <v>2036</v>
      </c>
      <c r="E639" s="1" t="s">
        <v>2045</v>
      </c>
      <c r="F639" s="1" t="s">
        <v>2050</v>
      </c>
      <c r="G639" s="1" t="s">
        <v>2070</v>
      </c>
      <c r="H639" s="1" t="s">
        <v>2086</v>
      </c>
      <c r="I639" s="1">
        <v>5</v>
      </c>
      <c r="J639" s="1">
        <v>3172.1</v>
      </c>
      <c r="K639" s="1">
        <v>6.27</v>
      </c>
      <c r="L639" s="1">
        <v>14866.05</v>
      </c>
      <c r="M639" s="1">
        <v>3329.23</v>
      </c>
      <c r="N639" s="1" t="s">
        <v>2090</v>
      </c>
    </row>
    <row r="640" spans="1:14">
      <c r="A640" s="1" t="s">
        <v>652</v>
      </c>
      <c r="B640" s="2">
        <v>45524</v>
      </c>
      <c r="C640" s="1" t="s">
        <v>2024</v>
      </c>
      <c r="D640" s="1" t="s">
        <v>2037</v>
      </c>
      <c r="E640" s="1" t="s">
        <v>2045</v>
      </c>
      <c r="F640" s="1" t="s">
        <v>2053</v>
      </c>
      <c r="G640" s="1" t="s">
        <v>2076</v>
      </c>
      <c r="H640" s="1" t="s">
        <v>2086</v>
      </c>
      <c r="I640" s="1">
        <v>1</v>
      </c>
      <c r="J640" s="1">
        <v>2463.17</v>
      </c>
      <c r="K640" s="1">
        <v>6.27</v>
      </c>
      <c r="L640" s="1">
        <v>2308.73</v>
      </c>
      <c r="M640" s="1">
        <v>190.67</v>
      </c>
      <c r="N640" s="1" t="s">
        <v>2088</v>
      </c>
    </row>
    <row r="641" spans="1:14">
      <c r="A641" s="1" t="s">
        <v>653</v>
      </c>
      <c r="B641" s="2">
        <v>45525</v>
      </c>
      <c r="C641" s="1" t="s">
        <v>2023</v>
      </c>
      <c r="D641" s="1" t="s">
        <v>2038</v>
      </c>
      <c r="E641" s="1" t="s">
        <v>2046</v>
      </c>
      <c r="F641" s="1" t="s">
        <v>2053</v>
      </c>
      <c r="G641" s="1" t="s">
        <v>2062</v>
      </c>
      <c r="H641" s="1" t="s">
        <v>2085</v>
      </c>
      <c r="I641" s="1">
        <v>9</v>
      </c>
      <c r="J641" s="1">
        <v>121.07</v>
      </c>
      <c r="K641" s="1">
        <v>11.46</v>
      </c>
      <c r="L641" s="1">
        <v>964.76</v>
      </c>
      <c r="M641" s="1">
        <v>121.03</v>
      </c>
      <c r="N641" s="1" t="s">
        <v>2088</v>
      </c>
    </row>
    <row r="642" spans="1:14">
      <c r="A642" s="1" t="s">
        <v>654</v>
      </c>
      <c r="B642" s="2">
        <v>45525</v>
      </c>
      <c r="C642" s="1" t="s">
        <v>2026</v>
      </c>
      <c r="D642" s="1" t="s">
        <v>2039</v>
      </c>
      <c r="E642" s="1" t="s">
        <v>2045</v>
      </c>
      <c r="F642" s="1" t="s">
        <v>2053</v>
      </c>
      <c r="G642" s="1" t="s">
        <v>2067</v>
      </c>
      <c r="H642" s="1" t="s">
        <v>2086</v>
      </c>
      <c r="I642" s="1">
        <v>6</v>
      </c>
      <c r="J642" s="1">
        <v>1590.85</v>
      </c>
      <c r="K642" s="1">
        <v>3.62</v>
      </c>
      <c r="L642" s="1">
        <v>9199.57</v>
      </c>
      <c r="M642" s="1">
        <v>2706.89</v>
      </c>
      <c r="N642" s="1" t="s">
        <v>2092</v>
      </c>
    </row>
    <row r="643" spans="1:14">
      <c r="A643" s="1" t="s">
        <v>655</v>
      </c>
      <c r="B643" s="2">
        <v>45526</v>
      </c>
      <c r="C643" s="1" t="s">
        <v>2028</v>
      </c>
      <c r="D643" s="1" t="s">
        <v>2040</v>
      </c>
      <c r="E643" s="1" t="s">
        <v>2045</v>
      </c>
      <c r="F643" s="1" t="s">
        <v>2053</v>
      </c>
      <c r="G643" s="1" t="s">
        <v>2062</v>
      </c>
      <c r="H643" s="1" t="s">
        <v>2086</v>
      </c>
      <c r="I643" s="1">
        <v>10</v>
      </c>
      <c r="J643" s="1">
        <v>1128.75</v>
      </c>
      <c r="K643" s="1">
        <v>18.86</v>
      </c>
      <c r="L643" s="1">
        <v>9158.68</v>
      </c>
      <c r="M643" s="1">
        <v>950.57</v>
      </c>
      <c r="N643" s="1" t="s">
        <v>2092</v>
      </c>
    </row>
    <row r="644" spans="1:14">
      <c r="A644" s="1" t="s">
        <v>656</v>
      </c>
      <c r="B644" s="2">
        <v>45526</v>
      </c>
      <c r="C644" s="1" t="s">
        <v>2027</v>
      </c>
      <c r="D644" s="1" t="s">
        <v>2041</v>
      </c>
      <c r="E644" s="1" t="s">
        <v>2046</v>
      </c>
      <c r="F644" s="1" t="s">
        <v>2050</v>
      </c>
      <c r="G644" s="1" t="s">
        <v>2084</v>
      </c>
      <c r="H644" s="1" t="s">
        <v>2087</v>
      </c>
      <c r="I644" s="1">
        <v>6</v>
      </c>
      <c r="J644" s="1">
        <v>2689.36</v>
      </c>
      <c r="K644" s="1">
        <v>11.97</v>
      </c>
      <c r="L644" s="1">
        <v>14204.66</v>
      </c>
      <c r="M644" s="1">
        <v>1570.53</v>
      </c>
      <c r="N644" s="1" t="s">
        <v>2088</v>
      </c>
    </row>
    <row r="645" spans="1:14">
      <c r="A645" s="1" t="s">
        <v>657</v>
      </c>
      <c r="B645" s="2">
        <v>45526</v>
      </c>
      <c r="C645" s="1" t="s">
        <v>2028</v>
      </c>
      <c r="D645" s="1" t="s">
        <v>2042</v>
      </c>
      <c r="E645" s="1" t="s">
        <v>2045</v>
      </c>
      <c r="F645" s="1" t="s">
        <v>2051</v>
      </c>
      <c r="G645" s="1" t="s">
        <v>2069</v>
      </c>
      <c r="H645" s="1" t="s">
        <v>2085</v>
      </c>
      <c r="I645" s="1">
        <v>9</v>
      </c>
      <c r="J645" s="1">
        <v>16800.79</v>
      </c>
      <c r="K645" s="1">
        <v>7.17</v>
      </c>
      <c r="L645" s="1">
        <v>140365.56</v>
      </c>
      <c r="M645" s="1">
        <v>29086.3</v>
      </c>
      <c r="N645" s="1" t="s">
        <v>2092</v>
      </c>
    </row>
    <row r="646" spans="1:14">
      <c r="A646" s="1" t="s">
        <v>658</v>
      </c>
      <c r="B646" s="2">
        <v>45527</v>
      </c>
      <c r="C646" s="1" t="s">
        <v>2028</v>
      </c>
      <c r="D646" s="1" t="s">
        <v>2043</v>
      </c>
      <c r="E646" s="1" t="s">
        <v>2045</v>
      </c>
      <c r="F646" s="1" t="s">
        <v>2050</v>
      </c>
      <c r="G646" s="1" t="s">
        <v>2064</v>
      </c>
      <c r="H646" s="1" t="s">
        <v>2087</v>
      </c>
      <c r="I646" s="1">
        <v>9</v>
      </c>
      <c r="J646" s="1">
        <v>2811.9</v>
      </c>
      <c r="K646" s="1">
        <v>22.69</v>
      </c>
      <c r="L646" s="1">
        <v>19564.919999999998</v>
      </c>
      <c r="M646" s="1">
        <v>2904.19</v>
      </c>
      <c r="N646" s="1" t="s">
        <v>2088</v>
      </c>
    </row>
    <row r="647" spans="1:14">
      <c r="A647" s="1" t="s">
        <v>659</v>
      </c>
      <c r="B647" s="2">
        <v>45527</v>
      </c>
      <c r="C647" s="1" t="s">
        <v>2027</v>
      </c>
      <c r="D647" s="1" t="s">
        <v>2029</v>
      </c>
      <c r="E647" s="1" t="s">
        <v>2048</v>
      </c>
      <c r="F647" s="1" t="s">
        <v>2051</v>
      </c>
      <c r="G647" s="1" t="s">
        <v>2069</v>
      </c>
      <c r="H647" s="1" t="s">
        <v>2086</v>
      </c>
      <c r="I647" s="1">
        <v>4</v>
      </c>
      <c r="J647" s="1">
        <v>12697.25</v>
      </c>
      <c r="K647" s="1">
        <v>14.23</v>
      </c>
      <c r="L647" s="1">
        <v>43561.73</v>
      </c>
      <c r="M647" s="1">
        <v>4007.9</v>
      </c>
      <c r="N647" s="1" t="s">
        <v>2089</v>
      </c>
    </row>
    <row r="648" spans="1:14">
      <c r="A648" s="1" t="s">
        <v>660</v>
      </c>
      <c r="B648" s="2">
        <v>45527</v>
      </c>
      <c r="C648" s="1" t="s">
        <v>2018</v>
      </c>
      <c r="D648" s="1" t="s">
        <v>2030</v>
      </c>
      <c r="E648" s="1" t="s">
        <v>2046</v>
      </c>
      <c r="F648" s="1" t="s">
        <v>2050</v>
      </c>
      <c r="G648" s="1" t="s">
        <v>2075</v>
      </c>
      <c r="H648" s="1" t="s">
        <v>2085</v>
      </c>
      <c r="I648" s="1">
        <v>6</v>
      </c>
      <c r="J648" s="1">
        <v>1468.42</v>
      </c>
      <c r="K648" s="1">
        <v>17.93</v>
      </c>
      <c r="L648" s="1">
        <v>7230.79</v>
      </c>
      <c r="M648" s="1">
        <v>1563.19</v>
      </c>
      <c r="N648" s="1" t="s">
        <v>2089</v>
      </c>
    </row>
    <row r="649" spans="1:14">
      <c r="A649" s="1" t="s">
        <v>661</v>
      </c>
      <c r="B649" s="2">
        <v>45528</v>
      </c>
      <c r="C649" s="1" t="s">
        <v>2024</v>
      </c>
      <c r="D649" s="1" t="s">
        <v>2031</v>
      </c>
      <c r="E649" s="1" t="s">
        <v>2044</v>
      </c>
      <c r="F649" s="1" t="s">
        <v>2054</v>
      </c>
      <c r="G649" s="1" t="s">
        <v>2079</v>
      </c>
      <c r="H649" s="1" t="s">
        <v>2086</v>
      </c>
      <c r="I649" s="1">
        <v>7</v>
      </c>
      <c r="J649" s="1">
        <v>20884.84</v>
      </c>
      <c r="K649" s="1">
        <v>28.02</v>
      </c>
      <c r="L649" s="1">
        <v>105230.35</v>
      </c>
      <c r="M649" s="1">
        <v>8709.35</v>
      </c>
      <c r="N649" s="1" t="s">
        <v>2092</v>
      </c>
    </row>
    <row r="650" spans="1:14">
      <c r="A650" s="1" t="s">
        <v>662</v>
      </c>
      <c r="B650" s="2">
        <v>45528</v>
      </c>
      <c r="C650" s="1" t="s">
        <v>2025</v>
      </c>
      <c r="D650" s="1" t="s">
        <v>2032</v>
      </c>
      <c r="E650" s="1" t="s">
        <v>2046</v>
      </c>
      <c r="F650" s="1" t="s">
        <v>2054</v>
      </c>
      <c r="G650" s="1" t="s">
        <v>2079</v>
      </c>
      <c r="H650" s="1" t="s">
        <v>2087</v>
      </c>
      <c r="I650" s="1">
        <v>10</v>
      </c>
      <c r="J650" s="1">
        <v>46774.58</v>
      </c>
      <c r="K650" s="1">
        <v>23.93</v>
      </c>
      <c r="L650" s="1">
        <v>355814.23</v>
      </c>
      <c r="M650" s="1">
        <v>94679.17</v>
      </c>
      <c r="N650" s="1" t="s">
        <v>2088</v>
      </c>
    </row>
    <row r="651" spans="1:14">
      <c r="A651" s="1" t="s">
        <v>663</v>
      </c>
      <c r="B651" s="2">
        <v>45529</v>
      </c>
      <c r="C651" s="1" t="s">
        <v>2015</v>
      </c>
      <c r="D651" s="1" t="s">
        <v>2033</v>
      </c>
      <c r="E651" s="1" t="s">
        <v>2045</v>
      </c>
      <c r="F651" s="1" t="s">
        <v>2050</v>
      </c>
      <c r="G651" s="1" t="s">
        <v>2084</v>
      </c>
      <c r="H651" s="1" t="s">
        <v>2086</v>
      </c>
      <c r="I651" s="1">
        <v>6</v>
      </c>
      <c r="J651" s="1">
        <v>6950.04</v>
      </c>
      <c r="K651" s="1">
        <v>29.9</v>
      </c>
      <c r="L651" s="1">
        <v>29231.87</v>
      </c>
      <c r="M651" s="1">
        <v>4581.0600000000004</v>
      </c>
      <c r="N651" s="1" t="s">
        <v>2088</v>
      </c>
    </row>
    <row r="652" spans="1:14">
      <c r="A652" s="1" t="s">
        <v>664</v>
      </c>
      <c r="B652" s="2">
        <v>45529</v>
      </c>
      <c r="C652" s="1" t="s">
        <v>2017</v>
      </c>
      <c r="D652" s="1" t="s">
        <v>2034</v>
      </c>
      <c r="E652" s="1" t="s">
        <v>2048</v>
      </c>
      <c r="F652" s="1" t="s">
        <v>2051</v>
      </c>
      <c r="G652" s="1" t="s">
        <v>2057</v>
      </c>
      <c r="H652" s="1" t="s">
        <v>2087</v>
      </c>
      <c r="I652" s="1">
        <v>4</v>
      </c>
      <c r="J652" s="1">
        <v>3129.8</v>
      </c>
      <c r="K652" s="1">
        <v>29.16</v>
      </c>
      <c r="L652" s="1">
        <v>8868.6</v>
      </c>
      <c r="M652" s="1">
        <v>1579.97</v>
      </c>
      <c r="N652" s="1" t="s">
        <v>2090</v>
      </c>
    </row>
    <row r="653" spans="1:14">
      <c r="A653" s="1" t="s">
        <v>665</v>
      </c>
      <c r="B653" s="2">
        <v>45529</v>
      </c>
      <c r="C653" s="1" t="s">
        <v>2020</v>
      </c>
      <c r="D653" s="1" t="s">
        <v>2035</v>
      </c>
      <c r="E653" s="1" t="s">
        <v>2045</v>
      </c>
      <c r="F653" s="1" t="s">
        <v>2053</v>
      </c>
      <c r="G653" s="1" t="s">
        <v>2060</v>
      </c>
      <c r="H653" s="1" t="s">
        <v>2086</v>
      </c>
      <c r="I653" s="1">
        <v>2</v>
      </c>
      <c r="J653" s="1">
        <v>521.61</v>
      </c>
      <c r="K653" s="1">
        <v>15.4</v>
      </c>
      <c r="L653" s="1">
        <v>882.56</v>
      </c>
      <c r="M653" s="1">
        <v>201.97</v>
      </c>
      <c r="N653" s="1" t="s">
        <v>2091</v>
      </c>
    </row>
    <row r="654" spans="1:14">
      <c r="A654" s="1" t="s">
        <v>666</v>
      </c>
      <c r="B654" s="2">
        <v>45530</v>
      </c>
      <c r="C654" s="1" t="s">
        <v>2027</v>
      </c>
      <c r="D654" s="1" t="s">
        <v>2036</v>
      </c>
      <c r="E654" s="1" t="s">
        <v>2048</v>
      </c>
      <c r="F654" s="1" t="s">
        <v>2049</v>
      </c>
      <c r="G654" s="1" t="s">
        <v>2055</v>
      </c>
      <c r="H654" s="1" t="s">
        <v>2085</v>
      </c>
      <c r="I654" s="1">
        <v>4</v>
      </c>
      <c r="J654" s="1">
        <v>1158.76</v>
      </c>
      <c r="K654" s="1">
        <v>24.62</v>
      </c>
      <c r="L654" s="1">
        <v>3493.89</v>
      </c>
      <c r="M654" s="1">
        <v>180.93</v>
      </c>
      <c r="N654" s="1" t="s">
        <v>2090</v>
      </c>
    </row>
    <row r="655" spans="1:14">
      <c r="A655" s="1" t="s">
        <v>667</v>
      </c>
      <c r="B655" s="2">
        <v>45530</v>
      </c>
      <c r="C655" s="1" t="s">
        <v>2022</v>
      </c>
      <c r="D655" s="1" t="s">
        <v>2037</v>
      </c>
      <c r="E655" s="1" t="s">
        <v>2048</v>
      </c>
      <c r="F655" s="1" t="s">
        <v>2051</v>
      </c>
      <c r="G655" s="1" t="s">
        <v>2061</v>
      </c>
      <c r="H655" s="1" t="s">
        <v>2085</v>
      </c>
      <c r="I655" s="1">
        <v>10</v>
      </c>
      <c r="J655" s="1">
        <v>28677.18</v>
      </c>
      <c r="K655" s="1">
        <v>29.51</v>
      </c>
      <c r="L655" s="1">
        <v>202145.44</v>
      </c>
      <c r="M655" s="1">
        <v>12642.95</v>
      </c>
      <c r="N655" s="1" t="s">
        <v>2090</v>
      </c>
    </row>
    <row r="656" spans="1:14">
      <c r="A656" s="1" t="s">
        <v>668</v>
      </c>
      <c r="B656" s="2">
        <v>45530</v>
      </c>
      <c r="C656" s="1" t="s">
        <v>2017</v>
      </c>
      <c r="D656" s="1" t="s">
        <v>2038</v>
      </c>
      <c r="E656" s="1" t="s">
        <v>2046</v>
      </c>
      <c r="F656" s="1" t="s">
        <v>2052</v>
      </c>
      <c r="G656" s="1" t="s">
        <v>2065</v>
      </c>
      <c r="H656" s="1" t="s">
        <v>2085</v>
      </c>
      <c r="I656" s="1">
        <v>1</v>
      </c>
      <c r="J656" s="1">
        <v>414.1</v>
      </c>
      <c r="K656" s="1">
        <v>23.23</v>
      </c>
      <c r="L656" s="1">
        <v>317.89999999999998</v>
      </c>
      <c r="M656" s="1">
        <v>26.58</v>
      </c>
      <c r="N656" s="1" t="s">
        <v>2089</v>
      </c>
    </row>
    <row r="657" spans="1:14">
      <c r="A657" s="1" t="s">
        <v>669</v>
      </c>
      <c r="B657" s="2">
        <v>45531</v>
      </c>
      <c r="C657" s="1" t="s">
        <v>2019</v>
      </c>
      <c r="D657" s="1" t="s">
        <v>2039</v>
      </c>
      <c r="E657" s="1" t="s">
        <v>2044</v>
      </c>
      <c r="F657" s="1" t="s">
        <v>2050</v>
      </c>
      <c r="G657" s="1" t="s">
        <v>2070</v>
      </c>
      <c r="H657" s="1" t="s">
        <v>2085</v>
      </c>
      <c r="I657" s="1">
        <v>2</v>
      </c>
      <c r="J657" s="1">
        <v>380.95</v>
      </c>
      <c r="K657" s="1">
        <v>22.86</v>
      </c>
      <c r="L657" s="1">
        <v>587.73</v>
      </c>
      <c r="M657" s="1">
        <v>160.63999999999999</v>
      </c>
      <c r="N657" s="1" t="s">
        <v>2088</v>
      </c>
    </row>
    <row r="658" spans="1:14">
      <c r="A658" s="1" t="s">
        <v>670</v>
      </c>
      <c r="B658" s="2">
        <v>45531</v>
      </c>
      <c r="C658" s="1" t="s">
        <v>2014</v>
      </c>
      <c r="D658" s="1" t="s">
        <v>2040</v>
      </c>
      <c r="E658" s="1" t="s">
        <v>2045</v>
      </c>
      <c r="F658" s="1" t="s">
        <v>2051</v>
      </c>
      <c r="G658" s="1" t="s">
        <v>2069</v>
      </c>
      <c r="H658" s="1" t="s">
        <v>2086</v>
      </c>
      <c r="I658" s="1">
        <v>10</v>
      </c>
      <c r="J658" s="1">
        <v>20876.599999999999</v>
      </c>
      <c r="K658" s="1">
        <v>27.27</v>
      </c>
      <c r="L658" s="1">
        <v>151835.51</v>
      </c>
      <c r="M658" s="1">
        <v>37396.699999999997</v>
      </c>
      <c r="N658" s="1" t="s">
        <v>2088</v>
      </c>
    </row>
    <row r="659" spans="1:14">
      <c r="A659" s="1" t="s">
        <v>671</v>
      </c>
      <c r="B659" s="2">
        <v>45531</v>
      </c>
      <c r="C659" s="1" t="s">
        <v>2019</v>
      </c>
      <c r="D659" s="1" t="s">
        <v>2041</v>
      </c>
      <c r="E659" s="1" t="s">
        <v>2044</v>
      </c>
      <c r="F659" s="1" t="s">
        <v>2049</v>
      </c>
      <c r="G659" s="1" t="s">
        <v>2071</v>
      </c>
      <c r="H659" s="1" t="s">
        <v>2085</v>
      </c>
      <c r="I659" s="1">
        <v>5</v>
      </c>
      <c r="J659" s="1">
        <v>471.3</v>
      </c>
      <c r="K659" s="1">
        <v>17.39</v>
      </c>
      <c r="L659" s="1">
        <v>1946.7</v>
      </c>
      <c r="M659" s="1">
        <v>234.85</v>
      </c>
      <c r="N659" s="1" t="s">
        <v>2091</v>
      </c>
    </row>
    <row r="660" spans="1:14">
      <c r="A660" s="1" t="s">
        <v>672</v>
      </c>
      <c r="B660" s="2">
        <v>45532</v>
      </c>
      <c r="C660" s="1" t="s">
        <v>2017</v>
      </c>
      <c r="D660" s="1" t="s">
        <v>2042</v>
      </c>
      <c r="E660" s="1" t="s">
        <v>2045</v>
      </c>
      <c r="F660" s="1" t="s">
        <v>2053</v>
      </c>
      <c r="G660" s="1" t="s">
        <v>2060</v>
      </c>
      <c r="H660" s="1" t="s">
        <v>2087</v>
      </c>
      <c r="I660" s="1">
        <v>10</v>
      </c>
      <c r="J660" s="1">
        <v>1488.5</v>
      </c>
      <c r="K660" s="1">
        <v>2.48</v>
      </c>
      <c r="L660" s="1">
        <v>14515.85</v>
      </c>
      <c r="M660" s="1">
        <v>1286.54</v>
      </c>
      <c r="N660" s="1" t="s">
        <v>2090</v>
      </c>
    </row>
    <row r="661" spans="1:14">
      <c r="A661" s="1" t="s">
        <v>673</v>
      </c>
      <c r="B661" s="2">
        <v>45532</v>
      </c>
      <c r="C661" s="1" t="s">
        <v>2020</v>
      </c>
      <c r="D661" s="1" t="s">
        <v>2043</v>
      </c>
      <c r="E661" s="1" t="s">
        <v>2045</v>
      </c>
      <c r="F661" s="1" t="s">
        <v>2049</v>
      </c>
      <c r="G661" s="1" t="s">
        <v>2058</v>
      </c>
      <c r="H661" s="1" t="s">
        <v>2085</v>
      </c>
      <c r="I661" s="1">
        <v>2</v>
      </c>
      <c r="J661" s="1">
        <v>944.5</v>
      </c>
      <c r="K661" s="1">
        <v>29</v>
      </c>
      <c r="L661" s="1">
        <v>1341.19</v>
      </c>
      <c r="M661" s="1">
        <v>383.82</v>
      </c>
      <c r="N661" s="1" t="s">
        <v>2091</v>
      </c>
    </row>
    <row r="662" spans="1:14">
      <c r="A662" s="1" t="s">
        <v>674</v>
      </c>
      <c r="B662" s="2">
        <v>45533</v>
      </c>
      <c r="C662" s="1" t="s">
        <v>2027</v>
      </c>
      <c r="D662" s="1" t="s">
        <v>2029</v>
      </c>
      <c r="E662" s="1" t="s">
        <v>2047</v>
      </c>
      <c r="F662" s="1" t="s">
        <v>2054</v>
      </c>
      <c r="G662" s="1" t="s">
        <v>2063</v>
      </c>
      <c r="H662" s="1" t="s">
        <v>2086</v>
      </c>
      <c r="I662" s="1">
        <v>2</v>
      </c>
      <c r="J662" s="1">
        <v>75042.36</v>
      </c>
      <c r="K662" s="1">
        <v>20.39</v>
      </c>
      <c r="L662" s="1">
        <v>119482.45</v>
      </c>
      <c r="M662" s="1">
        <v>23005.8</v>
      </c>
      <c r="N662" s="1" t="s">
        <v>2088</v>
      </c>
    </row>
    <row r="663" spans="1:14">
      <c r="A663" s="1" t="s">
        <v>675</v>
      </c>
      <c r="B663" s="2">
        <v>45533</v>
      </c>
      <c r="C663" s="1" t="s">
        <v>2016</v>
      </c>
      <c r="D663" s="1" t="s">
        <v>2030</v>
      </c>
      <c r="E663" s="1" t="s">
        <v>2047</v>
      </c>
      <c r="F663" s="1" t="s">
        <v>2054</v>
      </c>
      <c r="G663" s="1" t="s">
        <v>2063</v>
      </c>
      <c r="H663" s="1" t="s">
        <v>2085</v>
      </c>
      <c r="I663" s="1">
        <v>2</v>
      </c>
      <c r="J663" s="1">
        <v>36270.519999999997</v>
      </c>
      <c r="K663" s="1">
        <v>20.79</v>
      </c>
      <c r="L663" s="1">
        <v>57459.76</v>
      </c>
      <c r="M663" s="1">
        <v>13404.79</v>
      </c>
      <c r="N663" s="1" t="s">
        <v>2089</v>
      </c>
    </row>
    <row r="664" spans="1:14">
      <c r="A664" s="1" t="s">
        <v>676</v>
      </c>
      <c r="B664" s="2">
        <v>45533</v>
      </c>
      <c r="C664" s="1" t="s">
        <v>2015</v>
      </c>
      <c r="D664" s="1" t="s">
        <v>2031</v>
      </c>
      <c r="E664" s="1" t="s">
        <v>2046</v>
      </c>
      <c r="F664" s="1" t="s">
        <v>2054</v>
      </c>
      <c r="G664" s="1" t="s">
        <v>2079</v>
      </c>
      <c r="H664" s="1" t="s">
        <v>2085</v>
      </c>
      <c r="I664" s="1">
        <v>8</v>
      </c>
      <c r="J664" s="1">
        <v>13948.37</v>
      </c>
      <c r="K664" s="1">
        <v>29.32</v>
      </c>
      <c r="L664" s="1">
        <v>78869.66</v>
      </c>
      <c r="M664" s="1">
        <v>20768.689999999999</v>
      </c>
      <c r="N664" s="1" t="s">
        <v>2091</v>
      </c>
    </row>
    <row r="665" spans="1:14">
      <c r="A665" s="1" t="s">
        <v>677</v>
      </c>
      <c r="B665" s="2">
        <v>45534</v>
      </c>
      <c r="C665" s="1" t="s">
        <v>2015</v>
      </c>
      <c r="D665" s="1" t="s">
        <v>2032</v>
      </c>
      <c r="E665" s="1" t="s">
        <v>2047</v>
      </c>
      <c r="F665" s="1" t="s">
        <v>2049</v>
      </c>
      <c r="G665" s="1" t="s">
        <v>2074</v>
      </c>
      <c r="H665" s="1" t="s">
        <v>2085</v>
      </c>
      <c r="I665" s="1">
        <v>8</v>
      </c>
      <c r="J665" s="1">
        <v>2100.16</v>
      </c>
      <c r="K665" s="1">
        <v>15.46</v>
      </c>
      <c r="L665" s="1">
        <v>14203.8</v>
      </c>
      <c r="M665" s="1">
        <v>4226.6400000000003</v>
      </c>
      <c r="N665" s="1" t="s">
        <v>2089</v>
      </c>
    </row>
    <row r="666" spans="1:14">
      <c r="A666" s="1" t="s">
        <v>678</v>
      </c>
      <c r="B666" s="2">
        <v>45534</v>
      </c>
      <c r="C666" s="1" t="s">
        <v>2022</v>
      </c>
      <c r="D666" s="1" t="s">
        <v>2033</v>
      </c>
      <c r="E666" s="1" t="s">
        <v>2046</v>
      </c>
      <c r="F666" s="1" t="s">
        <v>2050</v>
      </c>
      <c r="G666" s="1" t="s">
        <v>2084</v>
      </c>
      <c r="H666" s="1" t="s">
        <v>2085</v>
      </c>
      <c r="I666" s="1">
        <v>1</v>
      </c>
      <c r="J666" s="1">
        <v>2971.58</v>
      </c>
      <c r="K666" s="1">
        <v>12.95</v>
      </c>
      <c r="L666" s="1">
        <v>2586.7600000000002</v>
      </c>
      <c r="M666" s="1">
        <v>634.91</v>
      </c>
      <c r="N666" s="1" t="s">
        <v>2089</v>
      </c>
    </row>
    <row r="667" spans="1:14">
      <c r="A667" s="1" t="s">
        <v>679</v>
      </c>
      <c r="B667" s="2">
        <v>45534</v>
      </c>
      <c r="C667" s="1" t="s">
        <v>2019</v>
      </c>
      <c r="D667" s="1" t="s">
        <v>2034</v>
      </c>
      <c r="E667" s="1" t="s">
        <v>2048</v>
      </c>
      <c r="F667" s="1" t="s">
        <v>2052</v>
      </c>
      <c r="G667" s="1" t="s">
        <v>2072</v>
      </c>
      <c r="H667" s="1" t="s">
        <v>2087</v>
      </c>
      <c r="I667" s="1">
        <v>3</v>
      </c>
      <c r="J667" s="1">
        <v>3512.22</v>
      </c>
      <c r="K667" s="1">
        <v>21.16</v>
      </c>
      <c r="L667" s="1">
        <v>8307.1</v>
      </c>
      <c r="M667" s="1">
        <v>804.76</v>
      </c>
      <c r="N667" s="1" t="s">
        <v>2089</v>
      </c>
    </row>
    <row r="668" spans="1:14">
      <c r="A668" s="1" t="s">
        <v>680</v>
      </c>
      <c r="B668" s="2">
        <v>45535</v>
      </c>
      <c r="C668" s="1" t="s">
        <v>2026</v>
      </c>
      <c r="D668" s="1" t="s">
        <v>2035</v>
      </c>
      <c r="E668" s="1" t="s">
        <v>2044</v>
      </c>
      <c r="F668" s="1" t="s">
        <v>2050</v>
      </c>
      <c r="G668" s="1" t="s">
        <v>2070</v>
      </c>
      <c r="H668" s="1" t="s">
        <v>2086</v>
      </c>
      <c r="I668" s="1">
        <v>6</v>
      </c>
      <c r="J668" s="1">
        <v>3730.49</v>
      </c>
      <c r="K668" s="1">
        <v>29.01</v>
      </c>
      <c r="L668" s="1">
        <v>15889.65</v>
      </c>
      <c r="M668" s="1">
        <v>3063.52</v>
      </c>
      <c r="N668" s="1" t="s">
        <v>2091</v>
      </c>
    </row>
    <row r="669" spans="1:14">
      <c r="A669" s="1" t="s">
        <v>681</v>
      </c>
      <c r="B669" s="2">
        <v>45535</v>
      </c>
      <c r="C669" s="1" t="s">
        <v>2026</v>
      </c>
      <c r="D669" s="1" t="s">
        <v>2036</v>
      </c>
      <c r="E669" s="1" t="s">
        <v>2046</v>
      </c>
      <c r="F669" s="1" t="s">
        <v>2053</v>
      </c>
      <c r="G669" s="1" t="s">
        <v>2062</v>
      </c>
      <c r="H669" s="1" t="s">
        <v>2087</v>
      </c>
      <c r="I669" s="1">
        <v>8</v>
      </c>
      <c r="J669" s="1">
        <v>1499.45</v>
      </c>
      <c r="K669" s="1">
        <v>21.54</v>
      </c>
      <c r="L669" s="1">
        <v>9411.75</v>
      </c>
      <c r="M669" s="1">
        <v>1345.98</v>
      </c>
      <c r="N669" s="1" t="s">
        <v>2089</v>
      </c>
    </row>
    <row r="670" spans="1:14">
      <c r="A670" s="1" t="s">
        <v>682</v>
      </c>
      <c r="B670" s="2">
        <v>45535</v>
      </c>
      <c r="C670" s="1" t="s">
        <v>2021</v>
      </c>
      <c r="D670" s="1" t="s">
        <v>2037</v>
      </c>
      <c r="E670" s="1" t="s">
        <v>2046</v>
      </c>
      <c r="F670" s="1" t="s">
        <v>2054</v>
      </c>
      <c r="G670" s="1" t="s">
        <v>2068</v>
      </c>
      <c r="H670" s="1" t="s">
        <v>2087</v>
      </c>
      <c r="I670" s="1">
        <v>9</v>
      </c>
      <c r="J670" s="1">
        <v>19897.63</v>
      </c>
      <c r="K670" s="1">
        <v>29</v>
      </c>
      <c r="L670" s="1">
        <v>127145.86</v>
      </c>
      <c r="M670" s="1">
        <v>36813.120000000003</v>
      </c>
      <c r="N670" s="1" t="s">
        <v>2088</v>
      </c>
    </row>
    <row r="671" spans="1:14">
      <c r="A671" s="1" t="s">
        <v>683</v>
      </c>
      <c r="B671" s="2">
        <v>45536</v>
      </c>
      <c r="C671" s="1" t="s">
        <v>2025</v>
      </c>
      <c r="D671" s="1" t="s">
        <v>2038</v>
      </c>
      <c r="E671" s="1" t="s">
        <v>2045</v>
      </c>
      <c r="F671" s="1" t="s">
        <v>2049</v>
      </c>
      <c r="G671" s="1" t="s">
        <v>2071</v>
      </c>
      <c r="H671" s="1" t="s">
        <v>2087</v>
      </c>
      <c r="I671" s="1">
        <v>2</v>
      </c>
      <c r="J671" s="1">
        <v>1601.98</v>
      </c>
      <c r="K671" s="1">
        <v>20.63</v>
      </c>
      <c r="L671" s="1">
        <v>2542.98</v>
      </c>
      <c r="M671" s="1">
        <v>301.01</v>
      </c>
      <c r="N671" s="1" t="s">
        <v>2088</v>
      </c>
    </row>
    <row r="672" spans="1:14">
      <c r="A672" s="1" t="s">
        <v>684</v>
      </c>
      <c r="B672" s="2">
        <v>45536</v>
      </c>
      <c r="C672" s="1" t="s">
        <v>2026</v>
      </c>
      <c r="D672" s="1" t="s">
        <v>2039</v>
      </c>
      <c r="E672" s="1" t="s">
        <v>2047</v>
      </c>
      <c r="F672" s="1" t="s">
        <v>2054</v>
      </c>
      <c r="G672" s="1" t="s">
        <v>2063</v>
      </c>
      <c r="H672" s="1" t="s">
        <v>2087</v>
      </c>
      <c r="I672" s="1">
        <v>7</v>
      </c>
      <c r="J672" s="1">
        <v>25592.84</v>
      </c>
      <c r="K672" s="1">
        <v>14.73</v>
      </c>
      <c r="L672" s="1">
        <v>152761.1</v>
      </c>
      <c r="M672" s="1">
        <v>19886.96</v>
      </c>
      <c r="N672" s="1" t="s">
        <v>2088</v>
      </c>
    </row>
    <row r="673" spans="1:14">
      <c r="A673" s="1" t="s">
        <v>685</v>
      </c>
      <c r="B673" s="2">
        <v>45537</v>
      </c>
      <c r="C673" s="1" t="s">
        <v>2025</v>
      </c>
      <c r="D673" s="1" t="s">
        <v>2040</v>
      </c>
      <c r="E673" s="1" t="s">
        <v>2048</v>
      </c>
      <c r="F673" s="1" t="s">
        <v>2049</v>
      </c>
      <c r="G673" s="1" t="s">
        <v>2082</v>
      </c>
      <c r="H673" s="1" t="s">
        <v>2086</v>
      </c>
      <c r="I673" s="1">
        <v>2</v>
      </c>
      <c r="J673" s="1">
        <v>1361.9</v>
      </c>
      <c r="K673" s="1">
        <v>17.3</v>
      </c>
      <c r="L673" s="1">
        <v>2252.58</v>
      </c>
      <c r="M673" s="1">
        <v>666.39</v>
      </c>
      <c r="N673" s="1" t="s">
        <v>2089</v>
      </c>
    </row>
    <row r="674" spans="1:14">
      <c r="A674" s="1" t="s">
        <v>686</v>
      </c>
      <c r="B674" s="2">
        <v>45537</v>
      </c>
      <c r="C674" s="1" t="s">
        <v>2019</v>
      </c>
      <c r="D674" s="1" t="s">
        <v>2041</v>
      </c>
      <c r="E674" s="1" t="s">
        <v>2047</v>
      </c>
      <c r="F674" s="1" t="s">
        <v>2049</v>
      </c>
      <c r="G674" s="1" t="s">
        <v>2074</v>
      </c>
      <c r="H674" s="1" t="s">
        <v>2086</v>
      </c>
      <c r="I674" s="1">
        <v>7</v>
      </c>
      <c r="J674" s="1">
        <v>1513.33</v>
      </c>
      <c r="K674" s="1">
        <v>0.23</v>
      </c>
      <c r="L674" s="1">
        <v>10568.95</v>
      </c>
      <c r="M674" s="1">
        <v>1828.67</v>
      </c>
      <c r="N674" s="1" t="s">
        <v>2092</v>
      </c>
    </row>
    <row r="675" spans="1:14">
      <c r="A675" s="1" t="s">
        <v>687</v>
      </c>
      <c r="B675" s="2">
        <v>45537</v>
      </c>
      <c r="C675" s="1" t="s">
        <v>2027</v>
      </c>
      <c r="D675" s="1" t="s">
        <v>2042</v>
      </c>
      <c r="E675" s="1" t="s">
        <v>2044</v>
      </c>
      <c r="F675" s="1" t="s">
        <v>2049</v>
      </c>
      <c r="G675" s="1" t="s">
        <v>2082</v>
      </c>
      <c r="H675" s="1" t="s">
        <v>2086</v>
      </c>
      <c r="I675" s="1">
        <v>5</v>
      </c>
      <c r="J675" s="1">
        <v>1407.97</v>
      </c>
      <c r="K675" s="1">
        <v>6.53</v>
      </c>
      <c r="L675" s="1">
        <v>6580.15</v>
      </c>
      <c r="M675" s="1">
        <v>549.08000000000004</v>
      </c>
      <c r="N675" s="1" t="s">
        <v>2090</v>
      </c>
    </row>
    <row r="676" spans="1:14">
      <c r="A676" s="1" t="s">
        <v>688</v>
      </c>
      <c r="B676" s="2">
        <v>45538</v>
      </c>
      <c r="C676" s="1" t="s">
        <v>2016</v>
      </c>
      <c r="D676" s="1" t="s">
        <v>2043</v>
      </c>
      <c r="E676" s="1" t="s">
        <v>2048</v>
      </c>
      <c r="F676" s="1" t="s">
        <v>2049</v>
      </c>
      <c r="G676" s="1" t="s">
        <v>2055</v>
      </c>
      <c r="H676" s="1" t="s">
        <v>2087</v>
      </c>
      <c r="I676" s="1">
        <v>1</v>
      </c>
      <c r="J676" s="1">
        <v>1879.69</v>
      </c>
      <c r="K676" s="1">
        <v>16.34</v>
      </c>
      <c r="L676" s="1">
        <v>1572.55</v>
      </c>
      <c r="M676" s="1">
        <v>128.02000000000001</v>
      </c>
      <c r="N676" s="1" t="s">
        <v>2089</v>
      </c>
    </row>
    <row r="677" spans="1:14">
      <c r="A677" s="1" t="s">
        <v>689</v>
      </c>
      <c r="B677" s="2">
        <v>45538</v>
      </c>
      <c r="C677" s="1" t="s">
        <v>2025</v>
      </c>
      <c r="D677" s="1" t="s">
        <v>2029</v>
      </c>
      <c r="E677" s="1" t="s">
        <v>2044</v>
      </c>
      <c r="F677" s="1" t="s">
        <v>2053</v>
      </c>
      <c r="G677" s="1" t="s">
        <v>2062</v>
      </c>
      <c r="H677" s="1" t="s">
        <v>2086</v>
      </c>
      <c r="I677" s="1">
        <v>9</v>
      </c>
      <c r="J677" s="1">
        <v>621.89</v>
      </c>
      <c r="K677" s="1">
        <v>11</v>
      </c>
      <c r="L677" s="1">
        <v>4981.34</v>
      </c>
      <c r="M677" s="1">
        <v>735.89</v>
      </c>
      <c r="N677" s="1" t="s">
        <v>2089</v>
      </c>
    </row>
    <row r="678" spans="1:14">
      <c r="A678" s="1" t="s">
        <v>690</v>
      </c>
      <c r="B678" s="2">
        <v>45538</v>
      </c>
      <c r="C678" s="1" t="s">
        <v>2015</v>
      </c>
      <c r="D678" s="1" t="s">
        <v>2030</v>
      </c>
      <c r="E678" s="1" t="s">
        <v>2048</v>
      </c>
      <c r="F678" s="1" t="s">
        <v>2049</v>
      </c>
      <c r="G678" s="1" t="s">
        <v>2071</v>
      </c>
      <c r="H678" s="1" t="s">
        <v>2085</v>
      </c>
      <c r="I678" s="1">
        <v>5</v>
      </c>
      <c r="J678" s="1">
        <v>250.71</v>
      </c>
      <c r="K678" s="1">
        <v>9.51</v>
      </c>
      <c r="L678" s="1">
        <v>1134.3399999999999</v>
      </c>
      <c r="M678" s="1">
        <v>132.38</v>
      </c>
      <c r="N678" s="1" t="s">
        <v>2088</v>
      </c>
    </row>
    <row r="679" spans="1:14">
      <c r="A679" s="1" t="s">
        <v>691</v>
      </c>
      <c r="B679" s="2">
        <v>45539</v>
      </c>
      <c r="C679" s="1" t="s">
        <v>2028</v>
      </c>
      <c r="D679" s="1" t="s">
        <v>2031</v>
      </c>
      <c r="E679" s="1" t="s">
        <v>2047</v>
      </c>
      <c r="F679" s="1" t="s">
        <v>2052</v>
      </c>
      <c r="G679" s="1" t="s">
        <v>2065</v>
      </c>
      <c r="H679" s="1" t="s">
        <v>2085</v>
      </c>
      <c r="I679" s="1">
        <v>6</v>
      </c>
      <c r="J679" s="1">
        <v>6934.9</v>
      </c>
      <c r="K679" s="1">
        <v>9.39</v>
      </c>
      <c r="L679" s="1">
        <v>37702.28</v>
      </c>
      <c r="M679" s="1">
        <v>2459.1799999999998</v>
      </c>
      <c r="N679" s="1" t="s">
        <v>2090</v>
      </c>
    </row>
    <row r="680" spans="1:14">
      <c r="A680" s="1" t="s">
        <v>692</v>
      </c>
      <c r="B680" s="2">
        <v>45539</v>
      </c>
      <c r="C680" s="1" t="s">
        <v>2014</v>
      </c>
      <c r="D680" s="1" t="s">
        <v>2032</v>
      </c>
      <c r="E680" s="1" t="s">
        <v>2044</v>
      </c>
      <c r="F680" s="1" t="s">
        <v>2049</v>
      </c>
      <c r="G680" s="1" t="s">
        <v>2082</v>
      </c>
      <c r="H680" s="1" t="s">
        <v>2086</v>
      </c>
      <c r="I680" s="1">
        <v>4</v>
      </c>
      <c r="J680" s="1">
        <v>569.27</v>
      </c>
      <c r="K680" s="1">
        <v>25.99</v>
      </c>
      <c r="L680" s="1">
        <v>1685.27</v>
      </c>
      <c r="M680" s="1">
        <v>271.41000000000003</v>
      </c>
      <c r="N680" s="1" t="s">
        <v>2088</v>
      </c>
    </row>
    <row r="681" spans="1:14">
      <c r="A681" s="1" t="s">
        <v>693</v>
      </c>
      <c r="B681" s="2">
        <v>45539</v>
      </c>
      <c r="C681" s="1" t="s">
        <v>2028</v>
      </c>
      <c r="D681" s="1" t="s">
        <v>2033</v>
      </c>
      <c r="E681" s="1" t="s">
        <v>2045</v>
      </c>
      <c r="F681" s="1" t="s">
        <v>2051</v>
      </c>
      <c r="G681" s="1" t="s">
        <v>2069</v>
      </c>
      <c r="H681" s="1" t="s">
        <v>2085</v>
      </c>
      <c r="I681" s="1">
        <v>8</v>
      </c>
      <c r="J681" s="1">
        <v>36480</v>
      </c>
      <c r="K681" s="1">
        <v>25.55</v>
      </c>
      <c r="L681" s="1">
        <v>217274.88</v>
      </c>
      <c r="M681" s="1">
        <v>13719.52</v>
      </c>
      <c r="N681" s="1" t="s">
        <v>2088</v>
      </c>
    </row>
    <row r="682" spans="1:14">
      <c r="A682" s="1" t="s">
        <v>694</v>
      </c>
      <c r="B682" s="2">
        <v>45540</v>
      </c>
      <c r="C682" s="1" t="s">
        <v>2020</v>
      </c>
      <c r="D682" s="1" t="s">
        <v>2034</v>
      </c>
      <c r="E682" s="1" t="s">
        <v>2044</v>
      </c>
      <c r="F682" s="1" t="s">
        <v>2053</v>
      </c>
      <c r="G682" s="1" t="s">
        <v>2062</v>
      </c>
      <c r="H682" s="1" t="s">
        <v>2085</v>
      </c>
      <c r="I682" s="1">
        <v>1</v>
      </c>
      <c r="J682" s="1">
        <v>1052.29</v>
      </c>
      <c r="K682" s="1">
        <v>12.94</v>
      </c>
      <c r="L682" s="1">
        <v>916.12</v>
      </c>
      <c r="M682" s="1">
        <v>176.19</v>
      </c>
      <c r="N682" s="1" t="s">
        <v>2092</v>
      </c>
    </row>
    <row r="683" spans="1:14">
      <c r="A683" s="1" t="s">
        <v>695</v>
      </c>
      <c r="B683" s="2">
        <v>45540</v>
      </c>
      <c r="C683" s="1" t="s">
        <v>2017</v>
      </c>
      <c r="D683" s="1" t="s">
        <v>2035</v>
      </c>
      <c r="E683" s="1" t="s">
        <v>2044</v>
      </c>
      <c r="F683" s="1" t="s">
        <v>2050</v>
      </c>
      <c r="G683" s="1" t="s">
        <v>2056</v>
      </c>
      <c r="H683" s="1" t="s">
        <v>2085</v>
      </c>
      <c r="I683" s="1">
        <v>8</v>
      </c>
      <c r="J683" s="1">
        <v>4510.99</v>
      </c>
      <c r="K683" s="1">
        <v>21.43</v>
      </c>
      <c r="L683" s="1">
        <v>28354.28</v>
      </c>
      <c r="M683" s="1">
        <v>4569.49</v>
      </c>
      <c r="N683" s="1" t="s">
        <v>2090</v>
      </c>
    </row>
    <row r="684" spans="1:14">
      <c r="A684" s="1" t="s">
        <v>696</v>
      </c>
      <c r="B684" s="2">
        <v>45541</v>
      </c>
      <c r="C684" s="1" t="s">
        <v>2016</v>
      </c>
      <c r="D684" s="1" t="s">
        <v>2036</v>
      </c>
      <c r="E684" s="1" t="s">
        <v>2048</v>
      </c>
      <c r="F684" s="1" t="s">
        <v>2051</v>
      </c>
      <c r="G684" s="1" t="s">
        <v>2077</v>
      </c>
      <c r="H684" s="1" t="s">
        <v>2085</v>
      </c>
      <c r="I684" s="1">
        <v>4</v>
      </c>
      <c r="J684" s="1">
        <v>13589.58</v>
      </c>
      <c r="K684" s="1">
        <v>7.74</v>
      </c>
      <c r="L684" s="1">
        <v>50150.99</v>
      </c>
      <c r="M684" s="1">
        <v>8324.8799999999992</v>
      </c>
      <c r="N684" s="1" t="s">
        <v>2089</v>
      </c>
    </row>
    <row r="685" spans="1:14">
      <c r="A685" s="1" t="s">
        <v>697</v>
      </c>
      <c r="B685" s="2">
        <v>45541</v>
      </c>
      <c r="C685" s="1" t="s">
        <v>2018</v>
      </c>
      <c r="D685" s="1" t="s">
        <v>2037</v>
      </c>
      <c r="E685" s="1" t="s">
        <v>2046</v>
      </c>
      <c r="F685" s="1" t="s">
        <v>2052</v>
      </c>
      <c r="G685" s="1" t="s">
        <v>2065</v>
      </c>
      <c r="H685" s="1" t="s">
        <v>2085</v>
      </c>
      <c r="I685" s="1">
        <v>7</v>
      </c>
      <c r="J685" s="1">
        <v>1240.9000000000001</v>
      </c>
      <c r="K685" s="1">
        <v>23.28</v>
      </c>
      <c r="L685" s="1">
        <v>6664.13</v>
      </c>
      <c r="M685" s="1">
        <v>1679.29</v>
      </c>
      <c r="N685" s="1" t="s">
        <v>2088</v>
      </c>
    </row>
    <row r="686" spans="1:14">
      <c r="A686" s="1" t="s">
        <v>698</v>
      </c>
      <c r="B686" s="2">
        <v>45541</v>
      </c>
      <c r="C686" s="1" t="s">
        <v>2017</v>
      </c>
      <c r="D686" s="1" t="s">
        <v>2038</v>
      </c>
      <c r="E686" s="1" t="s">
        <v>2045</v>
      </c>
      <c r="F686" s="1" t="s">
        <v>2054</v>
      </c>
      <c r="G686" s="1" t="s">
        <v>2066</v>
      </c>
      <c r="H686" s="1" t="s">
        <v>2086</v>
      </c>
      <c r="I686" s="1">
        <v>8</v>
      </c>
      <c r="J686" s="1">
        <v>46399.6</v>
      </c>
      <c r="K686" s="1">
        <v>19.39</v>
      </c>
      <c r="L686" s="1">
        <v>299221.74</v>
      </c>
      <c r="M686" s="1">
        <v>49249.17</v>
      </c>
      <c r="N686" s="1" t="s">
        <v>2092</v>
      </c>
    </row>
    <row r="687" spans="1:14">
      <c r="A687" s="1" t="s">
        <v>699</v>
      </c>
      <c r="B687" s="2">
        <v>45542</v>
      </c>
      <c r="C687" s="1" t="s">
        <v>2027</v>
      </c>
      <c r="D687" s="1" t="s">
        <v>2039</v>
      </c>
      <c r="E687" s="1" t="s">
        <v>2044</v>
      </c>
      <c r="F687" s="1" t="s">
        <v>2052</v>
      </c>
      <c r="G687" s="1" t="s">
        <v>2065</v>
      </c>
      <c r="H687" s="1" t="s">
        <v>2087</v>
      </c>
      <c r="I687" s="1">
        <v>5</v>
      </c>
      <c r="J687" s="1">
        <v>4463.1400000000003</v>
      </c>
      <c r="K687" s="1">
        <v>8.7799999999999994</v>
      </c>
      <c r="L687" s="1">
        <v>20356.38</v>
      </c>
      <c r="M687" s="1">
        <v>3793.55</v>
      </c>
      <c r="N687" s="1" t="s">
        <v>2091</v>
      </c>
    </row>
    <row r="688" spans="1:14">
      <c r="A688" s="1" t="s">
        <v>700</v>
      </c>
      <c r="B688" s="2">
        <v>45542</v>
      </c>
      <c r="C688" s="1" t="s">
        <v>2014</v>
      </c>
      <c r="D688" s="1" t="s">
        <v>2040</v>
      </c>
      <c r="E688" s="1" t="s">
        <v>2045</v>
      </c>
      <c r="F688" s="1" t="s">
        <v>2052</v>
      </c>
      <c r="G688" s="1" t="s">
        <v>2072</v>
      </c>
      <c r="H688" s="1" t="s">
        <v>2086</v>
      </c>
      <c r="I688" s="1">
        <v>2</v>
      </c>
      <c r="J688" s="1">
        <v>8795.85</v>
      </c>
      <c r="K688" s="1">
        <v>15.85</v>
      </c>
      <c r="L688" s="1">
        <v>14803.42</v>
      </c>
      <c r="M688" s="1">
        <v>2469.44</v>
      </c>
      <c r="N688" s="1" t="s">
        <v>2088</v>
      </c>
    </row>
    <row r="689" spans="1:14">
      <c r="A689" s="1" t="s">
        <v>701</v>
      </c>
      <c r="B689" s="2">
        <v>45542</v>
      </c>
      <c r="C689" s="1" t="s">
        <v>2014</v>
      </c>
      <c r="D689" s="1" t="s">
        <v>2041</v>
      </c>
      <c r="E689" s="1" t="s">
        <v>2047</v>
      </c>
      <c r="F689" s="1" t="s">
        <v>2053</v>
      </c>
      <c r="G689" s="1" t="s">
        <v>2076</v>
      </c>
      <c r="H689" s="1" t="s">
        <v>2086</v>
      </c>
      <c r="I689" s="1">
        <v>4</v>
      </c>
      <c r="J689" s="1">
        <v>1602.53</v>
      </c>
      <c r="K689" s="1">
        <v>2.2599999999999998</v>
      </c>
      <c r="L689" s="1">
        <v>6265.25</v>
      </c>
      <c r="M689" s="1">
        <v>489.31</v>
      </c>
      <c r="N689" s="1" t="s">
        <v>2092</v>
      </c>
    </row>
    <row r="690" spans="1:14">
      <c r="A690" s="1" t="s">
        <v>702</v>
      </c>
      <c r="B690" s="2">
        <v>45543</v>
      </c>
      <c r="C690" s="1" t="s">
        <v>2027</v>
      </c>
      <c r="D690" s="1" t="s">
        <v>2042</v>
      </c>
      <c r="E690" s="1" t="s">
        <v>2044</v>
      </c>
      <c r="F690" s="1" t="s">
        <v>2053</v>
      </c>
      <c r="G690" s="1" t="s">
        <v>2060</v>
      </c>
      <c r="H690" s="1" t="s">
        <v>2085</v>
      </c>
      <c r="I690" s="1">
        <v>6</v>
      </c>
      <c r="J690" s="1">
        <v>1028.07</v>
      </c>
      <c r="K690" s="1">
        <v>24.63</v>
      </c>
      <c r="L690" s="1">
        <v>4649.1400000000003</v>
      </c>
      <c r="M690" s="1">
        <v>1359.28</v>
      </c>
      <c r="N690" s="1" t="s">
        <v>2090</v>
      </c>
    </row>
    <row r="691" spans="1:14">
      <c r="A691" s="1" t="s">
        <v>703</v>
      </c>
      <c r="B691" s="2">
        <v>45543</v>
      </c>
      <c r="C691" s="1" t="s">
        <v>2019</v>
      </c>
      <c r="D691" s="1" t="s">
        <v>2043</v>
      </c>
      <c r="E691" s="1" t="s">
        <v>2046</v>
      </c>
      <c r="F691" s="1" t="s">
        <v>2052</v>
      </c>
      <c r="G691" s="1" t="s">
        <v>2065</v>
      </c>
      <c r="H691" s="1" t="s">
        <v>2086</v>
      </c>
      <c r="I691" s="1">
        <v>10</v>
      </c>
      <c r="J691" s="1">
        <v>3541.43</v>
      </c>
      <c r="K691" s="1">
        <v>29.93</v>
      </c>
      <c r="L691" s="1">
        <v>24814.799999999999</v>
      </c>
      <c r="M691" s="1">
        <v>2875.73</v>
      </c>
      <c r="N691" s="1" t="s">
        <v>2091</v>
      </c>
    </row>
    <row r="692" spans="1:14">
      <c r="A692" s="1" t="s">
        <v>704</v>
      </c>
      <c r="B692" s="2">
        <v>45543</v>
      </c>
      <c r="C692" s="1" t="s">
        <v>2014</v>
      </c>
      <c r="D692" s="1" t="s">
        <v>2029</v>
      </c>
      <c r="E692" s="1" t="s">
        <v>2046</v>
      </c>
      <c r="F692" s="1" t="s">
        <v>2052</v>
      </c>
      <c r="G692" s="1" t="s">
        <v>2059</v>
      </c>
      <c r="H692" s="1" t="s">
        <v>2086</v>
      </c>
      <c r="I692" s="1">
        <v>1</v>
      </c>
      <c r="J692" s="1">
        <v>8396.51</v>
      </c>
      <c r="K692" s="1">
        <v>29.23</v>
      </c>
      <c r="L692" s="1">
        <v>5942.21</v>
      </c>
      <c r="M692" s="1">
        <v>1746.42</v>
      </c>
      <c r="N692" s="1" t="s">
        <v>2092</v>
      </c>
    </row>
    <row r="693" spans="1:14">
      <c r="A693" s="1" t="s">
        <v>705</v>
      </c>
      <c r="B693" s="2">
        <v>45544</v>
      </c>
      <c r="C693" s="1" t="s">
        <v>2014</v>
      </c>
      <c r="D693" s="1" t="s">
        <v>2030</v>
      </c>
      <c r="E693" s="1" t="s">
        <v>2046</v>
      </c>
      <c r="F693" s="1" t="s">
        <v>2050</v>
      </c>
      <c r="G693" s="1" t="s">
        <v>2084</v>
      </c>
      <c r="H693" s="1" t="s">
        <v>2086</v>
      </c>
      <c r="I693" s="1">
        <v>3</v>
      </c>
      <c r="J693" s="1">
        <v>4451.7700000000004</v>
      </c>
      <c r="K693" s="1">
        <v>7.65</v>
      </c>
      <c r="L693" s="1">
        <v>12333.63</v>
      </c>
      <c r="M693" s="1">
        <v>2984.36</v>
      </c>
      <c r="N693" s="1" t="s">
        <v>2089</v>
      </c>
    </row>
    <row r="694" spans="1:14">
      <c r="A694" s="1" t="s">
        <v>706</v>
      </c>
      <c r="B694" s="2">
        <v>45544</v>
      </c>
      <c r="C694" s="1" t="s">
        <v>2019</v>
      </c>
      <c r="D694" s="1" t="s">
        <v>2031</v>
      </c>
      <c r="E694" s="1" t="s">
        <v>2047</v>
      </c>
      <c r="F694" s="1" t="s">
        <v>2051</v>
      </c>
      <c r="G694" s="1" t="s">
        <v>2061</v>
      </c>
      <c r="H694" s="1" t="s">
        <v>2087</v>
      </c>
      <c r="I694" s="1">
        <v>10</v>
      </c>
      <c r="J694" s="1">
        <v>3148.96</v>
      </c>
      <c r="K694" s="1">
        <v>12.81</v>
      </c>
      <c r="L694" s="1">
        <v>27455.78</v>
      </c>
      <c r="M694" s="1">
        <v>4592.1499999999996</v>
      </c>
      <c r="N694" s="1" t="s">
        <v>2088</v>
      </c>
    </row>
    <row r="695" spans="1:14">
      <c r="A695" s="1" t="s">
        <v>707</v>
      </c>
      <c r="B695" s="2">
        <v>45545</v>
      </c>
      <c r="C695" s="1" t="s">
        <v>2021</v>
      </c>
      <c r="D695" s="1" t="s">
        <v>2032</v>
      </c>
      <c r="E695" s="1" t="s">
        <v>2047</v>
      </c>
      <c r="F695" s="1" t="s">
        <v>2049</v>
      </c>
      <c r="G695" s="1" t="s">
        <v>2055</v>
      </c>
      <c r="H695" s="1" t="s">
        <v>2085</v>
      </c>
      <c r="I695" s="1">
        <v>1</v>
      </c>
      <c r="J695" s="1">
        <v>1047.78</v>
      </c>
      <c r="K695" s="1">
        <v>27.42</v>
      </c>
      <c r="L695" s="1">
        <v>760.48</v>
      </c>
      <c r="M695" s="1">
        <v>224.54</v>
      </c>
      <c r="N695" s="1" t="s">
        <v>2090</v>
      </c>
    </row>
    <row r="696" spans="1:14">
      <c r="A696" s="1" t="s">
        <v>708</v>
      </c>
      <c r="B696" s="2">
        <v>45545</v>
      </c>
      <c r="C696" s="1" t="s">
        <v>2017</v>
      </c>
      <c r="D696" s="1" t="s">
        <v>2033</v>
      </c>
      <c r="E696" s="1" t="s">
        <v>2044</v>
      </c>
      <c r="F696" s="1" t="s">
        <v>2053</v>
      </c>
      <c r="G696" s="1" t="s">
        <v>2062</v>
      </c>
      <c r="H696" s="1" t="s">
        <v>2085</v>
      </c>
      <c r="I696" s="1">
        <v>6</v>
      </c>
      <c r="J696" s="1">
        <v>836.63</v>
      </c>
      <c r="K696" s="1">
        <v>1.71</v>
      </c>
      <c r="L696" s="1">
        <v>4933.9399999999996</v>
      </c>
      <c r="M696" s="1">
        <v>669.85</v>
      </c>
      <c r="N696" s="1" t="s">
        <v>2090</v>
      </c>
    </row>
    <row r="697" spans="1:14">
      <c r="A697" s="1" t="s">
        <v>709</v>
      </c>
      <c r="B697" s="2">
        <v>45545</v>
      </c>
      <c r="C697" s="1" t="s">
        <v>2014</v>
      </c>
      <c r="D697" s="1" t="s">
        <v>2034</v>
      </c>
      <c r="E697" s="1" t="s">
        <v>2047</v>
      </c>
      <c r="F697" s="1" t="s">
        <v>2050</v>
      </c>
      <c r="G697" s="1" t="s">
        <v>2070</v>
      </c>
      <c r="H697" s="1" t="s">
        <v>2087</v>
      </c>
      <c r="I697" s="1">
        <v>8</v>
      </c>
      <c r="J697" s="1">
        <v>7869.6</v>
      </c>
      <c r="K697" s="1">
        <v>14.82</v>
      </c>
      <c r="L697" s="1">
        <v>53626.6</v>
      </c>
      <c r="M697" s="1">
        <v>14336.43</v>
      </c>
      <c r="N697" s="1" t="s">
        <v>2089</v>
      </c>
    </row>
    <row r="698" spans="1:14">
      <c r="A698" s="1" t="s">
        <v>710</v>
      </c>
      <c r="B698" s="2">
        <v>45546</v>
      </c>
      <c r="C698" s="1" t="s">
        <v>2021</v>
      </c>
      <c r="D698" s="1" t="s">
        <v>2035</v>
      </c>
      <c r="E698" s="1" t="s">
        <v>2044</v>
      </c>
      <c r="F698" s="1" t="s">
        <v>2052</v>
      </c>
      <c r="G698" s="1" t="s">
        <v>2083</v>
      </c>
      <c r="H698" s="1" t="s">
        <v>2087</v>
      </c>
      <c r="I698" s="1">
        <v>8</v>
      </c>
      <c r="J698" s="1">
        <v>2583.16</v>
      </c>
      <c r="K698" s="1">
        <v>16.52</v>
      </c>
      <c r="L698" s="1">
        <v>17251.38</v>
      </c>
      <c r="M698" s="1">
        <v>1692.76</v>
      </c>
      <c r="N698" s="1" t="s">
        <v>2090</v>
      </c>
    </row>
    <row r="699" spans="1:14">
      <c r="A699" s="1" t="s">
        <v>711</v>
      </c>
      <c r="B699" s="2">
        <v>45546</v>
      </c>
      <c r="C699" s="1" t="s">
        <v>2027</v>
      </c>
      <c r="D699" s="1" t="s">
        <v>2036</v>
      </c>
      <c r="E699" s="1" t="s">
        <v>2047</v>
      </c>
      <c r="F699" s="1" t="s">
        <v>2049</v>
      </c>
      <c r="G699" s="1" t="s">
        <v>2082</v>
      </c>
      <c r="H699" s="1" t="s">
        <v>2085</v>
      </c>
      <c r="I699" s="1">
        <v>2</v>
      </c>
      <c r="J699" s="1">
        <v>1060.07</v>
      </c>
      <c r="K699" s="1">
        <v>16.39</v>
      </c>
      <c r="L699" s="1">
        <v>1772.65</v>
      </c>
      <c r="M699" s="1">
        <v>129.12</v>
      </c>
      <c r="N699" s="1" t="s">
        <v>2088</v>
      </c>
    </row>
    <row r="700" spans="1:14">
      <c r="A700" s="1" t="s">
        <v>712</v>
      </c>
      <c r="B700" s="2">
        <v>45546</v>
      </c>
      <c r="C700" s="1" t="s">
        <v>2019</v>
      </c>
      <c r="D700" s="1" t="s">
        <v>2037</v>
      </c>
      <c r="E700" s="1" t="s">
        <v>2046</v>
      </c>
      <c r="F700" s="1" t="s">
        <v>2049</v>
      </c>
      <c r="G700" s="1" t="s">
        <v>2055</v>
      </c>
      <c r="H700" s="1" t="s">
        <v>2087</v>
      </c>
      <c r="I700" s="1">
        <v>6</v>
      </c>
      <c r="J700" s="1">
        <v>1233.3900000000001</v>
      </c>
      <c r="K700" s="1">
        <v>28.43</v>
      </c>
      <c r="L700" s="1">
        <v>5296.42</v>
      </c>
      <c r="M700" s="1">
        <v>789.95</v>
      </c>
      <c r="N700" s="1" t="s">
        <v>2090</v>
      </c>
    </row>
    <row r="701" spans="1:14">
      <c r="A701" s="1" t="s">
        <v>713</v>
      </c>
      <c r="B701" s="2">
        <v>45547</v>
      </c>
      <c r="C701" s="1" t="s">
        <v>2019</v>
      </c>
      <c r="D701" s="1" t="s">
        <v>2038</v>
      </c>
      <c r="E701" s="1" t="s">
        <v>2044</v>
      </c>
      <c r="F701" s="1" t="s">
        <v>2054</v>
      </c>
      <c r="G701" s="1" t="s">
        <v>2063</v>
      </c>
      <c r="H701" s="1" t="s">
        <v>2085</v>
      </c>
      <c r="I701" s="1">
        <v>9</v>
      </c>
      <c r="J701" s="1">
        <v>23082.639999999999</v>
      </c>
      <c r="K701" s="1">
        <v>29.84</v>
      </c>
      <c r="L701" s="1">
        <v>145753.01999999999</v>
      </c>
      <c r="M701" s="1">
        <v>42507.37</v>
      </c>
      <c r="N701" s="1" t="s">
        <v>2089</v>
      </c>
    </row>
    <row r="702" spans="1:14">
      <c r="A702" s="1" t="s">
        <v>714</v>
      </c>
      <c r="B702" s="2">
        <v>45547</v>
      </c>
      <c r="C702" s="1" t="s">
        <v>2025</v>
      </c>
      <c r="D702" s="1" t="s">
        <v>2039</v>
      </c>
      <c r="E702" s="1" t="s">
        <v>2048</v>
      </c>
      <c r="F702" s="1" t="s">
        <v>2049</v>
      </c>
      <c r="G702" s="1" t="s">
        <v>2058</v>
      </c>
      <c r="H702" s="1" t="s">
        <v>2086</v>
      </c>
      <c r="I702" s="1">
        <v>8</v>
      </c>
      <c r="J702" s="1">
        <v>2237.9699999999998</v>
      </c>
      <c r="K702" s="1">
        <v>20.260000000000002</v>
      </c>
      <c r="L702" s="1">
        <v>14276.46</v>
      </c>
      <c r="M702" s="1">
        <v>1448.64</v>
      </c>
      <c r="N702" s="1" t="s">
        <v>2092</v>
      </c>
    </row>
    <row r="703" spans="1:14">
      <c r="A703" s="1" t="s">
        <v>715</v>
      </c>
      <c r="B703" s="2">
        <v>45547</v>
      </c>
      <c r="C703" s="1" t="s">
        <v>2027</v>
      </c>
      <c r="D703" s="1" t="s">
        <v>2040</v>
      </c>
      <c r="E703" s="1" t="s">
        <v>2046</v>
      </c>
      <c r="F703" s="1" t="s">
        <v>2052</v>
      </c>
      <c r="G703" s="1" t="s">
        <v>2059</v>
      </c>
      <c r="H703" s="1" t="s">
        <v>2085</v>
      </c>
      <c r="I703" s="1">
        <v>9</v>
      </c>
      <c r="J703" s="1">
        <v>7640.54</v>
      </c>
      <c r="K703" s="1">
        <v>18.59</v>
      </c>
      <c r="L703" s="1">
        <v>55981.47</v>
      </c>
      <c r="M703" s="1">
        <v>3882.48</v>
      </c>
      <c r="N703" s="1" t="s">
        <v>2090</v>
      </c>
    </row>
    <row r="704" spans="1:14">
      <c r="A704" s="1" t="s">
        <v>716</v>
      </c>
      <c r="B704" s="2">
        <v>45548</v>
      </c>
      <c r="C704" s="1" t="s">
        <v>2016</v>
      </c>
      <c r="D704" s="1" t="s">
        <v>2041</v>
      </c>
      <c r="E704" s="1" t="s">
        <v>2047</v>
      </c>
      <c r="F704" s="1" t="s">
        <v>2050</v>
      </c>
      <c r="G704" s="1" t="s">
        <v>2056</v>
      </c>
      <c r="H704" s="1" t="s">
        <v>2087</v>
      </c>
      <c r="I704" s="1">
        <v>10</v>
      </c>
      <c r="J704" s="1">
        <v>5060.79</v>
      </c>
      <c r="K704" s="1">
        <v>23.44</v>
      </c>
      <c r="L704" s="1">
        <v>38745.410000000003</v>
      </c>
      <c r="M704" s="1">
        <v>8749.4599999999991</v>
      </c>
      <c r="N704" s="1" t="s">
        <v>2090</v>
      </c>
    </row>
    <row r="705" spans="1:14">
      <c r="A705" s="1" t="s">
        <v>717</v>
      </c>
      <c r="B705" s="2">
        <v>45548</v>
      </c>
      <c r="C705" s="1" t="s">
        <v>2019</v>
      </c>
      <c r="D705" s="1" t="s">
        <v>2042</v>
      </c>
      <c r="E705" s="1" t="s">
        <v>2048</v>
      </c>
      <c r="F705" s="1" t="s">
        <v>2049</v>
      </c>
      <c r="G705" s="1" t="s">
        <v>2058</v>
      </c>
      <c r="H705" s="1" t="s">
        <v>2086</v>
      </c>
      <c r="I705" s="1">
        <v>1</v>
      </c>
      <c r="J705" s="1">
        <v>106.55</v>
      </c>
      <c r="K705" s="1">
        <v>12.96</v>
      </c>
      <c r="L705" s="1">
        <v>92.74</v>
      </c>
      <c r="M705" s="1">
        <v>5.4</v>
      </c>
      <c r="N705" s="1" t="s">
        <v>2089</v>
      </c>
    </row>
    <row r="706" spans="1:14">
      <c r="A706" s="1" t="s">
        <v>718</v>
      </c>
      <c r="B706" s="2">
        <v>45549</v>
      </c>
      <c r="C706" s="1" t="s">
        <v>2023</v>
      </c>
      <c r="D706" s="1" t="s">
        <v>2043</v>
      </c>
      <c r="E706" s="1" t="s">
        <v>2047</v>
      </c>
      <c r="F706" s="1" t="s">
        <v>2052</v>
      </c>
      <c r="G706" s="1" t="s">
        <v>2072</v>
      </c>
      <c r="H706" s="1" t="s">
        <v>2086</v>
      </c>
      <c r="I706" s="1">
        <v>8</v>
      </c>
      <c r="J706" s="1">
        <v>2506.7600000000002</v>
      </c>
      <c r="K706" s="1">
        <v>14.83</v>
      </c>
      <c r="L706" s="1">
        <v>17080.060000000001</v>
      </c>
      <c r="M706" s="1">
        <v>4760.3599999999997</v>
      </c>
      <c r="N706" s="1" t="s">
        <v>2088</v>
      </c>
    </row>
    <row r="707" spans="1:14">
      <c r="A707" s="1" t="s">
        <v>719</v>
      </c>
      <c r="B707" s="2">
        <v>45549</v>
      </c>
      <c r="C707" s="1" t="s">
        <v>2026</v>
      </c>
      <c r="D707" s="1" t="s">
        <v>2029</v>
      </c>
      <c r="E707" s="1" t="s">
        <v>2044</v>
      </c>
      <c r="F707" s="1" t="s">
        <v>2049</v>
      </c>
      <c r="G707" s="1" t="s">
        <v>2074</v>
      </c>
      <c r="H707" s="1" t="s">
        <v>2085</v>
      </c>
      <c r="I707" s="1">
        <v>1</v>
      </c>
      <c r="J707" s="1">
        <v>797.47</v>
      </c>
      <c r="K707" s="1">
        <v>26.85</v>
      </c>
      <c r="L707" s="1">
        <v>583.35</v>
      </c>
      <c r="M707" s="1">
        <v>112.87</v>
      </c>
      <c r="N707" s="1" t="s">
        <v>2092</v>
      </c>
    </row>
    <row r="708" spans="1:14">
      <c r="A708" s="1" t="s">
        <v>720</v>
      </c>
      <c r="B708" s="2">
        <v>45549</v>
      </c>
      <c r="C708" s="1" t="s">
        <v>2016</v>
      </c>
      <c r="D708" s="1" t="s">
        <v>2030</v>
      </c>
      <c r="E708" s="1" t="s">
        <v>2048</v>
      </c>
      <c r="F708" s="1" t="s">
        <v>2050</v>
      </c>
      <c r="G708" s="1" t="s">
        <v>2070</v>
      </c>
      <c r="H708" s="1" t="s">
        <v>2087</v>
      </c>
      <c r="I708" s="1">
        <v>5</v>
      </c>
      <c r="J708" s="1">
        <v>3422.13</v>
      </c>
      <c r="K708" s="1">
        <v>29.52</v>
      </c>
      <c r="L708" s="1">
        <v>12059.59</v>
      </c>
      <c r="M708" s="1">
        <v>1484.08</v>
      </c>
      <c r="N708" s="1" t="s">
        <v>2092</v>
      </c>
    </row>
    <row r="709" spans="1:14">
      <c r="A709" s="1" t="s">
        <v>721</v>
      </c>
      <c r="B709" s="2">
        <v>45550</v>
      </c>
      <c r="C709" s="1" t="s">
        <v>2026</v>
      </c>
      <c r="D709" s="1" t="s">
        <v>2031</v>
      </c>
      <c r="E709" s="1" t="s">
        <v>2048</v>
      </c>
      <c r="F709" s="1" t="s">
        <v>2050</v>
      </c>
      <c r="G709" s="1" t="s">
        <v>2064</v>
      </c>
      <c r="H709" s="1" t="s">
        <v>2086</v>
      </c>
      <c r="I709" s="1">
        <v>7</v>
      </c>
      <c r="J709" s="1">
        <v>7066.35</v>
      </c>
      <c r="K709" s="1">
        <v>5.9</v>
      </c>
      <c r="L709" s="1">
        <v>46546.05</v>
      </c>
      <c r="M709" s="1">
        <v>13350.57</v>
      </c>
      <c r="N709" s="1" t="s">
        <v>2088</v>
      </c>
    </row>
    <row r="710" spans="1:14">
      <c r="A710" s="1" t="s">
        <v>722</v>
      </c>
      <c r="B710" s="2">
        <v>45550</v>
      </c>
      <c r="C710" s="1" t="s">
        <v>2022</v>
      </c>
      <c r="D710" s="1" t="s">
        <v>2032</v>
      </c>
      <c r="E710" s="1" t="s">
        <v>2044</v>
      </c>
      <c r="F710" s="1" t="s">
        <v>2049</v>
      </c>
      <c r="G710" s="1" t="s">
        <v>2082</v>
      </c>
      <c r="H710" s="1" t="s">
        <v>2087</v>
      </c>
      <c r="I710" s="1">
        <v>5</v>
      </c>
      <c r="J710" s="1">
        <v>2839.86</v>
      </c>
      <c r="K710" s="1">
        <v>20.3</v>
      </c>
      <c r="L710" s="1">
        <v>11316.84</v>
      </c>
      <c r="M710" s="1">
        <v>1419.09</v>
      </c>
      <c r="N710" s="1" t="s">
        <v>2088</v>
      </c>
    </row>
    <row r="711" spans="1:14">
      <c r="A711" s="1" t="s">
        <v>723</v>
      </c>
      <c r="B711" s="2">
        <v>45550</v>
      </c>
      <c r="C711" s="1" t="s">
        <v>2022</v>
      </c>
      <c r="D711" s="1" t="s">
        <v>2033</v>
      </c>
      <c r="E711" s="1" t="s">
        <v>2044</v>
      </c>
      <c r="F711" s="1" t="s">
        <v>2054</v>
      </c>
      <c r="G711" s="1" t="s">
        <v>2063</v>
      </c>
      <c r="H711" s="1" t="s">
        <v>2085</v>
      </c>
      <c r="I711" s="1">
        <v>10</v>
      </c>
      <c r="J711" s="1">
        <v>41304.21</v>
      </c>
      <c r="K711" s="1">
        <v>3.22</v>
      </c>
      <c r="L711" s="1">
        <v>399742.14</v>
      </c>
      <c r="M711" s="1">
        <v>62308.01</v>
      </c>
      <c r="N711" s="1" t="s">
        <v>2088</v>
      </c>
    </row>
    <row r="712" spans="1:14">
      <c r="A712" s="1" t="s">
        <v>724</v>
      </c>
      <c r="B712" s="2">
        <v>45551</v>
      </c>
      <c r="C712" s="1" t="s">
        <v>2026</v>
      </c>
      <c r="D712" s="1" t="s">
        <v>2034</v>
      </c>
      <c r="E712" s="1" t="s">
        <v>2048</v>
      </c>
      <c r="F712" s="1" t="s">
        <v>2053</v>
      </c>
      <c r="G712" s="1" t="s">
        <v>2076</v>
      </c>
      <c r="H712" s="1" t="s">
        <v>2087</v>
      </c>
      <c r="I712" s="1">
        <v>4</v>
      </c>
      <c r="J712" s="1">
        <v>500.44</v>
      </c>
      <c r="K712" s="1">
        <v>27.71</v>
      </c>
      <c r="L712" s="1">
        <v>1447.07</v>
      </c>
      <c r="M712" s="1">
        <v>369.54</v>
      </c>
      <c r="N712" s="1" t="s">
        <v>2092</v>
      </c>
    </row>
    <row r="713" spans="1:14">
      <c r="A713" s="1" t="s">
        <v>725</v>
      </c>
      <c r="B713" s="2">
        <v>45551</v>
      </c>
      <c r="C713" s="1" t="s">
        <v>2023</v>
      </c>
      <c r="D713" s="1" t="s">
        <v>2035</v>
      </c>
      <c r="E713" s="1" t="s">
        <v>2046</v>
      </c>
      <c r="F713" s="1" t="s">
        <v>2053</v>
      </c>
      <c r="G713" s="1" t="s">
        <v>2067</v>
      </c>
      <c r="H713" s="1" t="s">
        <v>2086</v>
      </c>
      <c r="I713" s="1">
        <v>7</v>
      </c>
      <c r="J713" s="1">
        <v>142.41</v>
      </c>
      <c r="K713" s="1">
        <v>3.08</v>
      </c>
      <c r="L713" s="1">
        <v>966.17</v>
      </c>
      <c r="M713" s="1">
        <v>89.9</v>
      </c>
      <c r="N713" s="1" t="s">
        <v>2089</v>
      </c>
    </row>
    <row r="714" spans="1:14">
      <c r="A714" s="1" t="s">
        <v>726</v>
      </c>
      <c r="B714" s="2">
        <v>45552</v>
      </c>
      <c r="C714" s="1" t="s">
        <v>2023</v>
      </c>
      <c r="D714" s="1" t="s">
        <v>2036</v>
      </c>
      <c r="E714" s="1" t="s">
        <v>2044</v>
      </c>
      <c r="F714" s="1" t="s">
        <v>2054</v>
      </c>
      <c r="G714" s="1" t="s">
        <v>2063</v>
      </c>
      <c r="H714" s="1" t="s">
        <v>2087</v>
      </c>
      <c r="I714" s="1">
        <v>5</v>
      </c>
      <c r="J714" s="1">
        <v>15082.18</v>
      </c>
      <c r="K714" s="1">
        <v>0.21</v>
      </c>
      <c r="L714" s="1">
        <v>75252.539999999994</v>
      </c>
      <c r="M714" s="1">
        <v>12548.7</v>
      </c>
      <c r="N714" s="1" t="s">
        <v>2092</v>
      </c>
    </row>
    <row r="715" spans="1:14">
      <c r="A715" s="1" t="s">
        <v>727</v>
      </c>
      <c r="B715" s="2">
        <v>45552</v>
      </c>
      <c r="C715" s="1" t="s">
        <v>2025</v>
      </c>
      <c r="D715" s="1" t="s">
        <v>2037</v>
      </c>
      <c r="E715" s="1" t="s">
        <v>2046</v>
      </c>
      <c r="F715" s="1" t="s">
        <v>2050</v>
      </c>
      <c r="G715" s="1" t="s">
        <v>2070</v>
      </c>
      <c r="H715" s="1" t="s">
        <v>2085</v>
      </c>
      <c r="I715" s="1">
        <v>2</v>
      </c>
      <c r="J715" s="1">
        <v>1124.1199999999999</v>
      </c>
      <c r="K715" s="1">
        <v>23.42</v>
      </c>
      <c r="L715" s="1">
        <v>1721.7</v>
      </c>
      <c r="M715" s="1">
        <v>477.86</v>
      </c>
      <c r="N715" s="1" t="s">
        <v>2088</v>
      </c>
    </row>
    <row r="716" spans="1:14">
      <c r="A716" s="1" t="s">
        <v>728</v>
      </c>
      <c r="B716" s="2">
        <v>45552</v>
      </c>
      <c r="C716" s="1" t="s">
        <v>2021</v>
      </c>
      <c r="D716" s="1" t="s">
        <v>2038</v>
      </c>
      <c r="E716" s="1" t="s">
        <v>2045</v>
      </c>
      <c r="F716" s="1" t="s">
        <v>2050</v>
      </c>
      <c r="G716" s="1" t="s">
        <v>2056</v>
      </c>
      <c r="H716" s="1" t="s">
        <v>2087</v>
      </c>
      <c r="I716" s="1">
        <v>1</v>
      </c>
      <c r="J716" s="1">
        <v>1057.26</v>
      </c>
      <c r="K716" s="1">
        <v>13.48</v>
      </c>
      <c r="L716" s="1">
        <v>914.74</v>
      </c>
      <c r="M716" s="1">
        <v>260.81</v>
      </c>
      <c r="N716" s="1" t="s">
        <v>2091</v>
      </c>
    </row>
    <row r="717" spans="1:14">
      <c r="A717" s="1" t="s">
        <v>729</v>
      </c>
      <c r="B717" s="2">
        <v>45553</v>
      </c>
      <c r="C717" s="1" t="s">
        <v>2019</v>
      </c>
      <c r="D717" s="1" t="s">
        <v>2039</v>
      </c>
      <c r="E717" s="1" t="s">
        <v>2047</v>
      </c>
      <c r="F717" s="1" t="s">
        <v>2054</v>
      </c>
      <c r="G717" s="1" t="s">
        <v>2063</v>
      </c>
      <c r="H717" s="1" t="s">
        <v>2087</v>
      </c>
      <c r="I717" s="1">
        <v>4</v>
      </c>
      <c r="J717" s="1">
        <v>5849.13</v>
      </c>
      <c r="K717" s="1">
        <v>8.0399999999999991</v>
      </c>
      <c r="L717" s="1">
        <v>21515.439999999999</v>
      </c>
      <c r="M717" s="1">
        <v>5982.41</v>
      </c>
      <c r="N717" s="1" t="s">
        <v>2091</v>
      </c>
    </row>
    <row r="718" spans="1:14">
      <c r="A718" s="1" t="s">
        <v>730</v>
      </c>
      <c r="B718" s="2">
        <v>45553</v>
      </c>
      <c r="C718" s="1" t="s">
        <v>2014</v>
      </c>
      <c r="D718" s="1" t="s">
        <v>2040</v>
      </c>
      <c r="E718" s="1" t="s">
        <v>2044</v>
      </c>
      <c r="F718" s="1" t="s">
        <v>2052</v>
      </c>
      <c r="G718" s="1" t="s">
        <v>2059</v>
      </c>
      <c r="H718" s="1" t="s">
        <v>2086</v>
      </c>
      <c r="I718" s="1">
        <v>4</v>
      </c>
      <c r="J718" s="1">
        <v>6342.18</v>
      </c>
      <c r="K718" s="1">
        <v>4.38</v>
      </c>
      <c r="L718" s="1">
        <v>24257.57</v>
      </c>
      <c r="M718" s="1">
        <v>6203.9</v>
      </c>
      <c r="N718" s="1" t="s">
        <v>2092</v>
      </c>
    </row>
    <row r="719" spans="1:14">
      <c r="A719" s="1" t="s">
        <v>731</v>
      </c>
      <c r="B719" s="2">
        <v>45553</v>
      </c>
      <c r="C719" s="1" t="s">
        <v>2027</v>
      </c>
      <c r="D719" s="1" t="s">
        <v>2041</v>
      </c>
      <c r="E719" s="1" t="s">
        <v>2048</v>
      </c>
      <c r="F719" s="1" t="s">
        <v>2052</v>
      </c>
      <c r="G719" s="1" t="s">
        <v>2059</v>
      </c>
      <c r="H719" s="1" t="s">
        <v>2085</v>
      </c>
      <c r="I719" s="1">
        <v>6</v>
      </c>
      <c r="J719" s="1">
        <v>365.75</v>
      </c>
      <c r="K719" s="1">
        <v>27.29</v>
      </c>
      <c r="L719" s="1">
        <v>1595.62</v>
      </c>
      <c r="M719" s="1">
        <v>187.34</v>
      </c>
      <c r="N719" s="1" t="s">
        <v>2090</v>
      </c>
    </row>
    <row r="720" spans="1:14">
      <c r="A720" s="1" t="s">
        <v>732</v>
      </c>
      <c r="B720" s="2">
        <v>45554</v>
      </c>
      <c r="C720" s="1" t="s">
        <v>2018</v>
      </c>
      <c r="D720" s="1" t="s">
        <v>2042</v>
      </c>
      <c r="E720" s="1" t="s">
        <v>2045</v>
      </c>
      <c r="F720" s="1" t="s">
        <v>2049</v>
      </c>
      <c r="G720" s="1" t="s">
        <v>2071</v>
      </c>
      <c r="H720" s="1" t="s">
        <v>2086</v>
      </c>
      <c r="I720" s="1">
        <v>4</v>
      </c>
      <c r="J720" s="1">
        <v>2751.65</v>
      </c>
      <c r="K720" s="1">
        <v>15.09</v>
      </c>
      <c r="L720" s="1">
        <v>9345.7000000000007</v>
      </c>
      <c r="M720" s="1">
        <v>2325</v>
      </c>
      <c r="N720" s="1" t="s">
        <v>2090</v>
      </c>
    </row>
    <row r="721" spans="1:14">
      <c r="A721" s="1" t="s">
        <v>733</v>
      </c>
      <c r="B721" s="2">
        <v>45554</v>
      </c>
      <c r="C721" s="1" t="s">
        <v>2020</v>
      </c>
      <c r="D721" s="1" t="s">
        <v>2043</v>
      </c>
      <c r="E721" s="1" t="s">
        <v>2047</v>
      </c>
      <c r="F721" s="1" t="s">
        <v>2054</v>
      </c>
      <c r="G721" s="1" t="s">
        <v>2081</v>
      </c>
      <c r="H721" s="1" t="s">
        <v>2085</v>
      </c>
      <c r="I721" s="1">
        <v>1</v>
      </c>
      <c r="J721" s="1">
        <v>24304.14</v>
      </c>
      <c r="K721" s="1">
        <v>3</v>
      </c>
      <c r="L721" s="1">
        <v>23575.02</v>
      </c>
      <c r="M721" s="1">
        <v>2780.19</v>
      </c>
      <c r="N721" s="1" t="s">
        <v>2090</v>
      </c>
    </row>
    <row r="722" spans="1:14">
      <c r="A722" s="1" t="s">
        <v>734</v>
      </c>
      <c r="B722" s="2">
        <v>45554</v>
      </c>
      <c r="C722" s="1" t="s">
        <v>2020</v>
      </c>
      <c r="D722" s="1" t="s">
        <v>2029</v>
      </c>
      <c r="E722" s="1" t="s">
        <v>2045</v>
      </c>
      <c r="F722" s="1" t="s">
        <v>2052</v>
      </c>
      <c r="G722" s="1" t="s">
        <v>2083</v>
      </c>
      <c r="H722" s="1" t="s">
        <v>2086</v>
      </c>
      <c r="I722" s="1">
        <v>10</v>
      </c>
      <c r="J722" s="1">
        <v>4114.4399999999996</v>
      </c>
      <c r="K722" s="1">
        <v>12.57</v>
      </c>
      <c r="L722" s="1">
        <v>35972.550000000003</v>
      </c>
      <c r="M722" s="1">
        <v>6426.15</v>
      </c>
      <c r="N722" s="1" t="s">
        <v>2088</v>
      </c>
    </row>
    <row r="723" spans="1:14">
      <c r="A723" s="1" t="s">
        <v>735</v>
      </c>
      <c r="B723" s="2">
        <v>45555</v>
      </c>
      <c r="C723" s="1" t="s">
        <v>2015</v>
      </c>
      <c r="D723" s="1" t="s">
        <v>2030</v>
      </c>
      <c r="E723" s="1" t="s">
        <v>2047</v>
      </c>
      <c r="F723" s="1" t="s">
        <v>2050</v>
      </c>
      <c r="G723" s="1" t="s">
        <v>2084</v>
      </c>
      <c r="H723" s="1" t="s">
        <v>2087</v>
      </c>
      <c r="I723" s="1">
        <v>2</v>
      </c>
      <c r="J723" s="1">
        <v>839.53</v>
      </c>
      <c r="K723" s="1">
        <v>1.7</v>
      </c>
      <c r="L723" s="1">
        <v>1650.52</v>
      </c>
      <c r="M723" s="1">
        <v>132.19999999999999</v>
      </c>
      <c r="N723" s="1" t="s">
        <v>2090</v>
      </c>
    </row>
    <row r="724" spans="1:14">
      <c r="A724" s="1" t="s">
        <v>736</v>
      </c>
      <c r="B724" s="2">
        <v>45555</v>
      </c>
      <c r="C724" s="1" t="s">
        <v>2017</v>
      </c>
      <c r="D724" s="1" t="s">
        <v>2031</v>
      </c>
      <c r="E724" s="1" t="s">
        <v>2048</v>
      </c>
      <c r="F724" s="1" t="s">
        <v>2052</v>
      </c>
      <c r="G724" s="1" t="s">
        <v>2065</v>
      </c>
      <c r="H724" s="1" t="s">
        <v>2087</v>
      </c>
      <c r="I724" s="1">
        <v>10</v>
      </c>
      <c r="J724" s="1">
        <v>819.19</v>
      </c>
      <c r="K724" s="1">
        <v>18.329999999999998</v>
      </c>
      <c r="L724" s="1">
        <v>6690.32</v>
      </c>
      <c r="M724" s="1">
        <v>1979.89</v>
      </c>
      <c r="N724" s="1" t="s">
        <v>2090</v>
      </c>
    </row>
    <row r="725" spans="1:14">
      <c r="A725" s="1" t="s">
        <v>737</v>
      </c>
      <c r="B725" s="2">
        <v>45556</v>
      </c>
      <c r="C725" s="1" t="s">
        <v>2014</v>
      </c>
      <c r="D725" s="1" t="s">
        <v>2032</v>
      </c>
      <c r="E725" s="1" t="s">
        <v>2046</v>
      </c>
      <c r="F725" s="1" t="s">
        <v>2052</v>
      </c>
      <c r="G725" s="1" t="s">
        <v>2072</v>
      </c>
      <c r="H725" s="1" t="s">
        <v>2087</v>
      </c>
      <c r="I725" s="1">
        <v>3</v>
      </c>
      <c r="J725" s="1">
        <v>4850.43</v>
      </c>
      <c r="K725" s="1">
        <v>24.48</v>
      </c>
      <c r="L725" s="1">
        <v>10989.13</v>
      </c>
      <c r="M725" s="1">
        <v>1736.47</v>
      </c>
      <c r="N725" s="1" t="s">
        <v>2091</v>
      </c>
    </row>
    <row r="726" spans="1:14">
      <c r="A726" s="1" t="s">
        <v>738</v>
      </c>
      <c r="B726" s="2">
        <v>45556</v>
      </c>
      <c r="C726" s="1" t="s">
        <v>2026</v>
      </c>
      <c r="D726" s="1" t="s">
        <v>2033</v>
      </c>
      <c r="E726" s="1" t="s">
        <v>2045</v>
      </c>
      <c r="F726" s="1" t="s">
        <v>2051</v>
      </c>
      <c r="G726" s="1" t="s">
        <v>2069</v>
      </c>
      <c r="H726" s="1" t="s">
        <v>2087</v>
      </c>
      <c r="I726" s="1">
        <v>1</v>
      </c>
      <c r="J726" s="1">
        <v>28883.16</v>
      </c>
      <c r="K726" s="1">
        <v>7.46</v>
      </c>
      <c r="L726" s="1">
        <v>26728.48</v>
      </c>
      <c r="M726" s="1">
        <v>7418.6</v>
      </c>
      <c r="N726" s="1" t="s">
        <v>2088</v>
      </c>
    </row>
    <row r="727" spans="1:14">
      <c r="A727" s="1" t="s">
        <v>739</v>
      </c>
      <c r="B727" s="2">
        <v>45556</v>
      </c>
      <c r="C727" s="1" t="s">
        <v>2026</v>
      </c>
      <c r="D727" s="1" t="s">
        <v>2034</v>
      </c>
      <c r="E727" s="1" t="s">
        <v>2048</v>
      </c>
      <c r="F727" s="1" t="s">
        <v>2052</v>
      </c>
      <c r="G727" s="1" t="s">
        <v>2065</v>
      </c>
      <c r="H727" s="1" t="s">
        <v>2086</v>
      </c>
      <c r="I727" s="1">
        <v>2</v>
      </c>
      <c r="J727" s="1">
        <v>3583.59</v>
      </c>
      <c r="K727" s="1">
        <v>5.18</v>
      </c>
      <c r="L727" s="1">
        <v>6795.92</v>
      </c>
      <c r="M727" s="1">
        <v>1396.53</v>
      </c>
      <c r="N727" s="1" t="s">
        <v>2091</v>
      </c>
    </row>
    <row r="728" spans="1:14">
      <c r="A728" s="1" t="s">
        <v>740</v>
      </c>
      <c r="B728" s="2">
        <v>45557</v>
      </c>
      <c r="C728" s="1" t="s">
        <v>2022</v>
      </c>
      <c r="D728" s="1" t="s">
        <v>2035</v>
      </c>
      <c r="E728" s="1" t="s">
        <v>2044</v>
      </c>
      <c r="F728" s="1" t="s">
        <v>2050</v>
      </c>
      <c r="G728" s="1" t="s">
        <v>2070</v>
      </c>
      <c r="H728" s="1" t="s">
        <v>2086</v>
      </c>
      <c r="I728" s="1">
        <v>8</v>
      </c>
      <c r="J728" s="1">
        <v>6951.18</v>
      </c>
      <c r="K728" s="1">
        <v>12.2</v>
      </c>
      <c r="L728" s="1">
        <v>48825.09</v>
      </c>
      <c r="M728" s="1">
        <v>11746.84</v>
      </c>
      <c r="N728" s="1" t="s">
        <v>2089</v>
      </c>
    </row>
    <row r="729" spans="1:14">
      <c r="A729" s="1" t="s">
        <v>741</v>
      </c>
      <c r="B729" s="2">
        <v>45557</v>
      </c>
      <c r="C729" s="1" t="s">
        <v>2028</v>
      </c>
      <c r="D729" s="1" t="s">
        <v>2036</v>
      </c>
      <c r="E729" s="1" t="s">
        <v>2048</v>
      </c>
      <c r="F729" s="1" t="s">
        <v>2051</v>
      </c>
      <c r="G729" s="1" t="s">
        <v>2080</v>
      </c>
      <c r="H729" s="1" t="s">
        <v>2086</v>
      </c>
      <c r="I729" s="1">
        <v>3</v>
      </c>
      <c r="J729" s="1">
        <v>21202.6</v>
      </c>
      <c r="K729" s="1">
        <v>0.22</v>
      </c>
      <c r="L729" s="1">
        <v>63467.86</v>
      </c>
      <c r="M729" s="1">
        <v>9880.15</v>
      </c>
      <c r="N729" s="1" t="s">
        <v>2090</v>
      </c>
    </row>
    <row r="730" spans="1:14">
      <c r="A730" s="1" t="s">
        <v>742</v>
      </c>
      <c r="B730" s="2">
        <v>45557</v>
      </c>
      <c r="C730" s="1" t="s">
        <v>2027</v>
      </c>
      <c r="D730" s="1" t="s">
        <v>2037</v>
      </c>
      <c r="E730" s="1" t="s">
        <v>2046</v>
      </c>
      <c r="F730" s="1" t="s">
        <v>2050</v>
      </c>
      <c r="G730" s="1" t="s">
        <v>2084</v>
      </c>
      <c r="H730" s="1" t="s">
        <v>2085</v>
      </c>
      <c r="I730" s="1">
        <v>7</v>
      </c>
      <c r="J730" s="1">
        <v>3248.35</v>
      </c>
      <c r="K730" s="1">
        <v>5.34</v>
      </c>
      <c r="L730" s="1">
        <v>21524.22</v>
      </c>
      <c r="M730" s="1">
        <v>2968.84</v>
      </c>
      <c r="N730" s="1" t="s">
        <v>2090</v>
      </c>
    </row>
    <row r="731" spans="1:14">
      <c r="A731" s="1" t="s">
        <v>743</v>
      </c>
      <c r="B731" s="2">
        <v>45558</v>
      </c>
      <c r="C731" s="1" t="s">
        <v>2016</v>
      </c>
      <c r="D731" s="1" t="s">
        <v>2038</v>
      </c>
      <c r="E731" s="1" t="s">
        <v>2048</v>
      </c>
      <c r="F731" s="1" t="s">
        <v>2054</v>
      </c>
      <c r="G731" s="1" t="s">
        <v>2081</v>
      </c>
      <c r="H731" s="1" t="s">
        <v>2086</v>
      </c>
      <c r="I731" s="1">
        <v>5</v>
      </c>
      <c r="J731" s="1">
        <v>21034.880000000001</v>
      </c>
      <c r="K731" s="1">
        <v>26.01</v>
      </c>
      <c r="L731" s="1">
        <v>77818.539999999994</v>
      </c>
      <c r="M731" s="1">
        <v>16911.3</v>
      </c>
      <c r="N731" s="1" t="s">
        <v>2092</v>
      </c>
    </row>
    <row r="732" spans="1:14">
      <c r="A732" s="1" t="s">
        <v>744</v>
      </c>
      <c r="B732" s="2">
        <v>45558</v>
      </c>
      <c r="C732" s="1" t="s">
        <v>2023</v>
      </c>
      <c r="D732" s="1" t="s">
        <v>2039</v>
      </c>
      <c r="E732" s="1" t="s">
        <v>2048</v>
      </c>
      <c r="F732" s="1" t="s">
        <v>2051</v>
      </c>
      <c r="G732" s="1" t="s">
        <v>2057</v>
      </c>
      <c r="H732" s="1" t="s">
        <v>2087</v>
      </c>
      <c r="I732" s="1">
        <v>10</v>
      </c>
      <c r="J732" s="1">
        <v>14990.96</v>
      </c>
      <c r="K732" s="1">
        <v>29.87</v>
      </c>
      <c r="L732" s="1">
        <v>105131.6</v>
      </c>
      <c r="M732" s="1">
        <v>17877.2</v>
      </c>
      <c r="N732" s="1" t="s">
        <v>2092</v>
      </c>
    </row>
    <row r="733" spans="1:14">
      <c r="A733" s="1" t="s">
        <v>745</v>
      </c>
      <c r="B733" s="2">
        <v>45558</v>
      </c>
      <c r="C733" s="1" t="s">
        <v>2015</v>
      </c>
      <c r="D733" s="1" t="s">
        <v>2040</v>
      </c>
      <c r="E733" s="1" t="s">
        <v>2047</v>
      </c>
      <c r="F733" s="1" t="s">
        <v>2054</v>
      </c>
      <c r="G733" s="1" t="s">
        <v>2081</v>
      </c>
      <c r="H733" s="1" t="s">
        <v>2085</v>
      </c>
      <c r="I733" s="1">
        <v>6</v>
      </c>
      <c r="J733" s="1">
        <v>559.44000000000005</v>
      </c>
      <c r="K733" s="1">
        <v>17.82</v>
      </c>
      <c r="L733" s="1">
        <v>2758.49</v>
      </c>
      <c r="M733" s="1">
        <v>633.97</v>
      </c>
      <c r="N733" s="1" t="s">
        <v>2090</v>
      </c>
    </row>
    <row r="734" spans="1:14">
      <c r="A734" s="1" t="s">
        <v>746</v>
      </c>
      <c r="B734" s="2">
        <v>45559</v>
      </c>
      <c r="C734" s="1" t="s">
        <v>2016</v>
      </c>
      <c r="D734" s="1" t="s">
        <v>2041</v>
      </c>
      <c r="E734" s="1" t="s">
        <v>2047</v>
      </c>
      <c r="F734" s="1" t="s">
        <v>2051</v>
      </c>
      <c r="G734" s="1" t="s">
        <v>2061</v>
      </c>
      <c r="H734" s="1" t="s">
        <v>2085</v>
      </c>
      <c r="I734" s="1">
        <v>7</v>
      </c>
      <c r="J734" s="1">
        <v>37460.83</v>
      </c>
      <c r="K734" s="1">
        <v>19.11</v>
      </c>
      <c r="L734" s="1">
        <v>212114.46</v>
      </c>
      <c r="M734" s="1">
        <v>58260.83</v>
      </c>
      <c r="N734" s="1" t="s">
        <v>2090</v>
      </c>
    </row>
    <row r="735" spans="1:14">
      <c r="A735" s="1" t="s">
        <v>747</v>
      </c>
      <c r="B735" s="2">
        <v>45559</v>
      </c>
      <c r="C735" s="1" t="s">
        <v>2026</v>
      </c>
      <c r="D735" s="1" t="s">
        <v>2042</v>
      </c>
      <c r="E735" s="1" t="s">
        <v>2048</v>
      </c>
      <c r="F735" s="1" t="s">
        <v>2053</v>
      </c>
      <c r="G735" s="1" t="s">
        <v>2073</v>
      </c>
      <c r="H735" s="1" t="s">
        <v>2085</v>
      </c>
      <c r="I735" s="1">
        <v>10</v>
      </c>
      <c r="J735" s="1">
        <v>1967.16</v>
      </c>
      <c r="K735" s="1">
        <v>6.61</v>
      </c>
      <c r="L735" s="1">
        <v>18371.310000000001</v>
      </c>
      <c r="M735" s="1">
        <v>1674.39</v>
      </c>
      <c r="N735" s="1" t="s">
        <v>2092</v>
      </c>
    </row>
    <row r="736" spans="1:14">
      <c r="A736" s="1" t="s">
        <v>748</v>
      </c>
      <c r="B736" s="2">
        <v>45560</v>
      </c>
      <c r="C736" s="1" t="s">
        <v>2014</v>
      </c>
      <c r="D736" s="1" t="s">
        <v>2043</v>
      </c>
      <c r="E736" s="1" t="s">
        <v>2048</v>
      </c>
      <c r="F736" s="1" t="s">
        <v>2050</v>
      </c>
      <c r="G736" s="1" t="s">
        <v>2075</v>
      </c>
      <c r="H736" s="1" t="s">
        <v>2086</v>
      </c>
      <c r="I736" s="1">
        <v>2</v>
      </c>
      <c r="J736" s="1">
        <v>1264.27</v>
      </c>
      <c r="K736" s="1">
        <v>11.46</v>
      </c>
      <c r="L736" s="1">
        <v>2238.77</v>
      </c>
      <c r="M736" s="1">
        <v>127.74</v>
      </c>
      <c r="N736" s="1" t="s">
        <v>2089</v>
      </c>
    </row>
    <row r="737" spans="1:14">
      <c r="A737" s="1" t="s">
        <v>749</v>
      </c>
      <c r="B737" s="2">
        <v>45560</v>
      </c>
      <c r="C737" s="1" t="s">
        <v>2025</v>
      </c>
      <c r="D737" s="1" t="s">
        <v>2029</v>
      </c>
      <c r="E737" s="1" t="s">
        <v>2045</v>
      </c>
      <c r="F737" s="1" t="s">
        <v>2051</v>
      </c>
      <c r="G737" s="1" t="s">
        <v>2077</v>
      </c>
      <c r="H737" s="1" t="s">
        <v>2085</v>
      </c>
      <c r="I737" s="1">
        <v>4</v>
      </c>
      <c r="J737" s="1">
        <v>38526.300000000003</v>
      </c>
      <c r="K737" s="1">
        <v>28.93</v>
      </c>
      <c r="L737" s="1">
        <v>109522.57</v>
      </c>
      <c r="M737" s="1">
        <v>13401.08</v>
      </c>
      <c r="N737" s="1" t="s">
        <v>2089</v>
      </c>
    </row>
    <row r="738" spans="1:14">
      <c r="A738" s="1" t="s">
        <v>750</v>
      </c>
      <c r="B738" s="2">
        <v>45560</v>
      </c>
      <c r="C738" s="1" t="s">
        <v>2022</v>
      </c>
      <c r="D738" s="1" t="s">
        <v>2030</v>
      </c>
      <c r="E738" s="1" t="s">
        <v>2044</v>
      </c>
      <c r="F738" s="1" t="s">
        <v>2049</v>
      </c>
      <c r="G738" s="1" t="s">
        <v>2055</v>
      </c>
      <c r="H738" s="1" t="s">
        <v>2087</v>
      </c>
      <c r="I738" s="1">
        <v>2</v>
      </c>
      <c r="J738" s="1">
        <v>346.35</v>
      </c>
      <c r="K738" s="1">
        <v>15.27</v>
      </c>
      <c r="L738" s="1">
        <v>586.91999999999996</v>
      </c>
      <c r="M738" s="1">
        <v>32.97</v>
      </c>
      <c r="N738" s="1" t="s">
        <v>2088</v>
      </c>
    </row>
    <row r="739" spans="1:14">
      <c r="A739" s="1" t="s">
        <v>751</v>
      </c>
      <c r="B739" s="2">
        <v>45561</v>
      </c>
      <c r="C739" s="1" t="s">
        <v>2028</v>
      </c>
      <c r="D739" s="1" t="s">
        <v>2031</v>
      </c>
      <c r="E739" s="1" t="s">
        <v>2044</v>
      </c>
      <c r="F739" s="1" t="s">
        <v>2050</v>
      </c>
      <c r="G739" s="1" t="s">
        <v>2075</v>
      </c>
      <c r="H739" s="1" t="s">
        <v>2087</v>
      </c>
      <c r="I739" s="1">
        <v>3</v>
      </c>
      <c r="J739" s="1">
        <v>5191.54</v>
      </c>
      <c r="K739" s="1">
        <v>1.25</v>
      </c>
      <c r="L739" s="1">
        <v>15379.94</v>
      </c>
      <c r="M739" s="1">
        <v>1564.13</v>
      </c>
      <c r="N739" s="1" t="s">
        <v>2091</v>
      </c>
    </row>
    <row r="740" spans="1:14">
      <c r="A740" s="1" t="s">
        <v>752</v>
      </c>
      <c r="B740" s="2">
        <v>45561</v>
      </c>
      <c r="C740" s="1" t="s">
        <v>2027</v>
      </c>
      <c r="D740" s="1" t="s">
        <v>2032</v>
      </c>
      <c r="E740" s="1" t="s">
        <v>2045</v>
      </c>
      <c r="F740" s="1" t="s">
        <v>2050</v>
      </c>
      <c r="G740" s="1" t="s">
        <v>2075</v>
      </c>
      <c r="H740" s="1" t="s">
        <v>2086</v>
      </c>
      <c r="I740" s="1">
        <v>8</v>
      </c>
      <c r="J740" s="1">
        <v>354.61</v>
      </c>
      <c r="K740" s="1">
        <v>20.41</v>
      </c>
      <c r="L740" s="1">
        <v>2257.87</v>
      </c>
      <c r="M740" s="1">
        <v>578.83000000000004</v>
      </c>
      <c r="N740" s="1" t="s">
        <v>2092</v>
      </c>
    </row>
    <row r="741" spans="1:14">
      <c r="A741" s="1" t="s">
        <v>753</v>
      </c>
      <c r="B741" s="2">
        <v>45561</v>
      </c>
      <c r="C741" s="1" t="s">
        <v>2018</v>
      </c>
      <c r="D741" s="1" t="s">
        <v>2033</v>
      </c>
      <c r="E741" s="1" t="s">
        <v>2045</v>
      </c>
      <c r="F741" s="1" t="s">
        <v>2052</v>
      </c>
      <c r="G741" s="1" t="s">
        <v>2083</v>
      </c>
      <c r="H741" s="1" t="s">
        <v>2085</v>
      </c>
      <c r="I741" s="1">
        <v>1</v>
      </c>
      <c r="J741" s="1">
        <v>1391.73</v>
      </c>
      <c r="K741" s="1">
        <v>18.989999999999998</v>
      </c>
      <c r="L741" s="1">
        <v>1127.44</v>
      </c>
      <c r="M741" s="1">
        <v>309.77</v>
      </c>
      <c r="N741" s="1" t="s">
        <v>2091</v>
      </c>
    </row>
    <row r="742" spans="1:14">
      <c r="A742" s="1" t="s">
        <v>754</v>
      </c>
      <c r="B742" s="2">
        <v>45562</v>
      </c>
      <c r="C742" s="1" t="s">
        <v>2015</v>
      </c>
      <c r="D742" s="1" t="s">
        <v>2034</v>
      </c>
      <c r="E742" s="1" t="s">
        <v>2045</v>
      </c>
      <c r="F742" s="1" t="s">
        <v>2053</v>
      </c>
      <c r="G742" s="1" t="s">
        <v>2060</v>
      </c>
      <c r="H742" s="1" t="s">
        <v>2085</v>
      </c>
      <c r="I742" s="1">
        <v>10</v>
      </c>
      <c r="J742" s="1">
        <v>434.33</v>
      </c>
      <c r="K742" s="1">
        <v>15.61</v>
      </c>
      <c r="L742" s="1">
        <v>3665.31</v>
      </c>
      <c r="M742" s="1">
        <v>217.27</v>
      </c>
      <c r="N742" s="1" t="s">
        <v>2089</v>
      </c>
    </row>
    <row r="743" spans="1:14">
      <c r="A743" s="1" t="s">
        <v>755</v>
      </c>
      <c r="B743" s="2">
        <v>45562</v>
      </c>
      <c r="C743" s="1" t="s">
        <v>2018</v>
      </c>
      <c r="D743" s="1" t="s">
        <v>2035</v>
      </c>
      <c r="E743" s="1" t="s">
        <v>2045</v>
      </c>
      <c r="F743" s="1" t="s">
        <v>2051</v>
      </c>
      <c r="G743" s="1" t="s">
        <v>2069</v>
      </c>
      <c r="H743" s="1" t="s">
        <v>2085</v>
      </c>
      <c r="I743" s="1">
        <v>3</v>
      </c>
      <c r="J743" s="1">
        <v>33195.86</v>
      </c>
      <c r="K743" s="1">
        <v>23.74</v>
      </c>
      <c r="L743" s="1">
        <v>75945.490000000005</v>
      </c>
      <c r="M743" s="1">
        <v>7611.85</v>
      </c>
      <c r="N743" s="1" t="s">
        <v>2090</v>
      </c>
    </row>
    <row r="744" spans="1:14">
      <c r="A744" s="1" t="s">
        <v>756</v>
      </c>
      <c r="B744" s="2">
        <v>45562</v>
      </c>
      <c r="C744" s="1" t="s">
        <v>2016</v>
      </c>
      <c r="D744" s="1" t="s">
        <v>2036</v>
      </c>
      <c r="E744" s="1" t="s">
        <v>2045</v>
      </c>
      <c r="F744" s="1" t="s">
        <v>2050</v>
      </c>
      <c r="G744" s="1" t="s">
        <v>2056</v>
      </c>
      <c r="H744" s="1" t="s">
        <v>2086</v>
      </c>
      <c r="I744" s="1">
        <v>3</v>
      </c>
      <c r="J744" s="1">
        <v>4669.3100000000004</v>
      </c>
      <c r="K744" s="1">
        <v>11.31</v>
      </c>
      <c r="L744" s="1">
        <v>12423.63</v>
      </c>
      <c r="M744" s="1">
        <v>3618.16</v>
      </c>
      <c r="N744" s="1" t="s">
        <v>2088</v>
      </c>
    </row>
    <row r="745" spans="1:14">
      <c r="A745" s="1" t="s">
        <v>757</v>
      </c>
      <c r="B745" s="2">
        <v>45563</v>
      </c>
      <c r="C745" s="1" t="s">
        <v>2026</v>
      </c>
      <c r="D745" s="1" t="s">
        <v>2037</v>
      </c>
      <c r="E745" s="1" t="s">
        <v>2045</v>
      </c>
      <c r="F745" s="1" t="s">
        <v>2049</v>
      </c>
      <c r="G745" s="1" t="s">
        <v>2074</v>
      </c>
      <c r="H745" s="1" t="s">
        <v>2085</v>
      </c>
      <c r="I745" s="1">
        <v>7</v>
      </c>
      <c r="J745" s="1">
        <v>810.45</v>
      </c>
      <c r="K745" s="1">
        <v>21.04</v>
      </c>
      <c r="L745" s="1">
        <v>4479.5200000000004</v>
      </c>
      <c r="M745" s="1">
        <v>240.07</v>
      </c>
      <c r="N745" s="1" t="s">
        <v>2092</v>
      </c>
    </row>
    <row r="746" spans="1:14">
      <c r="A746" s="1" t="s">
        <v>758</v>
      </c>
      <c r="B746" s="2">
        <v>45563</v>
      </c>
      <c r="C746" s="1" t="s">
        <v>2026</v>
      </c>
      <c r="D746" s="1" t="s">
        <v>2038</v>
      </c>
      <c r="E746" s="1" t="s">
        <v>2048</v>
      </c>
      <c r="F746" s="1" t="s">
        <v>2053</v>
      </c>
      <c r="G746" s="1" t="s">
        <v>2067</v>
      </c>
      <c r="H746" s="1" t="s">
        <v>2087</v>
      </c>
      <c r="I746" s="1">
        <v>5</v>
      </c>
      <c r="J746" s="1">
        <v>1202.95</v>
      </c>
      <c r="K746" s="1">
        <v>14.97</v>
      </c>
      <c r="L746" s="1">
        <v>5114.34</v>
      </c>
      <c r="M746" s="1">
        <v>348.05</v>
      </c>
      <c r="N746" s="1" t="s">
        <v>2091</v>
      </c>
    </row>
    <row r="747" spans="1:14">
      <c r="A747" s="1" t="s">
        <v>759</v>
      </c>
      <c r="B747" s="2">
        <v>45564</v>
      </c>
      <c r="C747" s="1" t="s">
        <v>2020</v>
      </c>
      <c r="D747" s="1" t="s">
        <v>2039</v>
      </c>
      <c r="E747" s="1" t="s">
        <v>2046</v>
      </c>
      <c r="F747" s="1" t="s">
        <v>2051</v>
      </c>
      <c r="G747" s="1" t="s">
        <v>2077</v>
      </c>
      <c r="H747" s="1" t="s">
        <v>2085</v>
      </c>
      <c r="I747" s="1">
        <v>9</v>
      </c>
      <c r="J747" s="1">
        <v>32950.129999999997</v>
      </c>
      <c r="K747" s="1">
        <v>16.100000000000001</v>
      </c>
      <c r="L747" s="1">
        <v>248806.43</v>
      </c>
      <c r="M747" s="1">
        <v>65930.02</v>
      </c>
      <c r="N747" s="1" t="s">
        <v>2091</v>
      </c>
    </row>
    <row r="748" spans="1:14">
      <c r="A748" s="1" t="s">
        <v>760</v>
      </c>
      <c r="B748" s="2">
        <v>45564</v>
      </c>
      <c r="C748" s="1" t="s">
        <v>2018</v>
      </c>
      <c r="D748" s="1" t="s">
        <v>2040</v>
      </c>
      <c r="E748" s="1" t="s">
        <v>2044</v>
      </c>
      <c r="F748" s="1" t="s">
        <v>2050</v>
      </c>
      <c r="G748" s="1" t="s">
        <v>2064</v>
      </c>
      <c r="H748" s="1" t="s">
        <v>2085</v>
      </c>
      <c r="I748" s="1">
        <v>5</v>
      </c>
      <c r="J748" s="1">
        <v>4803.97</v>
      </c>
      <c r="K748" s="1">
        <v>7.99</v>
      </c>
      <c r="L748" s="1">
        <v>22100.66</v>
      </c>
      <c r="M748" s="1">
        <v>1278.21</v>
      </c>
      <c r="N748" s="1" t="s">
        <v>2088</v>
      </c>
    </row>
    <row r="749" spans="1:14">
      <c r="A749" s="1" t="s">
        <v>761</v>
      </c>
      <c r="B749" s="2">
        <v>45564</v>
      </c>
      <c r="C749" s="1" t="s">
        <v>2025</v>
      </c>
      <c r="D749" s="1" t="s">
        <v>2041</v>
      </c>
      <c r="E749" s="1" t="s">
        <v>2046</v>
      </c>
      <c r="F749" s="1" t="s">
        <v>2053</v>
      </c>
      <c r="G749" s="1" t="s">
        <v>2073</v>
      </c>
      <c r="H749" s="1" t="s">
        <v>2085</v>
      </c>
      <c r="I749" s="1">
        <v>8</v>
      </c>
      <c r="J749" s="1">
        <v>1350.12</v>
      </c>
      <c r="K749" s="1">
        <v>20.079999999999998</v>
      </c>
      <c r="L749" s="1">
        <v>8632.1299999999992</v>
      </c>
      <c r="M749" s="1">
        <v>2190.44</v>
      </c>
      <c r="N749" s="1" t="s">
        <v>2090</v>
      </c>
    </row>
    <row r="750" spans="1:14">
      <c r="A750" s="1" t="s">
        <v>762</v>
      </c>
      <c r="B750" s="2">
        <v>45565</v>
      </c>
      <c r="C750" s="1" t="s">
        <v>2016</v>
      </c>
      <c r="D750" s="1" t="s">
        <v>2042</v>
      </c>
      <c r="E750" s="1" t="s">
        <v>2047</v>
      </c>
      <c r="F750" s="1" t="s">
        <v>2051</v>
      </c>
      <c r="G750" s="1" t="s">
        <v>2077</v>
      </c>
      <c r="H750" s="1" t="s">
        <v>2085</v>
      </c>
      <c r="I750" s="1">
        <v>8</v>
      </c>
      <c r="J750" s="1">
        <v>4083.96</v>
      </c>
      <c r="K750" s="1">
        <v>13.43</v>
      </c>
      <c r="L750" s="1">
        <v>28283.87</v>
      </c>
      <c r="M750" s="1">
        <v>2134.67</v>
      </c>
      <c r="N750" s="1" t="s">
        <v>2088</v>
      </c>
    </row>
    <row r="751" spans="1:14">
      <c r="A751" s="1" t="s">
        <v>763</v>
      </c>
      <c r="B751" s="2">
        <v>45565</v>
      </c>
      <c r="C751" s="1" t="s">
        <v>2027</v>
      </c>
      <c r="D751" s="1" t="s">
        <v>2043</v>
      </c>
      <c r="E751" s="1" t="s">
        <v>2047</v>
      </c>
      <c r="F751" s="1" t="s">
        <v>2050</v>
      </c>
      <c r="G751" s="1" t="s">
        <v>2075</v>
      </c>
      <c r="H751" s="1" t="s">
        <v>2085</v>
      </c>
      <c r="I751" s="1">
        <v>4</v>
      </c>
      <c r="J751" s="1">
        <v>1044.1300000000001</v>
      </c>
      <c r="K751" s="1">
        <v>8.2200000000000006</v>
      </c>
      <c r="L751" s="1">
        <v>3833.21</v>
      </c>
      <c r="M751" s="1">
        <v>498.37</v>
      </c>
      <c r="N751" s="1" t="s">
        <v>2092</v>
      </c>
    </row>
    <row r="752" spans="1:14">
      <c r="A752" s="1" t="s">
        <v>764</v>
      </c>
      <c r="B752" s="2">
        <v>45565</v>
      </c>
      <c r="C752" s="1" t="s">
        <v>2026</v>
      </c>
      <c r="D752" s="1" t="s">
        <v>2029</v>
      </c>
      <c r="E752" s="1" t="s">
        <v>2045</v>
      </c>
      <c r="F752" s="1" t="s">
        <v>2049</v>
      </c>
      <c r="G752" s="1" t="s">
        <v>2082</v>
      </c>
      <c r="H752" s="1" t="s">
        <v>2086</v>
      </c>
      <c r="I752" s="1">
        <v>5</v>
      </c>
      <c r="J752" s="1">
        <v>424.98</v>
      </c>
      <c r="K752" s="1">
        <v>12.83</v>
      </c>
      <c r="L752" s="1">
        <v>1852.28</v>
      </c>
      <c r="M752" s="1">
        <v>167.1</v>
      </c>
      <c r="N752" s="1" t="s">
        <v>2090</v>
      </c>
    </row>
    <row r="753" spans="1:14">
      <c r="A753" s="1" t="s">
        <v>765</v>
      </c>
      <c r="B753" s="2">
        <v>45566</v>
      </c>
      <c r="C753" s="1" t="s">
        <v>2023</v>
      </c>
      <c r="D753" s="1" t="s">
        <v>2030</v>
      </c>
      <c r="E753" s="1" t="s">
        <v>2047</v>
      </c>
      <c r="F753" s="1" t="s">
        <v>2052</v>
      </c>
      <c r="G753" s="1" t="s">
        <v>2083</v>
      </c>
      <c r="H753" s="1" t="s">
        <v>2087</v>
      </c>
      <c r="I753" s="1">
        <v>1</v>
      </c>
      <c r="J753" s="1">
        <v>8183.33</v>
      </c>
      <c r="K753" s="1">
        <v>28.08</v>
      </c>
      <c r="L753" s="1">
        <v>5885.45</v>
      </c>
      <c r="M753" s="1">
        <v>1049.8399999999999</v>
      </c>
      <c r="N753" s="1" t="s">
        <v>2090</v>
      </c>
    </row>
    <row r="754" spans="1:14">
      <c r="A754" s="1" t="s">
        <v>766</v>
      </c>
      <c r="B754" s="2">
        <v>45566</v>
      </c>
      <c r="C754" s="1" t="s">
        <v>2024</v>
      </c>
      <c r="D754" s="1" t="s">
        <v>2031</v>
      </c>
      <c r="E754" s="1" t="s">
        <v>2048</v>
      </c>
      <c r="F754" s="1" t="s">
        <v>2049</v>
      </c>
      <c r="G754" s="1" t="s">
        <v>2074</v>
      </c>
      <c r="H754" s="1" t="s">
        <v>2086</v>
      </c>
      <c r="I754" s="1">
        <v>5</v>
      </c>
      <c r="J754" s="1">
        <v>1504.3</v>
      </c>
      <c r="K754" s="1">
        <v>14.16</v>
      </c>
      <c r="L754" s="1">
        <v>6456.46</v>
      </c>
      <c r="M754" s="1">
        <v>1114.24</v>
      </c>
      <c r="N754" s="1" t="s">
        <v>2092</v>
      </c>
    </row>
    <row r="755" spans="1:14">
      <c r="A755" s="1" t="s">
        <v>767</v>
      </c>
      <c r="B755" s="2">
        <v>45566</v>
      </c>
      <c r="C755" s="1" t="s">
        <v>2021</v>
      </c>
      <c r="D755" s="1" t="s">
        <v>2032</v>
      </c>
      <c r="E755" s="1" t="s">
        <v>2047</v>
      </c>
      <c r="F755" s="1" t="s">
        <v>2054</v>
      </c>
      <c r="G755" s="1" t="s">
        <v>2063</v>
      </c>
      <c r="H755" s="1" t="s">
        <v>2085</v>
      </c>
      <c r="I755" s="1">
        <v>6</v>
      </c>
      <c r="J755" s="1">
        <v>46035.41</v>
      </c>
      <c r="K755" s="1">
        <v>7.15</v>
      </c>
      <c r="L755" s="1">
        <v>256463.27</v>
      </c>
      <c r="M755" s="1">
        <v>63728.24</v>
      </c>
      <c r="N755" s="1" t="s">
        <v>2088</v>
      </c>
    </row>
    <row r="756" spans="1:14">
      <c r="A756" s="1" t="s">
        <v>768</v>
      </c>
      <c r="B756" s="2">
        <v>45567</v>
      </c>
      <c r="C756" s="1" t="s">
        <v>2019</v>
      </c>
      <c r="D756" s="1" t="s">
        <v>2033</v>
      </c>
      <c r="E756" s="1" t="s">
        <v>2048</v>
      </c>
      <c r="F756" s="1" t="s">
        <v>2051</v>
      </c>
      <c r="G756" s="1" t="s">
        <v>2061</v>
      </c>
      <c r="H756" s="1" t="s">
        <v>2086</v>
      </c>
      <c r="I756" s="1">
        <v>8</v>
      </c>
      <c r="J756" s="1">
        <v>38021.97</v>
      </c>
      <c r="K756" s="1">
        <v>9.15</v>
      </c>
      <c r="L756" s="1">
        <v>276343.67999999999</v>
      </c>
      <c r="M756" s="1">
        <v>25482.98</v>
      </c>
      <c r="N756" s="1" t="s">
        <v>2089</v>
      </c>
    </row>
    <row r="757" spans="1:14">
      <c r="A757" s="1" t="s">
        <v>769</v>
      </c>
      <c r="B757" s="2">
        <v>45567</v>
      </c>
      <c r="C757" s="1" t="s">
        <v>2023</v>
      </c>
      <c r="D757" s="1" t="s">
        <v>2034</v>
      </c>
      <c r="E757" s="1" t="s">
        <v>2048</v>
      </c>
      <c r="F757" s="1" t="s">
        <v>2051</v>
      </c>
      <c r="G757" s="1" t="s">
        <v>2069</v>
      </c>
      <c r="H757" s="1" t="s">
        <v>2087</v>
      </c>
      <c r="I757" s="1">
        <v>3</v>
      </c>
      <c r="J757" s="1">
        <v>18444.810000000001</v>
      </c>
      <c r="K757" s="1">
        <v>28.97</v>
      </c>
      <c r="L757" s="1">
        <v>39304.050000000003</v>
      </c>
      <c r="M757" s="1">
        <v>5673.03</v>
      </c>
      <c r="N757" s="1" t="s">
        <v>2089</v>
      </c>
    </row>
    <row r="758" spans="1:14">
      <c r="A758" s="1" t="s">
        <v>770</v>
      </c>
      <c r="B758" s="2">
        <v>45568</v>
      </c>
      <c r="C758" s="1" t="s">
        <v>2025</v>
      </c>
      <c r="D758" s="1" t="s">
        <v>2035</v>
      </c>
      <c r="E758" s="1" t="s">
        <v>2048</v>
      </c>
      <c r="F758" s="1" t="s">
        <v>2049</v>
      </c>
      <c r="G758" s="1" t="s">
        <v>2071</v>
      </c>
      <c r="H758" s="1" t="s">
        <v>2086</v>
      </c>
      <c r="I758" s="1">
        <v>2</v>
      </c>
      <c r="J758" s="1">
        <v>276.04000000000002</v>
      </c>
      <c r="K758" s="1">
        <v>19.920000000000002</v>
      </c>
      <c r="L758" s="1">
        <v>442.11</v>
      </c>
      <c r="M758" s="1">
        <v>48.36</v>
      </c>
      <c r="N758" s="1" t="s">
        <v>2091</v>
      </c>
    </row>
    <row r="759" spans="1:14">
      <c r="A759" s="1" t="s">
        <v>771</v>
      </c>
      <c r="B759" s="2">
        <v>45568</v>
      </c>
      <c r="C759" s="1" t="s">
        <v>2027</v>
      </c>
      <c r="D759" s="1" t="s">
        <v>2036</v>
      </c>
      <c r="E759" s="1" t="s">
        <v>2047</v>
      </c>
      <c r="F759" s="1" t="s">
        <v>2053</v>
      </c>
      <c r="G759" s="1" t="s">
        <v>2076</v>
      </c>
      <c r="H759" s="1" t="s">
        <v>2086</v>
      </c>
      <c r="I759" s="1">
        <v>2</v>
      </c>
      <c r="J759" s="1">
        <v>1500.22</v>
      </c>
      <c r="K759" s="1">
        <v>13.88</v>
      </c>
      <c r="L759" s="1">
        <v>2583.98</v>
      </c>
      <c r="M759" s="1">
        <v>657.82</v>
      </c>
      <c r="N759" s="1" t="s">
        <v>2089</v>
      </c>
    </row>
    <row r="760" spans="1:14">
      <c r="A760" s="1" t="s">
        <v>772</v>
      </c>
      <c r="B760" s="2">
        <v>45568</v>
      </c>
      <c r="C760" s="1" t="s">
        <v>2022</v>
      </c>
      <c r="D760" s="1" t="s">
        <v>2037</v>
      </c>
      <c r="E760" s="1" t="s">
        <v>2045</v>
      </c>
      <c r="F760" s="1" t="s">
        <v>2053</v>
      </c>
      <c r="G760" s="1" t="s">
        <v>2062</v>
      </c>
      <c r="H760" s="1" t="s">
        <v>2086</v>
      </c>
      <c r="I760" s="1">
        <v>1</v>
      </c>
      <c r="J760" s="1">
        <v>1346.1</v>
      </c>
      <c r="K760" s="1">
        <v>7.03</v>
      </c>
      <c r="L760" s="1">
        <v>1251.47</v>
      </c>
      <c r="M760" s="1">
        <v>101.23</v>
      </c>
      <c r="N760" s="1" t="s">
        <v>2089</v>
      </c>
    </row>
    <row r="761" spans="1:14">
      <c r="A761" s="1" t="s">
        <v>773</v>
      </c>
      <c r="B761" s="2">
        <v>45569</v>
      </c>
      <c r="C761" s="1" t="s">
        <v>2015</v>
      </c>
      <c r="D761" s="1" t="s">
        <v>2038</v>
      </c>
      <c r="E761" s="1" t="s">
        <v>2044</v>
      </c>
      <c r="F761" s="1" t="s">
        <v>2054</v>
      </c>
      <c r="G761" s="1" t="s">
        <v>2068</v>
      </c>
      <c r="H761" s="1" t="s">
        <v>2087</v>
      </c>
      <c r="I761" s="1">
        <v>4</v>
      </c>
      <c r="J761" s="1">
        <v>43813.56</v>
      </c>
      <c r="K761" s="1">
        <v>8.09</v>
      </c>
      <c r="L761" s="1">
        <v>161076.17000000001</v>
      </c>
      <c r="M761" s="1">
        <v>36338.730000000003</v>
      </c>
      <c r="N761" s="1" t="s">
        <v>2092</v>
      </c>
    </row>
    <row r="762" spans="1:14">
      <c r="A762" s="1" t="s">
        <v>774</v>
      </c>
      <c r="B762" s="2">
        <v>45569</v>
      </c>
      <c r="C762" s="1" t="s">
        <v>2023</v>
      </c>
      <c r="D762" s="1" t="s">
        <v>2039</v>
      </c>
      <c r="E762" s="1" t="s">
        <v>2046</v>
      </c>
      <c r="F762" s="1" t="s">
        <v>2052</v>
      </c>
      <c r="G762" s="1" t="s">
        <v>2072</v>
      </c>
      <c r="H762" s="1" t="s">
        <v>2087</v>
      </c>
      <c r="I762" s="1">
        <v>5</v>
      </c>
      <c r="J762" s="1">
        <v>1278.72</v>
      </c>
      <c r="K762" s="1">
        <v>11.5</v>
      </c>
      <c r="L762" s="1">
        <v>5658.34</v>
      </c>
      <c r="M762" s="1">
        <v>1467.15</v>
      </c>
      <c r="N762" s="1" t="s">
        <v>2089</v>
      </c>
    </row>
    <row r="763" spans="1:14">
      <c r="A763" s="1" t="s">
        <v>775</v>
      </c>
      <c r="B763" s="2">
        <v>45569</v>
      </c>
      <c r="C763" s="1" t="s">
        <v>2015</v>
      </c>
      <c r="D763" s="1" t="s">
        <v>2040</v>
      </c>
      <c r="E763" s="1" t="s">
        <v>2047</v>
      </c>
      <c r="F763" s="1" t="s">
        <v>2049</v>
      </c>
      <c r="G763" s="1" t="s">
        <v>2074</v>
      </c>
      <c r="H763" s="1" t="s">
        <v>2086</v>
      </c>
      <c r="I763" s="1">
        <v>5</v>
      </c>
      <c r="J763" s="1">
        <v>642.1</v>
      </c>
      <c r="K763" s="1">
        <v>26.4</v>
      </c>
      <c r="L763" s="1">
        <v>2362.9299999999998</v>
      </c>
      <c r="M763" s="1">
        <v>233.34</v>
      </c>
      <c r="N763" s="1" t="s">
        <v>2088</v>
      </c>
    </row>
    <row r="764" spans="1:14">
      <c r="A764" s="1" t="s">
        <v>776</v>
      </c>
      <c r="B764" s="2">
        <v>45570</v>
      </c>
      <c r="C764" s="1" t="s">
        <v>2022</v>
      </c>
      <c r="D764" s="1" t="s">
        <v>2041</v>
      </c>
      <c r="E764" s="1" t="s">
        <v>2047</v>
      </c>
      <c r="F764" s="1" t="s">
        <v>2049</v>
      </c>
      <c r="G764" s="1" t="s">
        <v>2082</v>
      </c>
      <c r="H764" s="1" t="s">
        <v>2086</v>
      </c>
      <c r="I764" s="1">
        <v>6</v>
      </c>
      <c r="J764" s="1">
        <v>1930.34</v>
      </c>
      <c r="K764" s="1">
        <v>24.05</v>
      </c>
      <c r="L764" s="1">
        <v>8796.56</v>
      </c>
      <c r="M764" s="1">
        <v>1465.45</v>
      </c>
      <c r="N764" s="1" t="s">
        <v>2090</v>
      </c>
    </row>
    <row r="765" spans="1:14">
      <c r="A765" s="1" t="s">
        <v>777</v>
      </c>
      <c r="B765" s="2">
        <v>45570</v>
      </c>
      <c r="C765" s="1" t="s">
        <v>2020</v>
      </c>
      <c r="D765" s="1" t="s">
        <v>2042</v>
      </c>
      <c r="E765" s="1" t="s">
        <v>2048</v>
      </c>
      <c r="F765" s="1" t="s">
        <v>2050</v>
      </c>
      <c r="G765" s="1" t="s">
        <v>2056</v>
      </c>
      <c r="H765" s="1" t="s">
        <v>2086</v>
      </c>
      <c r="I765" s="1">
        <v>2</v>
      </c>
      <c r="J765" s="1">
        <v>1594.51</v>
      </c>
      <c r="K765" s="1">
        <v>15.37</v>
      </c>
      <c r="L765" s="1">
        <v>2698.87</v>
      </c>
      <c r="M765" s="1">
        <v>463.78</v>
      </c>
      <c r="N765" s="1" t="s">
        <v>2089</v>
      </c>
    </row>
    <row r="766" spans="1:14">
      <c r="A766" s="1" t="s">
        <v>778</v>
      </c>
      <c r="B766" s="2">
        <v>45570</v>
      </c>
      <c r="C766" s="1" t="s">
        <v>2016</v>
      </c>
      <c r="D766" s="1" t="s">
        <v>2043</v>
      </c>
      <c r="E766" s="1" t="s">
        <v>2048</v>
      </c>
      <c r="F766" s="1" t="s">
        <v>2049</v>
      </c>
      <c r="G766" s="1" t="s">
        <v>2058</v>
      </c>
      <c r="H766" s="1" t="s">
        <v>2085</v>
      </c>
      <c r="I766" s="1">
        <v>3</v>
      </c>
      <c r="J766" s="1">
        <v>198.45</v>
      </c>
      <c r="K766" s="1">
        <v>1.89</v>
      </c>
      <c r="L766" s="1">
        <v>584.1</v>
      </c>
      <c r="M766" s="1">
        <v>56.56</v>
      </c>
      <c r="N766" s="1" t="s">
        <v>2092</v>
      </c>
    </row>
    <row r="767" spans="1:14">
      <c r="A767" s="1" t="s">
        <v>779</v>
      </c>
      <c r="B767" s="2">
        <v>45571</v>
      </c>
      <c r="C767" s="1" t="s">
        <v>2016</v>
      </c>
      <c r="D767" s="1" t="s">
        <v>2029</v>
      </c>
      <c r="E767" s="1" t="s">
        <v>2045</v>
      </c>
      <c r="F767" s="1" t="s">
        <v>2050</v>
      </c>
      <c r="G767" s="1" t="s">
        <v>2064</v>
      </c>
      <c r="H767" s="1" t="s">
        <v>2085</v>
      </c>
      <c r="I767" s="1">
        <v>6</v>
      </c>
      <c r="J767" s="1">
        <v>4099.8</v>
      </c>
      <c r="K767" s="1">
        <v>27.7</v>
      </c>
      <c r="L767" s="1">
        <v>17784.93</v>
      </c>
      <c r="M767" s="1">
        <v>959.73</v>
      </c>
      <c r="N767" s="1" t="s">
        <v>2088</v>
      </c>
    </row>
    <row r="768" spans="1:14">
      <c r="A768" s="1" t="s">
        <v>780</v>
      </c>
      <c r="B768" s="2">
        <v>45571</v>
      </c>
      <c r="C768" s="1" t="s">
        <v>2023</v>
      </c>
      <c r="D768" s="1" t="s">
        <v>2030</v>
      </c>
      <c r="E768" s="1" t="s">
        <v>2044</v>
      </c>
      <c r="F768" s="1" t="s">
        <v>2049</v>
      </c>
      <c r="G768" s="1" t="s">
        <v>2071</v>
      </c>
      <c r="H768" s="1" t="s">
        <v>2085</v>
      </c>
      <c r="I768" s="1">
        <v>9</v>
      </c>
      <c r="J768" s="1">
        <v>2960.38</v>
      </c>
      <c r="K768" s="1">
        <v>1.68</v>
      </c>
      <c r="L768" s="1">
        <v>26195.81</v>
      </c>
      <c r="M768" s="1">
        <v>2240.9299999999998</v>
      </c>
      <c r="N768" s="1" t="s">
        <v>2091</v>
      </c>
    </row>
    <row r="769" spans="1:14">
      <c r="A769" s="1" t="s">
        <v>781</v>
      </c>
      <c r="B769" s="2">
        <v>45572</v>
      </c>
      <c r="C769" s="1" t="s">
        <v>2019</v>
      </c>
      <c r="D769" s="1" t="s">
        <v>2031</v>
      </c>
      <c r="E769" s="1" t="s">
        <v>2047</v>
      </c>
      <c r="F769" s="1" t="s">
        <v>2050</v>
      </c>
      <c r="G769" s="1" t="s">
        <v>2075</v>
      </c>
      <c r="H769" s="1" t="s">
        <v>2087</v>
      </c>
      <c r="I769" s="1">
        <v>6</v>
      </c>
      <c r="J769" s="1">
        <v>4357.96</v>
      </c>
      <c r="K769" s="1">
        <v>16.850000000000001</v>
      </c>
      <c r="L769" s="1">
        <v>21741.86</v>
      </c>
      <c r="M769" s="1">
        <v>2015.54</v>
      </c>
      <c r="N769" s="1" t="s">
        <v>2090</v>
      </c>
    </row>
    <row r="770" spans="1:14">
      <c r="A770" s="1" t="s">
        <v>782</v>
      </c>
      <c r="B770" s="2">
        <v>45572</v>
      </c>
      <c r="C770" s="1" t="s">
        <v>2014</v>
      </c>
      <c r="D770" s="1" t="s">
        <v>2032</v>
      </c>
      <c r="E770" s="1" t="s">
        <v>2047</v>
      </c>
      <c r="F770" s="1" t="s">
        <v>2054</v>
      </c>
      <c r="G770" s="1" t="s">
        <v>2079</v>
      </c>
      <c r="H770" s="1" t="s">
        <v>2085</v>
      </c>
      <c r="I770" s="1">
        <v>1</v>
      </c>
      <c r="J770" s="1">
        <v>1747.82</v>
      </c>
      <c r="K770" s="1">
        <v>10.8</v>
      </c>
      <c r="L770" s="1">
        <v>1559.06</v>
      </c>
      <c r="M770" s="1">
        <v>112.96</v>
      </c>
      <c r="N770" s="1" t="s">
        <v>2092</v>
      </c>
    </row>
    <row r="771" spans="1:14">
      <c r="A771" s="1" t="s">
        <v>783</v>
      </c>
      <c r="B771" s="2">
        <v>45572</v>
      </c>
      <c r="C771" s="1" t="s">
        <v>2015</v>
      </c>
      <c r="D771" s="1" t="s">
        <v>2033</v>
      </c>
      <c r="E771" s="1" t="s">
        <v>2045</v>
      </c>
      <c r="F771" s="1" t="s">
        <v>2050</v>
      </c>
      <c r="G771" s="1" t="s">
        <v>2084</v>
      </c>
      <c r="H771" s="1" t="s">
        <v>2087</v>
      </c>
      <c r="I771" s="1">
        <v>2</v>
      </c>
      <c r="J771" s="1">
        <v>6784.89</v>
      </c>
      <c r="K771" s="1">
        <v>6.28</v>
      </c>
      <c r="L771" s="1">
        <v>12717.6</v>
      </c>
      <c r="M771" s="1">
        <v>866.46</v>
      </c>
      <c r="N771" s="1" t="s">
        <v>2089</v>
      </c>
    </row>
    <row r="772" spans="1:14">
      <c r="A772" s="1" t="s">
        <v>784</v>
      </c>
      <c r="B772" s="2">
        <v>45573</v>
      </c>
      <c r="C772" s="1" t="s">
        <v>2024</v>
      </c>
      <c r="D772" s="1" t="s">
        <v>2034</v>
      </c>
      <c r="E772" s="1" t="s">
        <v>2047</v>
      </c>
      <c r="F772" s="1" t="s">
        <v>2052</v>
      </c>
      <c r="G772" s="1" t="s">
        <v>2059</v>
      </c>
      <c r="H772" s="1" t="s">
        <v>2087</v>
      </c>
      <c r="I772" s="1">
        <v>3</v>
      </c>
      <c r="J772" s="1">
        <v>7719.34</v>
      </c>
      <c r="K772" s="1">
        <v>27.8</v>
      </c>
      <c r="L772" s="1">
        <v>16720.09</v>
      </c>
      <c r="M772" s="1">
        <v>2857.84</v>
      </c>
      <c r="N772" s="1" t="s">
        <v>2090</v>
      </c>
    </row>
    <row r="773" spans="1:14">
      <c r="A773" s="1" t="s">
        <v>785</v>
      </c>
      <c r="B773" s="2">
        <v>45573</v>
      </c>
      <c r="C773" s="1" t="s">
        <v>2016</v>
      </c>
      <c r="D773" s="1" t="s">
        <v>2035</v>
      </c>
      <c r="E773" s="1" t="s">
        <v>2047</v>
      </c>
      <c r="F773" s="1" t="s">
        <v>2053</v>
      </c>
      <c r="G773" s="1" t="s">
        <v>2067</v>
      </c>
      <c r="H773" s="1" t="s">
        <v>2085</v>
      </c>
      <c r="I773" s="1">
        <v>4</v>
      </c>
      <c r="J773" s="1">
        <v>1954.82</v>
      </c>
      <c r="K773" s="1">
        <v>24.1</v>
      </c>
      <c r="L773" s="1">
        <v>5934.83</v>
      </c>
      <c r="M773" s="1">
        <v>524.36</v>
      </c>
      <c r="N773" s="1" t="s">
        <v>2090</v>
      </c>
    </row>
    <row r="774" spans="1:14">
      <c r="A774" s="1" t="s">
        <v>786</v>
      </c>
      <c r="B774" s="2">
        <v>45573</v>
      </c>
      <c r="C774" s="1" t="s">
        <v>2026</v>
      </c>
      <c r="D774" s="1" t="s">
        <v>2036</v>
      </c>
      <c r="E774" s="1" t="s">
        <v>2046</v>
      </c>
      <c r="F774" s="1" t="s">
        <v>2051</v>
      </c>
      <c r="G774" s="1" t="s">
        <v>2069</v>
      </c>
      <c r="H774" s="1" t="s">
        <v>2087</v>
      </c>
      <c r="I774" s="1">
        <v>7</v>
      </c>
      <c r="J774" s="1">
        <v>15302.15</v>
      </c>
      <c r="K774" s="1">
        <v>3.17</v>
      </c>
      <c r="L774" s="1">
        <v>103719.5</v>
      </c>
      <c r="M774" s="1">
        <v>21475.29</v>
      </c>
      <c r="N774" s="1" t="s">
        <v>2092</v>
      </c>
    </row>
    <row r="775" spans="1:14">
      <c r="A775" s="1" t="s">
        <v>787</v>
      </c>
      <c r="B775" s="2">
        <v>45574</v>
      </c>
      <c r="C775" s="1" t="s">
        <v>2017</v>
      </c>
      <c r="D775" s="1" t="s">
        <v>2037</v>
      </c>
      <c r="E775" s="1" t="s">
        <v>2047</v>
      </c>
      <c r="F775" s="1" t="s">
        <v>2049</v>
      </c>
      <c r="G775" s="1" t="s">
        <v>2071</v>
      </c>
      <c r="H775" s="1" t="s">
        <v>2087</v>
      </c>
      <c r="I775" s="1">
        <v>7</v>
      </c>
      <c r="J775" s="1">
        <v>1505.18</v>
      </c>
      <c r="K775" s="1">
        <v>0.12</v>
      </c>
      <c r="L775" s="1">
        <v>10523.62</v>
      </c>
      <c r="M775" s="1">
        <v>1844.69</v>
      </c>
      <c r="N775" s="1" t="s">
        <v>2088</v>
      </c>
    </row>
    <row r="776" spans="1:14">
      <c r="A776" s="1" t="s">
        <v>788</v>
      </c>
      <c r="B776" s="2">
        <v>45574</v>
      </c>
      <c r="C776" s="1" t="s">
        <v>2024</v>
      </c>
      <c r="D776" s="1" t="s">
        <v>2038</v>
      </c>
      <c r="E776" s="1" t="s">
        <v>2047</v>
      </c>
      <c r="F776" s="1" t="s">
        <v>2050</v>
      </c>
      <c r="G776" s="1" t="s">
        <v>2070</v>
      </c>
      <c r="H776" s="1" t="s">
        <v>2087</v>
      </c>
      <c r="I776" s="1">
        <v>8</v>
      </c>
      <c r="J776" s="1">
        <v>6974.53</v>
      </c>
      <c r="K776" s="1">
        <v>26.82</v>
      </c>
      <c r="L776" s="1">
        <v>40831.69</v>
      </c>
      <c r="M776" s="1">
        <v>11430.76</v>
      </c>
      <c r="N776" s="1" t="s">
        <v>2089</v>
      </c>
    </row>
    <row r="777" spans="1:14">
      <c r="A777" s="1" t="s">
        <v>789</v>
      </c>
      <c r="B777" s="2">
        <v>45575</v>
      </c>
      <c r="C777" s="1" t="s">
        <v>2025</v>
      </c>
      <c r="D777" s="1" t="s">
        <v>2039</v>
      </c>
      <c r="E777" s="1" t="s">
        <v>2046</v>
      </c>
      <c r="F777" s="1" t="s">
        <v>2051</v>
      </c>
      <c r="G777" s="1" t="s">
        <v>2077</v>
      </c>
      <c r="H777" s="1" t="s">
        <v>2085</v>
      </c>
      <c r="I777" s="1">
        <v>3</v>
      </c>
      <c r="J777" s="1">
        <v>24661.93</v>
      </c>
      <c r="K777" s="1">
        <v>5</v>
      </c>
      <c r="L777" s="1">
        <v>70286.5</v>
      </c>
      <c r="M777" s="1">
        <v>17526.3</v>
      </c>
      <c r="N777" s="1" t="s">
        <v>2089</v>
      </c>
    </row>
    <row r="778" spans="1:14">
      <c r="A778" s="1" t="s">
        <v>790</v>
      </c>
      <c r="B778" s="2">
        <v>45575</v>
      </c>
      <c r="C778" s="1" t="s">
        <v>2017</v>
      </c>
      <c r="D778" s="1" t="s">
        <v>2040</v>
      </c>
      <c r="E778" s="1" t="s">
        <v>2048</v>
      </c>
      <c r="F778" s="1" t="s">
        <v>2050</v>
      </c>
      <c r="G778" s="1" t="s">
        <v>2075</v>
      </c>
      <c r="H778" s="1" t="s">
        <v>2087</v>
      </c>
      <c r="I778" s="1">
        <v>4</v>
      </c>
      <c r="J778" s="1">
        <v>4534.05</v>
      </c>
      <c r="K778" s="1">
        <v>18.59</v>
      </c>
      <c r="L778" s="1">
        <v>14764.68</v>
      </c>
      <c r="M778" s="1">
        <v>3187.29</v>
      </c>
      <c r="N778" s="1" t="s">
        <v>2089</v>
      </c>
    </row>
    <row r="779" spans="1:14">
      <c r="A779" s="1" t="s">
        <v>791</v>
      </c>
      <c r="B779" s="2">
        <v>45575</v>
      </c>
      <c r="C779" s="1" t="s">
        <v>2018</v>
      </c>
      <c r="D779" s="1" t="s">
        <v>2041</v>
      </c>
      <c r="E779" s="1" t="s">
        <v>2044</v>
      </c>
      <c r="F779" s="1" t="s">
        <v>2052</v>
      </c>
      <c r="G779" s="1" t="s">
        <v>2072</v>
      </c>
      <c r="H779" s="1" t="s">
        <v>2086</v>
      </c>
      <c r="I779" s="1">
        <v>5</v>
      </c>
      <c r="J779" s="1">
        <v>9752.65</v>
      </c>
      <c r="K779" s="1">
        <v>25.28</v>
      </c>
      <c r="L779" s="1">
        <v>36435.9</v>
      </c>
      <c r="M779" s="1">
        <v>6384.27</v>
      </c>
      <c r="N779" s="1" t="s">
        <v>2088</v>
      </c>
    </row>
    <row r="780" spans="1:14">
      <c r="A780" s="1" t="s">
        <v>792</v>
      </c>
      <c r="B780" s="2">
        <v>45576</v>
      </c>
      <c r="C780" s="1" t="s">
        <v>2026</v>
      </c>
      <c r="D780" s="1" t="s">
        <v>2042</v>
      </c>
      <c r="E780" s="1" t="s">
        <v>2046</v>
      </c>
      <c r="F780" s="1" t="s">
        <v>2053</v>
      </c>
      <c r="G780" s="1" t="s">
        <v>2060</v>
      </c>
      <c r="H780" s="1" t="s">
        <v>2086</v>
      </c>
      <c r="I780" s="1">
        <v>2</v>
      </c>
      <c r="J780" s="1">
        <v>2328.09</v>
      </c>
      <c r="K780" s="1">
        <v>1.97</v>
      </c>
      <c r="L780" s="1">
        <v>4564.45</v>
      </c>
      <c r="M780" s="1">
        <v>855.16</v>
      </c>
      <c r="N780" s="1" t="s">
        <v>2090</v>
      </c>
    </row>
    <row r="781" spans="1:14">
      <c r="A781" s="1" t="s">
        <v>793</v>
      </c>
      <c r="B781" s="2">
        <v>45576</v>
      </c>
      <c r="C781" s="1" t="s">
        <v>2020</v>
      </c>
      <c r="D781" s="1" t="s">
        <v>2043</v>
      </c>
      <c r="E781" s="1" t="s">
        <v>2044</v>
      </c>
      <c r="F781" s="1" t="s">
        <v>2052</v>
      </c>
      <c r="G781" s="1" t="s">
        <v>2078</v>
      </c>
      <c r="H781" s="1" t="s">
        <v>2085</v>
      </c>
      <c r="I781" s="1">
        <v>1</v>
      </c>
      <c r="J781" s="1">
        <v>8468.07</v>
      </c>
      <c r="K781" s="1">
        <v>5.85</v>
      </c>
      <c r="L781" s="1">
        <v>7972.69</v>
      </c>
      <c r="M781" s="1">
        <v>2046.72</v>
      </c>
      <c r="N781" s="1" t="s">
        <v>2089</v>
      </c>
    </row>
    <row r="782" spans="1:14">
      <c r="A782" s="1" t="s">
        <v>794</v>
      </c>
      <c r="B782" s="2">
        <v>45576</v>
      </c>
      <c r="C782" s="1" t="s">
        <v>2027</v>
      </c>
      <c r="D782" s="1" t="s">
        <v>2029</v>
      </c>
      <c r="E782" s="1" t="s">
        <v>2047</v>
      </c>
      <c r="F782" s="1" t="s">
        <v>2049</v>
      </c>
      <c r="G782" s="1" t="s">
        <v>2071</v>
      </c>
      <c r="H782" s="1" t="s">
        <v>2085</v>
      </c>
      <c r="I782" s="1">
        <v>8</v>
      </c>
      <c r="J782" s="1">
        <v>467.77</v>
      </c>
      <c r="K782" s="1">
        <v>3.07</v>
      </c>
      <c r="L782" s="1">
        <v>3627.28</v>
      </c>
      <c r="M782" s="1">
        <v>666.93</v>
      </c>
      <c r="N782" s="1" t="s">
        <v>2089</v>
      </c>
    </row>
    <row r="783" spans="1:14">
      <c r="A783" s="1" t="s">
        <v>795</v>
      </c>
      <c r="B783" s="2">
        <v>45577</v>
      </c>
      <c r="C783" s="1" t="s">
        <v>2016</v>
      </c>
      <c r="D783" s="1" t="s">
        <v>2030</v>
      </c>
      <c r="E783" s="1" t="s">
        <v>2047</v>
      </c>
      <c r="F783" s="1" t="s">
        <v>2051</v>
      </c>
      <c r="G783" s="1" t="s">
        <v>2057</v>
      </c>
      <c r="H783" s="1" t="s">
        <v>2087</v>
      </c>
      <c r="I783" s="1">
        <v>6</v>
      </c>
      <c r="J783" s="1">
        <v>34855.83</v>
      </c>
      <c r="K783" s="1">
        <v>26.44</v>
      </c>
      <c r="L783" s="1">
        <v>153839.69</v>
      </c>
      <c r="M783" s="1">
        <v>21160.13</v>
      </c>
      <c r="N783" s="1" t="s">
        <v>2089</v>
      </c>
    </row>
    <row r="784" spans="1:14">
      <c r="A784" s="1" t="s">
        <v>796</v>
      </c>
      <c r="B784" s="2">
        <v>45577</v>
      </c>
      <c r="C784" s="1" t="s">
        <v>2015</v>
      </c>
      <c r="D784" s="1" t="s">
        <v>2031</v>
      </c>
      <c r="E784" s="1" t="s">
        <v>2047</v>
      </c>
      <c r="F784" s="1" t="s">
        <v>2050</v>
      </c>
      <c r="G784" s="1" t="s">
        <v>2064</v>
      </c>
      <c r="H784" s="1" t="s">
        <v>2086</v>
      </c>
      <c r="I784" s="1">
        <v>1</v>
      </c>
      <c r="J784" s="1">
        <v>1559.85</v>
      </c>
      <c r="K784" s="1">
        <v>16.97</v>
      </c>
      <c r="L784" s="1">
        <v>1295.1400000000001</v>
      </c>
      <c r="M784" s="1">
        <v>227.92</v>
      </c>
      <c r="N784" s="1" t="s">
        <v>2088</v>
      </c>
    </row>
    <row r="785" spans="1:14">
      <c r="A785" s="1" t="s">
        <v>797</v>
      </c>
      <c r="B785" s="2">
        <v>45577</v>
      </c>
      <c r="C785" s="1" t="s">
        <v>2023</v>
      </c>
      <c r="D785" s="1" t="s">
        <v>2032</v>
      </c>
      <c r="E785" s="1" t="s">
        <v>2045</v>
      </c>
      <c r="F785" s="1" t="s">
        <v>2054</v>
      </c>
      <c r="G785" s="1" t="s">
        <v>2063</v>
      </c>
      <c r="H785" s="1" t="s">
        <v>2085</v>
      </c>
      <c r="I785" s="1">
        <v>4</v>
      </c>
      <c r="J785" s="1">
        <v>58409.59</v>
      </c>
      <c r="K785" s="1">
        <v>9.49</v>
      </c>
      <c r="L785" s="1">
        <v>211466.08</v>
      </c>
      <c r="M785" s="1">
        <v>28663.51</v>
      </c>
      <c r="N785" s="1" t="s">
        <v>2090</v>
      </c>
    </row>
    <row r="786" spans="1:14">
      <c r="A786" s="1" t="s">
        <v>798</v>
      </c>
      <c r="B786" s="2">
        <v>45578</v>
      </c>
      <c r="C786" s="1" t="s">
        <v>2023</v>
      </c>
      <c r="D786" s="1" t="s">
        <v>2033</v>
      </c>
      <c r="E786" s="1" t="s">
        <v>2046</v>
      </c>
      <c r="F786" s="1" t="s">
        <v>2051</v>
      </c>
      <c r="G786" s="1" t="s">
        <v>2057</v>
      </c>
      <c r="H786" s="1" t="s">
        <v>2085</v>
      </c>
      <c r="I786" s="1">
        <v>5</v>
      </c>
      <c r="J786" s="1">
        <v>2142.6799999999998</v>
      </c>
      <c r="K786" s="1">
        <v>18.54</v>
      </c>
      <c r="L786" s="1">
        <v>8727.14</v>
      </c>
      <c r="M786" s="1">
        <v>1548</v>
      </c>
      <c r="N786" s="1" t="s">
        <v>2092</v>
      </c>
    </row>
    <row r="787" spans="1:14">
      <c r="A787" s="1" t="s">
        <v>799</v>
      </c>
      <c r="B787" s="2">
        <v>45578</v>
      </c>
      <c r="C787" s="1" t="s">
        <v>2023</v>
      </c>
      <c r="D787" s="1" t="s">
        <v>2034</v>
      </c>
      <c r="E787" s="1" t="s">
        <v>2048</v>
      </c>
      <c r="F787" s="1" t="s">
        <v>2054</v>
      </c>
      <c r="G787" s="1" t="s">
        <v>2063</v>
      </c>
      <c r="H787" s="1" t="s">
        <v>2086</v>
      </c>
      <c r="I787" s="1">
        <v>9</v>
      </c>
      <c r="J787" s="1">
        <v>32991.620000000003</v>
      </c>
      <c r="K787" s="1">
        <v>14</v>
      </c>
      <c r="L787" s="1">
        <v>255355.14</v>
      </c>
      <c r="M787" s="1">
        <v>16132.69</v>
      </c>
      <c r="N787" s="1" t="s">
        <v>2088</v>
      </c>
    </row>
    <row r="788" spans="1:14">
      <c r="A788" s="1" t="s">
        <v>800</v>
      </c>
      <c r="B788" s="2">
        <v>45579</v>
      </c>
      <c r="C788" s="1" t="s">
        <v>2019</v>
      </c>
      <c r="D788" s="1" t="s">
        <v>2035</v>
      </c>
      <c r="E788" s="1" t="s">
        <v>2046</v>
      </c>
      <c r="F788" s="1" t="s">
        <v>2053</v>
      </c>
      <c r="G788" s="1" t="s">
        <v>2062</v>
      </c>
      <c r="H788" s="1" t="s">
        <v>2086</v>
      </c>
      <c r="I788" s="1">
        <v>7</v>
      </c>
      <c r="J788" s="1">
        <v>401.69</v>
      </c>
      <c r="K788" s="1">
        <v>12.43</v>
      </c>
      <c r="L788" s="1">
        <v>2462.3200000000002</v>
      </c>
      <c r="M788" s="1">
        <v>592.46</v>
      </c>
      <c r="N788" s="1" t="s">
        <v>2090</v>
      </c>
    </row>
    <row r="789" spans="1:14">
      <c r="A789" s="1" t="s">
        <v>801</v>
      </c>
      <c r="B789" s="2">
        <v>45579</v>
      </c>
      <c r="C789" s="1" t="s">
        <v>2014</v>
      </c>
      <c r="D789" s="1" t="s">
        <v>2036</v>
      </c>
      <c r="E789" s="1" t="s">
        <v>2048</v>
      </c>
      <c r="F789" s="1" t="s">
        <v>2049</v>
      </c>
      <c r="G789" s="1" t="s">
        <v>2074</v>
      </c>
      <c r="H789" s="1" t="s">
        <v>2087</v>
      </c>
      <c r="I789" s="1">
        <v>7</v>
      </c>
      <c r="J789" s="1">
        <v>1282.24</v>
      </c>
      <c r="K789" s="1">
        <v>2.19</v>
      </c>
      <c r="L789" s="1">
        <v>8779.11</v>
      </c>
      <c r="M789" s="1">
        <v>1039.5899999999999</v>
      </c>
      <c r="N789" s="1" t="s">
        <v>2090</v>
      </c>
    </row>
    <row r="790" spans="1:14">
      <c r="A790" s="1" t="s">
        <v>802</v>
      </c>
      <c r="B790" s="2">
        <v>45579</v>
      </c>
      <c r="C790" s="1" t="s">
        <v>2027</v>
      </c>
      <c r="D790" s="1" t="s">
        <v>2037</v>
      </c>
      <c r="E790" s="1" t="s">
        <v>2048</v>
      </c>
      <c r="F790" s="1" t="s">
        <v>2050</v>
      </c>
      <c r="G790" s="1" t="s">
        <v>2070</v>
      </c>
      <c r="H790" s="1" t="s">
        <v>2085</v>
      </c>
      <c r="I790" s="1">
        <v>7</v>
      </c>
      <c r="J790" s="1">
        <v>588.97</v>
      </c>
      <c r="K790" s="1">
        <v>17.079999999999998</v>
      </c>
      <c r="L790" s="1">
        <v>3418.62</v>
      </c>
      <c r="M790" s="1">
        <v>957.87</v>
      </c>
      <c r="N790" s="1" t="s">
        <v>2092</v>
      </c>
    </row>
    <row r="791" spans="1:14">
      <c r="A791" s="1" t="s">
        <v>803</v>
      </c>
      <c r="B791" s="2">
        <v>45580</v>
      </c>
      <c r="C791" s="1" t="s">
        <v>2026</v>
      </c>
      <c r="D791" s="1" t="s">
        <v>2038</v>
      </c>
      <c r="E791" s="1" t="s">
        <v>2045</v>
      </c>
      <c r="F791" s="1" t="s">
        <v>2053</v>
      </c>
      <c r="G791" s="1" t="s">
        <v>2076</v>
      </c>
      <c r="H791" s="1" t="s">
        <v>2086</v>
      </c>
      <c r="I791" s="1">
        <v>7</v>
      </c>
      <c r="J791" s="1">
        <v>601.74</v>
      </c>
      <c r="K791" s="1">
        <v>25.45</v>
      </c>
      <c r="L791" s="1">
        <v>3140.18</v>
      </c>
      <c r="M791" s="1">
        <v>868.27</v>
      </c>
      <c r="N791" s="1" t="s">
        <v>2090</v>
      </c>
    </row>
    <row r="792" spans="1:14">
      <c r="A792" s="1" t="s">
        <v>804</v>
      </c>
      <c r="B792" s="2">
        <v>45580</v>
      </c>
      <c r="C792" s="1" t="s">
        <v>2028</v>
      </c>
      <c r="D792" s="1" t="s">
        <v>2039</v>
      </c>
      <c r="E792" s="1" t="s">
        <v>2044</v>
      </c>
      <c r="F792" s="1" t="s">
        <v>2051</v>
      </c>
      <c r="G792" s="1" t="s">
        <v>2069</v>
      </c>
      <c r="H792" s="1" t="s">
        <v>2085</v>
      </c>
      <c r="I792" s="1">
        <v>8</v>
      </c>
      <c r="J792" s="1">
        <v>20645.060000000001</v>
      </c>
      <c r="K792" s="1">
        <v>24.91</v>
      </c>
      <c r="L792" s="1">
        <v>124019</v>
      </c>
      <c r="M792" s="1">
        <v>26788.48</v>
      </c>
      <c r="N792" s="1" t="s">
        <v>2090</v>
      </c>
    </row>
    <row r="793" spans="1:14">
      <c r="A793" s="1" t="s">
        <v>805</v>
      </c>
      <c r="B793" s="2">
        <v>45580</v>
      </c>
      <c r="C793" s="1" t="s">
        <v>2015</v>
      </c>
      <c r="D793" s="1" t="s">
        <v>2040</v>
      </c>
      <c r="E793" s="1" t="s">
        <v>2044</v>
      </c>
      <c r="F793" s="1" t="s">
        <v>2053</v>
      </c>
      <c r="G793" s="1" t="s">
        <v>2076</v>
      </c>
      <c r="H793" s="1" t="s">
        <v>2085</v>
      </c>
      <c r="I793" s="1">
        <v>5</v>
      </c>
      <c r="J793" s="1">
        <v>2422.87</v>
      </c>
      <c r="K793" s="1">
        <v>26.7</v>
      </c>
      <c r="L793" s="1">
        <v>8879.82</v>
      </c>
      <c r="M793" s="1">
        <v>1777.15</v>
      </c>
      <c r="N793" s="1" t="s">
        <v>2089</v>
      </c>
    </row>
    <row r="794" spans="1:14">
      <c r="A794" s="1" t="s">
        <v>806</v>
      </c>
      <c r="B794" s="2">
        <v>45581</v>
      </c>
      <c r="C794" s="1" t="s">
        <v>2023</v>
      </c>
      <c r="D794" s="1" t="s">
        <v>2041</v>
      </c>
      <c r="E794" s="1" t="s">
        <v>2046</v>
      </c>
      <c r="F794" s="1" t="s">
        <v>2050</v>
      </c>
      <c r="G794" s="1" t="s">
        <v>2064</v>
      </c>
      <c r="H794" s="1" t="s">
        <v>2086</v>
      </c>
      <c r="I794" s="1">
        <v>7</v>
      </c>
      <c r="J794" s="1">
        <v>2454.21</v>
      </c>
      <c r="K794" s="1">
        <v>16.95</v>
      </c>
      <c r="L794" s="1">
        <v>14267.55</v>
      </c>
      <c r="M794" s="1">
        <v>1027.77</v>
      </c>
      <c r="N794" s="1" t="s">
        <v>2091</v>
      </c>
    </row>
    <row r="795" spans="1:14">
      <c r="A795" s="1" t="s">
        <v>807</v>
      </c>
      <c r="B795" s="2">
        <v>45581</v>
      </c>
      <c r="C795" s="1" t="s">
        <v>2022</v>
      </c>
      <c r="D795" s="1" t="s">
        <v>2042</v>
      </c>
      <c r="E795" s="1" t="s">
        <v>2046</v>
      </c>
      <c r="F795" s="1" t="s">
        <v>2052</v>
      </c>
      <c r="G795" s="1" t="s">
        <v>2083</v>
      </c>
      <c r="H795" s="1" t="s">
        <v>2087</v>
      </c>
      <c r="I795" s="1">
        <v>10</v>
      </c>
      <c r="J795" s="1">
        <v>4540.92</v>
      </c>
      <c r="K795" s="1">
        <v>16.84</v>
      </c>
      <c r="L795" s="1">
        <v>37762.29</v>
      </c>
      <c r="M795" s="1">
        <v>9903.57</v>
      </c>
      <c r="N795" s="1" t="s">
        <v>2090</v>
      </c>
    </row>
    <row r="796" spans="1:14">
      <c r="A796" s="1" t="s">
        <v>808</v>
      </c>
      <c r="B796" s="2">
        <v>45581</v>
      </c>
      <c r="C796" s="1" t="s">
        <v>2022</v>
      </c>
      <c r="D796" s="1" t="s">
        <v>2043</v>
      </c>
      <c r="E796" s="1" t="s">
        <v>2045</v>
      </c>
      <c r="F796" s="1" t="s">
        <v>2054</v>
      </c>
      <c r="G796" s="1" t="s">
        <v>2068</v>
      </c>
      <c r="H796" s="1" t="s">
        <v>2085</v>
      </c>
      <c r="I796" s="1">
        <v>2</v>
      </c>
      <c r="J796" s="1">
        <v>69932.210000000006</v>
      </c>
      <c r="K796" s="1">
        <v>1.79</v>
      </c>
      <c r="L796" s="1">
        <v>137360.85</v>
      </c>
      <c r="M796" s="1">
        <v>37382.730000000003</v>
      </c>
      <c r="N796" s="1" t="s">
        <v>2091</v>
      </c>
    </row>
    <row r="797" spans="1:14">
      <c r="A797" s="1" t="s">
        <v>809</v>
      </c>
      <c r="B797" s="2">
        <v>45582</v>
      </c>
      <c r="C797" s="1" t="s">
        <v>2015</v>
      </c>
      <c r="D797" s="1" t="s">
        <v>2029</v>
      </c>
      <c r="E797" s="1" t="s">
        <v>2048</v>
      </c>
      <c r="F797" s="1" t="s">
        <v>2049</v>
      </c>
      <c r="G797" s="1" t="s">
        <v>2082</v>
      </c>
      <c r="H797" s="1" t="s">
        <v>2086</v>
      </c>
      <c r="I797" s="1">
        <v>7</v>
      </c>
      <c r="J797" s="1">
        <v>1218.3599999999999</v>
      </c>
      <c r="K797" s="1">
        <v>5.97</v>
      </c>
      <c r="L797" s="1">
        <v>8019.37</v>
      </c>
      <c r="M797" s="1">
        <v>1252.6099999999999</v>
      </c>
      <c r="N797" s="1" t="s">
        <v>2092</v>
      </c>
    </row>
    <row r="798" spans="1:14">
      <c r="A798" s="1" t="s">
        <v>810</v>
      </c>
      <c r="B798" s="2">
        <v>45582</v>
      </c>
      <c r="C798" s="1" t="s">
        <v>2024</v>
      </c>
      <c r="D798" s="1" t="s">
        <v>2030</v>
      </c>
      <c r="E798" s="1" t="s">
        <v>2045</v>
      </c>
      <c r="F798" s="1" t="s">
        <v>2052</v>
      </c>
      <c r="G798" s="1" t="s">
        <v>2059</v>
      </c>
      <c r="H798" s="1" t="s">
        <v>2087</v>
      </c>
      <c r="I798" s="1">
        <v>4</v>
      </c>
      <c r="J798" s="1">
        <v>770.73</v>
      </c>
      <c r="K798" s="1">
        <v>7.87</v>
      </c>
      <c r="L798" s="1">
        <v>2840.29</v>
      </c>
      <c r="M798" s="1">
        <v>451.66</v>
      </c>
      <c r="N798" s="1" t="s">
        <v>2091</v>
      </c>
    </row>
    <row r="799" spans="1:14">
      <c r="A799" s="1" t="s">
        <v>811</v>
      </c>
      <c r="B799" s="2">
        <v>45583</v>
      </c>
      <c r="C799" s="1" t="s">
        <v>2015</v>
      </c>
      <c r="D799" s="1" t="s">
        <v>2031</v>
      </c>
      <c r="E799" s="1" t="s">
        <v>2045</v>
      </c>
      <c r="F799" s="1" t="s">
        <v>2052</v>
      </c>
      <c r="G799" s="1" t="s">
        <v>2059</v>
      </c>
      <c r="H799" s="1" t="s">
        <v>2087</v>
      </c>
      <c r="I799" s="1">
        <v>4</v>
      </c>
      <c r="J799" s="1">
        <v>7270.2</v>
      </c>
      <c r="K799" s="1">
        <v>28.24</v>
      </c>
      <c r="L799" s="1">
        <v>20868.38</v>
      </c>
      <c r="M799" s="1">
        <v>5642.99</v>
      </c>
      <c r="N799" s="1" t="s">
        <v>2089</v>
      </c>
    </row>
    <row r="800" spans="1:14">
      <c r="A800" s="1" t="s">
        <v>812</v>
      </c>
      <c r="B800" s="2">
        <v>45583</v>
      </c>
      <c r="C800" s="1" t="s">
        <v>2024</v>
      </c>
      <c r="D800" s="1" t="s">
        <v>2032</v>
      </c>
      <c r="E800" s="1" t="s">
        <v>2044</v>
      </c>
      <c r="F800" s="1" t="s">
        <v>2049</v>
      </c>
      <c r="G800" s="1" t="s">
        <v>2055</v>
      </c>
      <c r="H800" s="1" t="s">
        <v>2086</v>
      </c>
      <c r="I800" s="1">
        <v>7</v>
      </c>
      <c r="J800" s="1">
        <v>388.49</v>
      </c>
      <c r="K800" s="1">
        <v>3.78</v>
      </c>
      <c r="L800" s="1">
        <v>2616.64</v>
      </c>
      <c r="M800" s="1">
        <v>477.23</v>
      </c>
      <c r="N800" s="1" t="s">
        <v>2090</v>
      </c>
    </row>
    <row r="801" spans="1:14">
      <c r="A801" s="1" t="s">
        <v>813</v>
      </c>
      <c r="B801" s="2">
        <v>45583</v>
      </c>
      <c r="C801" s="1" t="s">
        <v>2026</v>
      </c>
      <c r="D801" s="1" t="s">
        <v>2033</v>
      </c>
      <c r="E801" s="1" t="s">
        <v>2047</v>
      </c>
      <c r="F801" s="1" t="s">
        <v>2051</v>
      </c>
      <c r="G801" s="1" t="s">
        <v>2061</v>
      </c>
      <c r="H801" s="1" t="s">
        <v>2086</v>
      </c>
      <c r="I801" s="1">
        <v>6</v>
      </c>
      <c r="J801" s="1">
        <v>19884.310000000001</v>
      </c>
      <c r="K801" s="1">
        <v>1.91</v>
      </c>
      <c r="L801" s="1">
        <v>117027.12</v>
      </c>
      <c r="M801" s="1">
        <v>21991.97</v>
      </c>
      <c r="N801" s="1" t="s">
        <v>2092</v>
      </c>
    </row>
    <row r="802" spans="1:14">
      <c r="A802" s="1" t="s">
        <v>814</v>
      </c>
      <c r="B802" s="2">
        <v>45584</v>
      </c>
      <c r="C802" s="1" t="s">
        <v>2015</v>
      </c>
      <c r="D802" s="1" t="s">
        <v>2034</v>
      </c>
      <c r="E802" s="1" t="s">
        <v>2048</v>
      </c>
      <c r="F802" s="1" t="s">
        <v>2054</v>
      </c>
      <c r="G802" s="1" t="s">
        <v>2063</v>
      </c>
      <c r="H802" s="1" t="s">
        <v>2086</v>
      </c>
      <c r="I802" s="1">
        <v>3</v>
      </c>
      <c r="J802" s="1">
        <v>18816.41</v>
      </c>
      <c r="K802" s="1">
        <v>20.56</v>
      </c>
      <c r="L802" s="1">
        <v>44843.27</v>
      </c>
      <c r="M802" s="1">
        <v>13250.03</v>
      </c>
      <c r="N802" s="1" t="s">
        <v>2092</v>
      </c>
    </row>
    <row r="803" spans="1:14">
      <c r="A803" s="1" t="s">
        <v>815</v>
      </c>
      <c r="B803" s="2">
        <v>45584</v>
      </c>
      <c r="C803" s="1" t="s">
        <v>2023</v>
      </c>
      <c r="D803" s="1" t="s">
        <v>2035</v>
      </c>
      <c r="E803" s="1" t="s">
        <v>2046</v>
      </c>
      <c r="F803" s="1" t="s">
        <v>2050</v>
      </c>
      <c r="G803" s="1" t="s">
        <v>2070</v>
      </c>
      <c r="H803" s="1" t="s">
        <v>2086</v>
      </c>
      <c r="I803" s="1">
        <v>2</v>
      </c>
      <c r="J803" s="1">
        <v>6860.16</v>
      </c>
      <c r="K803" s="1">
        <v>10.7</v>
      </c>
      <c r="L803" s="1">
        <v>12252.25</v>
      </c>
      <c r="M803" s="1">
        <v>1413.29</v>
      </c>
      <c r="N803" s="1" t="s">
        <v>2092</v>
      </c>
    </row>
    <row r="804" spans="1:14">
      <c r="A804" s="1" t="s">
        <v>816</v>
      </c>
      <c r="B804" s="2">
        <v>45584</v>
      </c>
      <c r="C804" s="1" t="s">
        <v>2022</v>
      </c>
      <c r="D804" s="1" t="s">
        <v>2036</v>
      </c>
      <c r="E804" s="1" t="s">
        <v>2046</v>
      </c>
      <c r="F804" s="1" t="s">
        <v>2050</v>
      </c>
      <c r="G804" s="1" t="s">
        <v>2064</v>
      </c>
      <c r="H804" s="1" t="s">
        <v>2085</v>
      </c>
      <c r="I804" s="1">
        <v>9</v>
      </c>
      <c r="J804" s="1">
        <v>5797.48</v>
      </c>
      <c r="K804" s="1">
        <v>27.74</v>
      </c>
      <c r="L804" s="1">
        <v>37703.33</v>
      </c>
      <c r="M804" s="1">
        <v>6759.57</v>
      </c>
      <c r="N804" s="1" t="s">
        <v>2089</v>
      </c>
    </row>
    <row r="805" spans="1:14">
      <c r="A805" s="1" t="s">
        <v>817</v>
      </c>
      <c r="B805" s="2">
        <v>45585</v>
      </c>
      <c r="C805" s="1" t="s">
        <v>2022</v>
      </c>
      <c r="D805" s="1" t="s">
        <v>2037</v>
      </c>
      <c r="E805" s="1" t="s">
        <v>2047</v>
      </c>
      <c r="F805" s="1" t="s">
        <v>2050</v>
      </c>
      <c r="G805" s="1" t="s">
        <v>2075</v>
      </c>
      <c r="H805" s="1" t="s">
        <v>2086</v>
      </c>
      <c r="I805" s="1">
        <v>5</v>
      </c>
      <c r="J805" s="1">
        <v>5093.83</v>
      </c>
      <c r="K805" s="1">
        <v>0.3</v>
      </c>
      <c r="L805" s="1">
        <v>25392.74</v>
      </c>
      <c r="M805" s="1">
        <v>2506.52</v>
      </c>
      <c r="N805" s="1" t="s">
        <v>2091</v>
      </c>
    </row>
    <row r="806" spans="1:14">
      <c r="A806" s="1" t="s">
        <v>818</v>
      </c>
      <c r="B806" s="2">
        <v>45585</v>
      </c>
      <c r="C806" s="1" t="s">
        <v>2021</v>
      </c>
      <c r="D806" s="1" t="s">
        <v>2038</v>
      </c>
      <c r="E806" s="1" t="s">
        <v>2045</v>
      </c>
      <c r="F806" s="1" t="s">
        <v>2054</v>
      </c>
      <c r="G806" s="1" t="s">
        <v>2079</v>
      </c>
      <c r="H806" s="1" t="s">
        <v>2086</v>
      </c>
      <c r="I806" s="1">
        <v>10</v>
      </c>
      <c r="J806" s="1">
        <v>56625.83</v>
      </c>
      <c r="K806" s="1">
        <v>7.15</v>
      </c>
      <c r="L806" s="1">
        <v>525770.82999999996</v>
      </c>
      <c r="M806" s="1">
        <v>77377</v>
      </c>
      <c r="N806" s="1" t="s">
        <v>2091</v>
      </c>
    </row>
    <row r="807" spans="1:14">
      <c r="A807" s="1" t="s">
        <v>819</v>
      </c>
      <c r="B807" s="2">
        <v>45585</v>
      </c>
      <c r="C807" s="1" t="s">
        <v>2015</v>
      </c>
      <c r="D807" s="1" t="s">
        <v>2039</v>
      </c>
      <c r="E807" s="1" t="s">
        <v>2044</v>
      </c>
      <c r="F807" s="1" t="s">
        <v>2051</v>
      </c>
      <c r="G807" s="1" t="s">
        <v>2077</v>
      </c>
      <c r="H807" s="1" t="s">
        <v>2086</v>
      </c>
      <c r="I807" s="1">
        <v>7</v>
      </c>
      <c r="J807" s="1">
        <v>4122.47</v>
      </c>
      <c r="K807" s="1">
        <v>14.23</v>
      </c>
      <c r="L807" s="1">
        <v>24750.9</v>
      </c>
      <c r="M807" s="1">
        <v>1299.23</v>
      </c>
      <c r="N807" s="1" t="s">
        <v>2088</v>
      </c>
    </row>
    <row r="808" spans="1:14">
      <c r="A808" s="1" t="s">
        <v>820</v>
      </c>
      <c r="B808" s="2">
        <v>45586</v>
      </c>
      <c r="C808" s="1" t="s">
        <v>2022</v>
      </c>
      <c r="D808" s="1" t="s">
        <v>2040</v>
      </c>
      <c r="E808" s="1" t="s">
        <v>2048</v>
      </c>
      <c r="F808" s="1" t="s">
        <v>2049</v>
      </c>
      <c r="G808" s="1" t="s">
        <v>2058</v>
      </c>
      <c r="H808" s="1" t="s">
        <v>2087</v>
      </c>
      <c r="I808" s="1">
        <v>9</v>
      </c>
      <c r="J808" s="1">
        <v>874.07</v>
      </c>
      <c r="K808" s="1">
        <v>10.47</v>
      </c>
      <c r="L808" s="1">
        <v>7042.99</v>
      </c>
      <c r="M808" s="1">
        <v>1977.62</v>
      </c>
      <c r="N808" s="1" t="s">
        <v>2089</v>
      </c>
    </row>
    <row r="809" spans="1:14">
      <c r="A809" s="1" t="s">
        <v>821</v>
      </c>
      <c r="B809" s="2">
        <v>45586</v>
      </c>
      <c r="C809" s="1" t="s">
        <v>2025</v>
      </c>
      <c r="D809" s="1" t="s">
        <v>2041</v>
      </c>
      <c r="E809" s="1" t="s">
        <v>2044</v>
      </c>
      <c r="F809" s="1" t="s">
        <v>2053</v>
      </c>
      <c r="G809" s="1" t="s">
        <v>2076</v>
      </c>
      <c r="H809" s="1" t="s">
        <v>2085</v>
      </c>
      <c r="I809" s="1">
        <v>2</v>
      </c>
      <c r="J809" s="1">
        <v>602.6</v>
      </c>
      <c r="K809" s="1">
        <v>16.11</v>
      </c>
      <c r="L809" s="1">
        <v>1011.04</v>
      </c>
      <c r="M809" s="1">
        <v>236.89</v>
      </c>
      <c r="N809" s="1" t="s">
        <v>2092</v>
      </c>
    </row>
    <row r="810" spans="1:14">
      <c r="A810" s="1" t="s">
        <v>822</v>
      </c>
      <c r="B810" s="2">
        <v>45587</v>
      </c>
      <c r="C810" s="1" t="s">
        <v>2018</v>
      </c>
      <c r="D810" s="1" t="s">
        <v>2042</v>
      </c>
      <c r="E810" s="1" t="s">
        <v>2045</v>
      </c>
      <c r="F810" s="1" t="s">
        <v>2053</v>
      </c>
      <c r="G810" s="1" t="s">
        <v>2076</v>
      </c>
      <c r="H810" s="1" t="s">
        <v>2085</v>
      </c>
      <c r="I810" s="1">
        <v>5</v>
      </c>
      <c r="J810" s="1">
        <v>2496.5500000000002</v>
      </c>
      <c r="K810" s="1">
        <v>0.74</v>
      </c>
      <c r="L810" s="1">
        <v>12390.38</v>
      </c>
      <c r="M810" s="1">
        <v>3206.77</v>
      </c>
      <c r="N810" s="1" t="s">
        <v>2092</v>
      </c>
    </row>
    <row r="811" spans="1:14">
      <c r="A811" s="1" t="s">
        <v>823</v>
      </c>
      <c r="B811" s="2">
        <v>45587</v>
      </c>
      <c r="C811" s="1" t="s">
        <v>2020</v>
      </c>
      <c r="D811" s="1" t="s">
        <v>2043</v>
      </c>
      <c r="E811" s="1" t="s">
        <v>2044</v>
      </c>
      <c r="F811" s="1" t="s">
        <v>2054</v>
      </c>
      <c r="G811" s="1" t="s">
        <v>2068</v>
      </c>
      <c r="H811" s="1" t="s">
        <v>2085</v>
      </c>
      <c r="I811" s="1">
        <v>8</v>
      </c>
      <c r="J811" s="1">
        <v>26425.43</v>
      </c>
      <c r="K811" s="1">
        <v>6.61</v>
      </c>
      <c r="L811" s="1">
        <v>197429.67</v>
      </c>
      <c r="M811" s="1">
        <v>55541.32</v>
      </c>
      <c r="N811" s="1" t="s">
        <v>2089</v>
      </c>
    </row>
    <row r="812" spans="1:14">
      <c r="A812" s="1" t="s">
        <v>824</v>
      </c>
      <c r="B812" s="2">
        <v>45587</v>
      </c>
      <c r="C812" s="1" t="s">
        <v>2015</v>
      </c>
      <c r="D812" s="1" t="s">
        <v>2029</v>
      </c>
      <c r="E812" s="1" t="s">
        <v>2048</v>
      </c>
      <c r="F812" s="1" t="s">
        <v>2051</v>
      </c>
      <c r="G812" s="1" t="s">
        <v>2080</v>
      </c>
      <c r="H812" s="1" t="s">
        <v>2085</v>
      </c>
      <c r="I812" s="1">
        <v>4</v>
      </c>
      <c r="J812" s="1">
        <v>8351.49</v>
      </c>
      <c r="K812" s="1">
        <v>24.15</v>
      </c>
      <c r="L812" s="1">
        <v>25338.42</v>
      </c>
      <c r="M812" s="1">
        <v>7394.56</v>
      </c>
      <c r="N812" s="1" t="s">
        <v>2091</v>
      </c>
    </row>
    <row r="813" spans="1:14">
      <c r="A813" s="1" t="s">
        <v>825</v>
      </c>
      <c r="B813" s="2">
        <v>45588</v>
      </c>
      <c r="C813" s="1" t="s">
        <v>2019</v>
      </c>
      <c r="D813" s="1" t="s">
        <v>2030</v>
      </c>
      <c r="E813" s="1" t="s">
        <v>2045</v>
      </c>
      <c r="F813" s="1" t="s">
        <v>2054</v>
      </c>
      <c r="G813" s="1" t="s">
        <v>2068</v>
      </c>
      <c r="H813" s="1" t="s">
        <v>2085</v>
      </c>
      <c r="I813" s="1">
        <v>6</v>
      </c>
      <c r="J813" s="1">
        <v>11982.7</v>
      </c>
      <c r="K813" s="1">
        <v>13.26</v>
      </c>
      <c r="L813" s="1">
        <v>62362.76</v>
      </c>
      <c r="M813" s="1">
        <v>8327.06</v>
      </c>
      <c r="N813" s="1" t="s">
        <v>2088</v>
      </c>
    </row>
    <row r="814" spans="1:14">
      <c r="A814" s="1" t="s">
        <v>826</v>
      </c>
      <c r="B814" s="2">
        <v>45588</v>
      </c>
      <c r="C814" s="1" t="s">
        <v>2019</v>
      </c>
      <c r="D814" s="1" t="s">
        <v>2031</v>
      </c>
      <c r="E814" s="1" t="s">
        <v>2046</v>
      </c>
      <c r="F814" s="1" t="s">
        <v>2050</v>
      </c>
      <c r="G814" s="1" t="s">
        <v>2075</v>
      </c>
      <c r="H814" s="1" t="s">
        <v>2085</v>
      </c>
      <c r="I814" s="1">
        <v>9</v>
      </c>
      <c r="J814" s="1">
        <v>5790.21</v>
      </c>
      <c r="K814" s="1">
        <v>10.99</v>
      </c>
      <c r="L814" s="1">
        <v>46384.79</v>
      </c>
      <c r="M814" s="1">
        <v>2933.1</v>
      </c>
      <c r="N814" s="1" t="s">
        <v>2092</v>
      </c>
    </row>
    <row r="815" spans="1:14">
      <c r="A815" s="1" t="s">
        <v>827</v>
      </c>
      <c r="B815" s="2">
        <v>45588</v>
      </c>
      <c r="C815" s="1" t="s">
        <v>2025</v>
      </c>
      <c r="D815" s="1" t="s">
        <v>2032</v>
      </c>
      <c r="E815" s="1" t="s">
        <v>2046</v>
      </c>
      <c r="F815" s="1" t="s">
        <v>2053</v>
      </c>
      <c r="G815" s="1" t="s">
        <v>2073</v>
      </c>
      <c r="H815" s="1" t="s">
        <v>2087</v>
      </c>
      <c r="I815" s="1">
        <v>6</v>
      </c>
      <c r="J815" s="1">
        <v>1558.87</v>
      </c>
      <c r="K815" s="1">
        <v>12.1</v>
      </c>
      <c r="L815" s="1">
        <v>8221.48</v>
      </c>
      <c r="M815" s="1">
        <v>1801.47</v>
      </c>
      <c r="N815" s="1" t="s">
        <v>2088</v>
      </c>
    </row>
    <row r="816" spans="1:14">
      <c r="A816" s="1" t="s">
        <v>828</v>
      </c>
      <c r="B816" s="2">
        <v>45589</v>
      </c>
      <c r="C816" s="1" t="s">
        <v>2025</v>
      </c>
      <c r="D816" s="1" t="s">
        <v>2033</v>
      </c>
      <c r="E816" s="1" t="s">
        <v>2048</v>
      </c>
      <c r="F816" s="1" t="s">
        <v>2053</v>
      </c>
      <c r="G816" s="1" t="s">
        <v>2076</v>
      </c>
      <c r="H816" s="1" t="s">
        <v>2087</v>
      </c>
      <c r="I816" s="1">
        <v>6</v>
      </c>
      <c r="J816" s="1">
        <v>1027.51</v>
      </c>
      <c r="K816" s="1">
        <v>12.61</v>
      </c>
      <c r="L816" s="1">
        <v>5387.65</v>
      </c>
      <c r="M816" s="1">
        <v>1026.5</v>
      </c>
      <c r="N816" s="1" t="s">
        <v>2088</v>
      </c>
    </row>
    <row r="817" spans="1:14">
      <c r="A817" s="1" t="s">
        <v>829</v>
      </c>
      <c r="B817" s="2">
        <v>45589</v>
      </c>
      <c r="C817" s="1" t="s">
        <v>2028</v>
      </c>
      <c r="D817" s="1" t="s">
        <v>2034</v>
      </c>
      <c r="E817" s="1" t="s">
        <v>2044</v>
      </c>
      <c r="F817" s="1" t="s">
        <v>2054</v>
      </c>
      <c r="G817" s="1" t="s">
        <v>2066</v>
      </c>
      <c r="H817" s="1" t="s">
        <v>2085</v>
      </c>
      <c r="I817" s="1">
        <v>8</v>
      </c>
      <c r="J817" s="1">
        <v>22019.35</v>
      </c>
      <c r="K817" s="1">
        <v>11.11</v>
      </c>
      <c r="L817" s="1">
        <v>156584</v>
      </c>
      <c r="M817" s="1">
        <v>30100.2</v>
      </c>
      <c r="N817" s="1" t="s">
        <v>2092</v>
      </c>
    </row>
    <row r="818" spans="1:14">
      <c r="A818" s="1" t="s">
        <v>830</v>
      </c>
      <c r="B818" s="2">
        <v>45589</v>
      </c>
      <c r="C818" s="1" t="s">
        <v>2023</v>
      </c>
      <c r="D818" s="1" t="s">
        <v>2035</v>
      </c>
      <c r="E818" s="1" t="s">
        <v>2045</v>
      </c>
      <c r="F818" s="1" t="s">
        <v>2052</v>
      </c>
      <c r="G818" s="1" t="s">
        <v>2078</v>
      </c>
      <c r="H818" s="1" t="s">
        <v>2087</v>
      </c>
      <c r="I818" s="1">
        <v>10</v>
      </c>
      <c r="J818" s="1">
        <v>6757.71</v>
      </c>
      <c r="K818" s="1">
        <v>12.31</v>
      </c>
      <c r="L818" s="1">
        <v>59258.36</v>
      </c>
      <c r="M818" s="1">
        <v>9936.16</v>
      </c>
      <c r="N818" s="1" t="s">
        <v>2090</v>
      </c>
    </row>
    <row r="819" spans="1:14">
      <c r="A819" s="1" t="s">
        <v>831</v>
      </c>
      <c r="B819" s="2">
        <v>45590</v>
      </c>
      <c r="C819" s="1" t="s">
        <v>2020</v>
      </c>
      <c r="D819" s="1" t="s">
        <v>2036</v>
      </c>
      <c r="E819" s="1" t="s">
        <v>2046</v>
      </c>
      <c r="F819" s="1" t="s">
        <v>2050</v>
      </c>
      <c r="G819" s="1" t="s">
        <v>2084</v>
      </c>
      <c r="H819" s="1" t="s">
        <v>2085</v>
      </c>
      <c r="I819" s="1">
        <v>8</v>
      </c>
      <c r="J819" s="1">
        <v>5652.42</v>
      </c>
      <c r="K819" s="1">
        <v>18.489999999999998</v>
      </c>
      <c r="L819" s="1">
        <v>36858.300000000003</v>
      </c>
      <c r="M819" s="1">
        <v>6292.44</v>
      </c>
      <c r="N819" s="1" t="s">
        <v>2089</v>
      </c>
    </row>
    <row r="820" spans="1:14">
      <c r="A820" s="1" t="s">
        <v>832</v>
      </c>
      <c r="B820" s="2">
        <v>45590</v>
      </c>
      <c r="C820" s="1" t="s">
        <v>2028</v>
      </c>
      <c r="D820" s="1" t="s">
        <v>2037</v>
      </c>
      <c r="E820" s="1" t="s">
        <v>2047</v>
      </c>
      <c r="F820" s="1" t="s">
        <v>2054</v>
      </c>
      <c r="G820" s="1" t="s">
        <v>2063</v>
      </c>
      <c r="H820" s="1" t="s">
        <v>2087</v>
      </c>
      <c r="I820" s="1">
        <v>5</v>
      </c>
      <c r="J820" s="1">
        <v>47913.29</v>
      </c>
      <c r="K820" s="1">
        <v>10.98</v>
      </c>
      <c r="L820" s="1">
        <v>213262.05</v>
      </c>
      <c r="M820" s="1">
        <v>53694.43</v>
      </c>
      <c r="N820" s="1" t="s">
        <v>2092</v>
      </c>
    </row>
    <row r="821" spans="1:14">
      <c r="A821" s="1" t="s">
        <v>833</v>
      </c>
      <c r="B821" s="2">
        <v>45591</v>
      </c>
      <c r="C821" s="1" t="s">
        <v>2014</v>
      </c>
      <c r="D821" s="1" t="s">
        <v>2038</v>
      </c>
      <c r="E821" s="1" t="s">
        <v>2047</v>
      </c>
      <c r="F821" s="1" t="s">
        <v>2050</v>
      </c>
      <c r="G821" s="1" t="s">
        <v>2070</v>
      </c>
      <c r="H821" s="1" t="s">
        <v>2085</v>
      </c>
      <c r="I821" s="1">
        <v>6</v>
      </c>
      <c r="J821" s="1">
        <v>7226.92</v>
      </c>
      <c r="K821" s="1">
        <v>23.46</v>
      </c>
      <c r="L821" s="1">
        <v>33188.910000000003</v>
      </c>
      <c r="M821" s="1">
        <v>3280.38</v>
      </c>
      <c r="N821" s="1" t="s">
        <v>2090</v>
      </c>
    </row>
    <row r="822" spans="1:14">
      <c r="A822" s="1" t="s">
        <v>834</v>
      </c>
      <c r="B822" s="2">
        <v>45591</v>
      </c>
      <c r="C822" s="1" t="s">
        <v>2017</v>
      </c>
      <c r="D822" s="1" t="s">
        <v>2039</v>
      </c>
      <c r="E822" s="1" t="s">
        <v>2047</v>
      </c>
      <c r="F822" s="1" t="s">
        <v>2053</v>
      </c>
      <c r="G822" s="1" t="s">
        <v>2073</v>
      </c>
      <c r="H822" s="1" t="s">
        <v>2086</v>
      </c>
      <c r="I822" s="1">
        <v>6</v>
      </c>
      <c r="J822" s="1">
        <v>1373.02</v>
      </c>
      <c r="K822" s="1">
        <v>19.88</v>
      </c>
      <c r="L822" s="1">
        <v>6600.38</v>
      </c>
      <c r="M822" s="1">
        <v>1303.8599999999999</v>
      </c>
      <c r="N822" s="1" t="s">
        <v>2090</v>
      </c>
    </row>
    <row r="823" spans="1:14">
      <c r="A823" s="1" t="s">
        <v>835</v>
      </c>
      <c r="B823" s="2">
        <v>45591</v>
      </c>
      <c r="C823" s="1" t="s">
        <v>2018</v>
      </c>
      <c r="D823" s="1" t="s">
        <v>2040</v>
      </c>
      <c r="E823" s="1" t="s">
        <v>2044</v>
      </c>
      <c r="F823" s="1" t="s">
        <v>2052</v>
      </c>
      <c r="G823" s="1" t="s">
        <v>2072</v>
      </c>
      <c r="H823" s="1" t="s">
        <v>2087</v>
      </c>
      <c r="I823" s="1">
        <v>10</v>
      </c>
      <c r="J823" s="1">
        <v>7718.27</v>
      </c>
      <c r="K823" s="1">
        <v>29.18</v>
      </c>
      <c r="L823" s="1">
        <v>54660.79</v>
      </c>
      <c r="M823" s="1">
        <v>6639.12</v>
      </c>
      <c r="N823" s="1" t="s">
        <v>2092</v>
      </c>
    </row>
    <row r="824" spans="1:14">
      <c r="A824" s="1" t="s">
        <v>836</v>
      </c>
      <c r="B824" s="2">
        <v>45592</v>
      </c>
      <c r="C824" s="1" t="s">
        <v>2022</v>
      </c>
      <c r="D824" s="1" t="s">
        <v>2041</v>
      </c>
      <c r="E824" s="1" t="s">
        <v>2048</v>
      </c>
      <c r="F824" s="1" t="s">
        <v>2050</v>
      </c>
      <c r="G824" s="1" t="s">
        <v>2070</v>
      </c>
      <c r="H824" s="1" t="s">
        <v>2086</v>
      </c>
      <c r="I824" s="1">
        <v>4</v>
      </c>
      <c r="J824" s="1">
        <v>4529.8100000000004</v>
      </c>
      <c r="K824" s="1">
        <v>27.89</v>
      </c>
      <c r="L824" s="1">
        <v>13065.78</v>
      </c>
      <c r="M824" s="1">
        <v>3749.43</v>
      </c>
      <c r="N824" s="1" t="s">
        <v>2090</v>
      </c>
    </row>
    <row r="825" spans="1:14">
      <c r="A825" s="1" t="s">
        <v>837</v>
      </c>
      <c r="B825" s="2">
        <v>45592</v>
      </c>
      <c r="C825" s="1" t="s">
        <v>2020</v>
      </c>
      <c r="D825" s="1" t="s">
        <v>2042</v>
      </c>
      <c r="E825" s="1" t="s">
        <v>2044</v>
      </c>
      <c r="F825" s="1" t="s">
        <v>2054</v>
      </c>
      <c r="G825" s="1" t="s">
        <v>2081</v>
      </c>
      <c r="H825" s="1" t="s">
        <v>2086</v>
      </c>
      <c r="I825" s="1">
        <v>2</v>
      </c>
      <c r="J825" s="1">
        <v>60630.31</v>
      </c>
      <c r="K825" s="1">
        <v>23.82</v>
      </c>
      <c r="L825" s="1">
        <v>92376.34</v>
      </c>
      <c r="M825" s="1">
        <v>16041.08</v>
      </c>
      <c r="N825" s="1" t="s">
        <v>2090</v>
      </c>
    </row>
    <row r="826" spans="1:14">
      <c r="A826" s="1" t="s">
        <v>838</v>
      </c>
      <c r="B826" s="2">
        <v>45592</v>
      </c>
      <c r="C826" s="1" t="s">
        <v>2017</v>
      </c>
      <c r="D826" s="1" t="s">
        <v>2043</v>
      </c>
      <c r="E826" s="1" t="s">
        <v>2047</v>
      </c>
      <c r="F826" s="1" t="s">
        <v>2049</v>
      </c>
      <c r="G826" s="1" t="s">
        <v>2058</v>
      </c>
      <c r="H826" s="1" t="s">
        <v>2087</v>
      </c>
      <c r="I826" s="1">
        <v>10</v>
      </c>
      <c r="J826" s="1">
        <v>609.19000000000005</v>
      </c>
      <c r="K826" s="1">
        <v>26.77</v>
      </c>
      <c r="L826" s="1">
        <v>4461.1000000000004</v>
      </c>
      <c r="M826" s="1">
        <v>703.67</v>
      </c>
      <c r="N826" s="1" t="s">
        <v>2088</v>
      </c>
    </row>
    <row r="827" spans="1:14">
      <c r="A827" s="1" t="s">
        <v>839</v>
      </c>
      <c r="B827" s="2">
        <v>45593</v>
      </c>
      <c r="C827" s="1" t="s">
        <v>2024</v>
      </c>
      <c r="D827" s="1" t="s">
        <v>2029</v>
      </c>
      <c r="E827" s="1" t="s">
        <v>2047</v>
      </c>
      <c r="F827" s="1" t="s">
        <v>2054</v>
      </c>
      <c r="G827" s="1" t="s">
        <v>2081</v>
      </c>
      <c r="H827" s="1" t="s">
        <v>2085</v>
      </c>
      <c r="I827" s="1">
        <v>8</v>
      </c>
      <c r="J827" s="1">
        <v>47052.12</v>
      </c>
      <c r="K827" s="1">
        <v>15.64</v>
      </c>
      <c r="L827" s="1">
        <v>317545.34999999998</v>
      </c>
      <c r="M827" s="1">
        <v>27767.53</v>
      </c>
      <c r="N827" s="1" t="s">
        <v>2089</v>
      </c>
    </row>
    <row r="828" spans="1:14">
      <c r="A828" s="1" t="s">
        <v>840</v>
      </c>
      <c r="B828" s="2">
        <v>45593</v>
      </c>
      <c r="C828" s="1" t="s">
        <v>2016</v>
      </c>
      <c r="D828" s="1" t="s">
        <v>2030</v>
      </c>
      <c r="E828" s="1" t="s">
        <v>2045</v>
      </c>
      <c r="F828" s="1" t="s">
        <v>2054</v>
      </c>
      <c r="G828" s="1" t="s">
        <v>2081</v>
      </c>
      <c r="H828" s="1" t="s">
        <v>2086</v>
      </c>
      <c r="I828" s="1">
        <v>8</v>
      </c>
      <c r="J828" s="1">
        <v>35627.370000000003</v>
      </c>
      <c r="K828" s="1">
        <v>10.4</v>
      </c>
      <c r="L828" s="1">
        <v>255376.99</v>
      </c>
      <c r="M828" s="1">
        <v>60425.52</v>
      </c>
      <c r="N828" s="1" t="s">
        <v>2088</v>
      </c>
    </row>
    <row r="829" spans="1:14">
      <c r="A829" s="1" t="s">
        <v>841</v>
      </c>
      <c r="B829" s="2">
        <v>45594</v>
      </c>
      <c r="C829" s="1" t="s">
        <v>2025</v>
      </c>
      <c r="D829" s="1" t="s">
        <v>2031</v>
      </c>
      <c r="E829" s="1" t="s">
        <v>2045</v>
      </c>
      <c r="F829" s="1" t="s">
        <v>2052</v>
      </c>
      <c r="G829" s="1" t="s">
        <v>2078</v>
      </c>
      <c r="H829" s="1" t="s">
        <v>2086</v>
      </c>
      <c r="I829" s="1">
        <v>2</v>
      </c>
      <c r="J829" s="1">
        <v>7968.39</v>
      </c>
      <c r="K829" s="1">
        <v>8.3699999999999992</v>
      </c>
      <c r="L829" s="1">
        <v>14602.87</v>
      </c>
      <c r="M829" s="1">
        <v>3089.84</v>
      </c>
      <c r="N829" s="1" t="s">
        <v>2088</v>
      </c>
    </row>
    <row r="830" spans="1:14">
      <c r="A830" s="1" t="s">
        <v>842</v>
      </c>
      <c r="B830" s="2">
        <v>45594</v>
      </c>
      <c r="C830" s="1" t="s">
        <v>2023</v>
      </c>
      <c r="D830" s="1" t="s">
        <v>2032</v>
      </c>
      <c r="E830" s="1" t="s">
        <v>2048</v>
      </c>
      <c r="F830" s="1" t="s">
        <v>2053</v>
      </c>
      <c r="G830" s="1" t="s">
        <v>2076</v>
      </c>
      <c r="H830" s="1" t="s">
        <v>2086</v>
      </c>
      <c r="I830" s="1">
        <v>8</v>
      </c>
      <c r="J830" s="1">
        <v>2198.7399999999998</v>
      </c>
      <c r="K830" s="1">
        <v>1.3</v>
      </c>
      <c r="L830" s="1">
        <v>17361.25</v>
      </c>
      <c r="M830" s="1">
        <v>2001.01</v>
      </c>
      <c r="N830" s="1" t="s">
        <v>2089</v>
      </c>
    </row>
    <row r="831" spans="1:14">
      <c r="A831" s="1" t="s">
        <v>843</v>
      </c>
      <c r="B831" s="2">
        <v>45594</v>
      </c>
      <c r="C831" s="1" t="s">
        <v>2019</v>
      </c>
      <c r="D831" s="1" t="s">
        <v>2033</v>
      </c>
      <c r="E831" s="1" t="s">
        <v>2044</v>
      </c>
      <c r="F831" s="1" t="s">
        <v>2050</v>
      </c>
      <c r="G831" s="1" t="s">
        <v>2064</v>
      </c>
      <c r="H831" s="1" t="s">
        <v>2086</v>
      </c>
      <c r="I831" s="1">
        <v>5</v>
      </c>
      <c r="J831" s="1">
        <v>4377.71</v>
      </c>
      <c r="K831" s="1">
        <v>12.03</v>
      </c>
      <c r="L831" s="1">
        <v>19255.36</v>
      </c>
      <c r="M831" s="1">
        <v>2394.37</v>
      </c>
      <c r="N831" s="1" t="s">
        <v>2088</v>
      </c>
    </row>
    <row r="832" spans="1:14">
      <c r="A832" s="1" t="s">
        <v>844</v>
      </c>
      <c r="B832" s="2">
        <v>45595</v>
      </c>
      <c r="C832" s="1" t="s">
        <v>2027</v>
      </c>
      <c r="D832" s="1" t="s">
        <v>2034</v>
      </c>
      <c r="E832" s="1" t="s">
        <v>2047</v>
      </c>
      <c r="F832" s="1" t="s">
        <v>2051</v>
      </c>
      <c r="G832" s="1" t="s">
        <v>2080</v>
      </c>
      <c r="H832" s="1" t="s">
        <v>2086</v>
      </c>
      <c r="I832" s="1">
        <v>10</v>
      </c>
      <c r="J832" s="1">
        <v>9493.4500000000007</v>
      </c>
      <c r="K832" s="1">
        <v>20.309999999999999</v>
      </c>
      <c r="L832" s="1">
        <v>75653.3</v>
      </c>
      <c r="M832" s="1">
        <v>18974.080000000002</v>
      </c>
      <c r="N832" s="1" t="s">
        <v>2091</v>
      </c>
    </row>
    <row r="833" spans="1:14">
      <c r="A833" s="1" t="s">
        <v>845</v>
      </c>
      <c r="B833" s="2">
        <v>45595</v>
      </c>
      <c r="C833" s="1" t="s">
        <v>2025</v>
      </c>
      <c r="D833" s="1" t="s">
        <v>2035</v>
      </c>
      <c r="E833" s="1" t="s">
        <v>2044</v>
      </c>
      <c r="F833" s="1" t="s">
        <v>2053</v>
      </c>
      <c r="G833" s="1" t="s">
        <v>2062</v>
      </c>
      <c r="H833" s="1" t="s">
        <v>2085</v>
      </c>
      <c r="I833" s="1">
        <v>10</v>
      </c>
      <c r="J833" s="1">
        <v>807.28</v>
      </c>
      <c r="K833" s="1">
        <v>17.14</v>
      </c>
      <c r="L833" s="1">
        <v>6689.12</v>
      </c>
      <c r="M833" s="1">
        <v>1580.97</v>
      </c>
      <c r="N833" s="1" t="s">
        <v>2092</v>
      </c>
    </row>
    <row r="834" spans="1:14">
      <c r="A834" s="1" t="s">
        <v>846</v>
      </c>
      <c r="B834" s="2">
        <v>45595</v>
      </c>
      <c r="C834" s="1" t="s">
        <v>2022</v>
      </c>
      <c r="D834" s="1" t="s">
        <v>2036</v>
      </c>
      <c r="E834" s="1" t="s">
        <v>2045</v>
      </c>
      <c r="F834" s="1" t="s">
        <v>2052</v>
      </c>
      <c r="G834" s="1" t="s">
        <v>2083</v>
      </c>
      <c r="H834" s="1" t="s">
        <v>2085</v>
      </c>
      <c r="I834" s="1">
        <v>1</v>
      </c>
      <c r="J834" s="1">
        <v>9313.23</v>
      </c>
      <c r="K834" s="1">
        <v>16.350000000000001</v>
      </c>
      <c r="L834" s="1">
        <v>7790.52</v>
      </c>
      <c r="M834" s="1">
        <v>1677.82</v>
      </c>
      <c r="N834" s="1" t="s">
        <v>2091</v>
      </c>
    </row>
    <row r="835" spans="1:14">
      <c r="A835" s="1" t="s">
        <v>847</v>
      </c>
      <c r="B835" s="2">
        <v>45596</v>
      </c>
      <c r="C835" s="1" t="s">
        <v>2024</v>
      </c>
      <c r="D835" s="1" t="s">
        <v>2037</v>
      </c>
      <c r="E835" s="1" t="s">
        <v>2045</v>
      </c>
      <c r="F835" s="1" t="s">
        <v>2052</v>
      </c>
      <c r="G835" s="1" t="s">
        <v>2059</v>
      </c>
      <c r="H835" s="1" t="s">
        <v>2085</v>
      </c>
      <c r="I835" s="1">
        <v>10</v>
      </c>
      <c r="J835" s="1">
        <v>8598.8799999999992</v>
      </c>
      <c r="K835" s="1">
        <v>12.45</v>
      </c>
      <c r="L835" s="1">
        <v>75283.19</v>
      </c>
      <c r="M835" s="1">
        <v>5445.61</v>
      </c>
      <c r="N835" s="1" t="s">
        <v>2089</v>
      </c>
    </row>
    <row r="836" spans="1:14">
      <c r="A836" s="1" t="s">
        <v>848</v>
      </c>
      <c r="B836" s="2">
        <v>45596</v>
      </c>
      <c r="C836" s="1" t="s">
        <v>2024</v>
      </c>
      <c r="D836" s="1" t="s">
        <v>2038</v>
      </c>
      <c r="E836" s="1" t="s">
        <v>2045</v>
      </c>
      <c r="F836" s="1" t="s">
        <v>2053</v>
      </c>
      <c r="G836" s="1" t="s">
        <v>2060</v>
      </c>
      <c r="H836" s="1" t="s">
        <v>2085</v>
      </c>
      <c r="I836" s="1">
        <v>6</v>
      </c>
      <c r="J836" s="1">
        <v>1126.4100000000001</v>
      </c>
      <c r="K836" s="1">
        <v>17.88</v>
      </c>
      <c r="L836" s="1">
        <v>5550.05</v>
      </c>
      <c r="M836" s="1">
        <v>401.9</v>
      </c>
      <c r="N836" s="1" t="s">
        <v>2091</v>
      </c>
    </row>
    <row r="837" spans="1:14">
      <c r="A837" s="1" t="s">
        <v>849</v>
      </c>
      <c r="B837" s="2">
        <v>45596</v>
      </c>
      <c r="C837" s="1" t="s">
        <v>2021</v>
      </c>
      <c r="D837" s="1" t="s">
        <v>2039</v>
      </c>
      <c r="E837" s="1" t="s">
        <v>2046</v>
      </c>
      <c r="F837" s="1" t="s">
        <v>2051</v>
      </c>
      <c r="G837" s="1" t="s">
        <v>2069</v>
      </c>
      <c r="H837" s="1" t="s">
        <v>2085</v>
      </c>
      <c r="I837" s="1">
        <v>2</v>
      </c>
      <c r="J837" s="1">
        <v>1429.52</v>
      </c>
      <c r="K837" s="1">
        <v>12.5</v>
      </c>
      <c r="L837" s="1">
        <v>2501.66</v>
      </c>
      <c r="M837" s="1">
        <v>222.03</v>
      </c>
      <c r="N837" s="1" t="s">
        <v>2091</v>
      </c>
    </row>
    <row r="838" spans="1:14">
      <c r="A838" s="1" t="s">
        <v>850</v>
      </c>
      <c r="B838" s="2">
        <v>45597</v>
      </c>
      <c r="C838" s="1" t="s">
        <v>2015</v>
      </c>
      <c r="D838" s="1" t="s">
        <v>2040</v>
      </c>
      <c r="E838" s="1" t="s">
        <v>2044</v>
      </c>
      <c r="F838" s="1" t="s">
        <v>2053</v>
      </c>
      <c r="G838" s="1" t="s">
        <v>2062</v>
      </c>
      <c r="H838" s="1" t="s">
        <v>2085</v>
      </c>
      <c r="I838" s="1">
        <v>8</v>
      </c>
      <c r="J838" s="1">
        <v>2352.27</v>
      </c>
      <c r="K838" s="1">
        <v>5.13</v>
      </c>
      <c r="L838" s="1">
        <v>17852.79</v>
      </c>
      <c r="M838" s="1">
        <v>1398.07</v>
      </c>
      <c r="N838" s="1" t="s">
        <v>2090</v>
      </c>
    </row>
    <row r="839" spans="1:14">
      <c r="A839" s="1" t="s">
        <v>851</v>
      </c>
      <c r="B839" s="2">
        <v>45597</v>
      </c>
      <c r="C839" s="1" t="s">
        <v>2028</v>
      </c>
      <c r="D839" s="1" t="s">
        <v>2041</v>
      </c>
      <c r="E839" s="1" t="s">
        <v>2045</v>
      </c>
      <c r="F839" s="1" t="s">
        <v>2051</v>
      </c>
      <c r="G839" s="1" t="s">
        <v>2077</v>
      </c>
      <c r="H839" s="1" t="s">
        <v>2085</v>
      </c>
      <c r="I839" s="1">
        <v>10</v>
      </c>
      <c r="J839" s="1">
        <v>27487.7</v>
      </c>
      <c r="K839" s="1">
        <v>2.2200000000000002</v>
      </c>
      <c r="L839" s="1">
        <v>268774.73</v>
      </c>
      <c r="M839" s="1">
        <v>80150.78</v>
      </c>
      <c r="N839" s="1" t="s">
        <v>2092</v>
      </c>
    </row>
    <row r="840" spans="1:14">
      <c r="A840" s="1" t="s">
        <v>852</v>
      </c>
      <c r="B840" s="2">
        <v>45598</v>
      </c>
      <c r="C840" s="1" t="s">
        <v>2028</v>
      </c>
      <c r="D840" s="1" t="s">
        <v>2042</v>
      </c>
      <c r="E840" s="1" t="s">
        <v>2047</v>
      </c>
      <c r="F840" s="1" t="s">
        <v>2052</v>
      </c>
      <c r="G840" s="1" t="s">
        <v>2083</v>
      </c>
      <c r="H840" s="1" t="s">
        <v>2086</v>
      </c>
      <c r="I840" s="1">
        <v>7</v>
      </c>
      <c r="J840" s="1">
        <v>1047.28</v>
      </c>
      <c r="K840" s="1">
        <v>0.04</v>
      </c>
      <c r="L840" s="1">
        <v>7328.03</v>
      </c>
      <c r="M840" s="1">
        <v>1190.04</v>
      </c>
      <c r="N840" s="1" t="s">
        <v>2091</v>
      </c>
    </row>
    <row r="841" spans="1:14">
      <c r="A841" s="1" t="s">
        <v>853</v>
      </c>
      <c r="B841" s="2">
        <v>45598</v>
      </c>
      <c r="C841" s="1" t="s">
        <v>2026</v>
      </c>
      <c r="D841" s="1" t="s">
        <v>2043</v>
      </c>
      <c r="E841" s="1" t="s">
        <v>2048</v>
      </c>
      <c r="F841" s="1" t="s">
        <v>2049</v>
      </c>
      <c r="G841" s="1" t="s">
        <v>2055</v>
      </c>
      <c r="H841" s="1" t="s">
        <v>2087</v>
      </c>
      <c r="I841" s="1">
        <v>1</v>
      </c>
      <c r="J841" s="1">
        <v>1814.65</v>
      </c>
      <c r="K841" s="1">
        <v>18.05</v>
      </c>
      <c r="L841" s="1">
        <v>1487.11</v>
      </c>
      <c r="M841" s="1">
        <v>98.34</v>
      </c>
      <c r="N841" s="1" t="s">
        <v>2090</v>
      </c>
    </row>
    <row r="842" spans="1:14">
      <c r="A842" s="1" t="s">
        <v>854</v>
      </c>
      <c r="B842" s="2">
        <v>45598</v>
      </c>
      <c r="C842" s="1" t="s">
        <v>2021</v>
      </c>
      <c r="D842" s="1" t="s">
        <v>2029</v>
      </c>
      <c r="E842" s="1" t="s">
        <v>2046</v>
      </c>
      <c r="F842" s="1" t="s">
        <v>2051</v>
      </c>
      <c r="G842" s="1" t="s">
        <v>2069</v>
      </c>
      <c r="H842" s="1" t="s">
        <v>2087</v>
      </c>
      <c r="I842" s="1">
        <v>4</v>
      </c>
      <c r="J842" s="1">
        <v>24818.54</v>
      </c>
      <c r="K842" s="1">
        <v>7.93</v>
      </c>
      <c r="L842" s="1">
        <v>91401.72</v>
      </c>
      <c r="M842" s="1">
        <v>11133.67</v>
      </c>
      <c r="N842" s="1" t="s">
        <v>2088</v>
      </c>
    </row>
    <row r="843" spans="1:14">
      <c r="A843" s="1" t="s">
        <v>855</v>
      </c>
      <c r="B843" s="2">
        <v>45599</v>
      </c>
      <c r="C843" s="1" t="s">
        <v>2026</v>
      </c>
      <c r="D843" s="1" t="s">
        <v>2030</v>
      </c>
      <c r="E843" s="1" t="s">
        <v>2048</v>
      </c>
      <c r="F843" s="1" t="s">
        <v>2050</v>
      </c>
      <c r="G843" s="1" t="s">
        <v>2075</v>
      </c>
      <c r="H843" s="1" t="s">
        <v>2086</v>
      </c>
      <c r="I843" s="1">
        <v>5</v>
      </c>
      <c r="J843" s="1">
        <v>3791.3</v>
      </c>
      <c r="K843" s="1">
        <v>29.68</v>
      </c>
      <c r="L843" s="1">
        <v>13330.21</v>
      </c>
      <c r="M843" s="1">
        <v>848.95</v>
      </c>
      <c r="N843" s="1" t="s">
        <v>2090</v>
      </c>
    </row>
    <row r="844" spans="1:14">
      <c r="A844" s="1" t="s">
        <v>856</v>
      </c>
      <c r="B844" s="2">
        <v>45599</v>
      </c>
      <c r="C844" s="1" t="s">
        <v>2023</v>
      </c>
      <c r="D844" s="1" t="s">
        <v>2031</v>
      </c>
      <c r="E844" s="1" t="s">
        <v>2047</v>
      </c>
      <c r="F844" s="1" t="s">
        <v>2054</v>
      </c>
      <c r="G844" s="1" t="s">
        <v>2079</v>
      </c>
      <c r="H844" s="1" t="s">
        <v>2086</v>
      </c>
      <c r="I844" s="1">
        <v>4</v>
      </c>
      <c r="J844" s="1">
        <v>70042.39</v>
      </c>
      <c r="K844" s="1">
        <v>28.16</v>
      </c>
      <c r="L844" s="1">
        <v>201273.81</v>
      </c>
      <c r="M844" s="1">
        <v>50574.74</v>
      </c>
      <c r="N844" s="1" t="s">
        <v>2090</v>
      </c>
    </row>
    <row r="845" spans="1:14">
      <c r="A845" s="1" t="s">
        <v>857</v>
      </c>
      <c r="B845" s="2">
        <v>45599</v>
      </c>
      <c r="C845" s="1" t="s">
        <v>2015</v>
      </c>
      <c r="D845" s="1" t="s">
        <v>2032</v>
      </c>
      <c r="E845" s="1" t="s">
        <v>2045</v>
      </c>
      <c r="F845" s="1" t="s">
        <v>2051</v>
      </c>
      <c r="G845" s="1" t="s">
        <v>2069</v>
      </c>
      <c r="H845" s="1" t="s">
        <v>2086</v>
      </c>
      <c r="I845" s="1">
        <v>1</v>
      </c>
      <c r="J845" s="1">
        <v>5155.5</v>
      </c>
      <c r="K845" s="1">
        <v>20.65</v>
      </c>
      <c r="L845" s="1">
        <v>4090.89</v>
      </c>
      <c r="M845" s="1">
        <v>470.24</v>
      </c>
      <c r="N845" s="1" t="s">
        <v>2091</v>
      </c>
    </row>
    <row r="846" spans="1:14">
      <c r="A846" s="1" t="s">
        <v>858</v>
      </c>
      <c r="B846" s="2">
        <v>45600</v>
      </c>
      <c r="C846" s="1" t="s">
        <v>2023</v>
      </c>
      <c r="D846" s="1" t="s">
        <v>2033</v>
      </c>
      <c r="E846" s="1" t="s">
        <v>2048</v>
      </c>
      <c r="F846" s="1" t="s">
        <v>2054</v>
      </c>
      <c r="G846" s="1" t="s">
        <v>2081</v>
      </c>
      <c r="H846" s="1" t="s">
        <v>2087</v>
      </c>
      <c r="I846" s="1">
        <v>10</v>
      </c>
      <c r="J846" s="1">
        <v>29535.62</v>
      </c>
      <c r="K846" s="1">
        <v>16.059999999999999</v>
      </c>
      <c r="L846" s="1">
        <v>247921.99</v>
      </c>
      <c r="M846" s="1">
        <v>61261.49</v>
      </c>
      <c r="N846" s="1" t="s">
        <v>2090</v>
      </c>
    </row>
    <row r="847" spans="1:14">
      <c r="A847" s="1" t="s">
        <v>859</v>
      </c>
      <c r="B847" s="2">
        <v>45600</v>
      </c>
      <c r="C847" s="1" t="s">
        <v>2025</v>
      </c>
      <c r="D847" s="1" t="s">
        <v>2034</v>
      </c>
      <c r="E847" s="1" t="s">
        <v>2048</v>
      </c>
      <c r="F847" s="1" t="s">
        <v>2053</v>
      </c>
      <c r="G847" s="1" t="s">
        <v>2060</v>
      </c>
      <c r="H847" s="1" t="s">
        <v>2087</v>
      </c>
      <c r="I847" s="1">
        <v>2</v>
      </c>
      <c r="J847" s="1">
        <v>1957.59</v>
      </c>
      <c r="K847" s="1">
        <v>1.56</v>
      </c>
      <c r="L847" s="1">
        <v>3854.1</v>
      </c>
      <c r="M847" s="1">
        <v>205.06</v>
      </c>
      <c r="N847" s="1" t="s">
        <v>2090</v>
      </c>
    </row>
    <row r="848" spans="1:14">
      <c r="A848" s="1" t="s">
        <v>860</v>
      </c>
      <c r="B848" s="2">
        <v>45600</v>
      </c>
      <c r="C848" s="1" t="s">
        <v>2016</v>
      </c>
      <c r="D848" s="1" t="s">
        <v>2035</v>
      </c>
      <c r="E848" s="1" t="s">
        <v>2046</v>
      </c>
      <c r="F848" s="1" t="s">
        <v>2054</v>
      </c>
      <c r="G848" s="1" t="s">
        <v>2079</v>
      </c>
      <c r="H848" s="1" t="s">
        <v>2087</v>
      </c>
      <c r="I848" s="1">
        <v>4</v>
      </c>
      <c r="J848" s="1">
        <v>74634.06</v>
      </c>
      <c r="K848" s="1">
        <v>25.79</v>
      </c>
      <c r="L848" s="1">
        <v>221543.74</v>
      </c>
      <c r="M848" s="1">
        <v>50389.3</v>
      </c>
      <c r="N848" s="1" t="s">
        <v>2092</v>
      </c>
    </row>
    <row r="849" spans="1:14">
      <c r="A849" s="1" t="s">
        <v>861</v>
      </c>
      <c r="B849" s="2">
        <v>45601</v>
      </c>
      <c r="C849" s="1" t="s">
        <v>2027</v>
      </c>
      <c r="D849" s="1" t="s">
        <v>2036</v>
      </c>
      <c r="E849" s="1" t="s">
        <v>2046</v>
      </c>
      <c r="F849" s="1" t="s">
        <v>2050</v>
      </c>
      <c r="G849" s="1" t="s">
        <v>2075</v>
      </c>
      <c r="H849" s="1" t="s">
        <v>2085</v>
      </c>
      <c r="I849" s="1">
        <v>6</v>
      </c>
      <c r="J849" s="1">
        <v>1957.57</v>
      </c>
      <c r="K849" s="1">
        <v>24.33</v>
      </c>
      <c r="L849" s="1">
        <v>8887.76</v>
      </c>
      <c r="M849" s="1">
        <v>882.65</v>
      </c>
      <c r="N849" s="1" t="s">
        <v>2090</v>
      </c>
    </row>
    <row r="850" spans="1:14">
      <c r="A850" s="1" t="s">
        <v>862</v>
      </c>
      <c r="B850" s="2">
        <v>45601</v>
      </c>
      <c r="C850" s="1" t="s">
        <v>2020</v>
      </c>
      <c r="D850" s="1" t="s">
        <v>2037</v>
      </c>
      <c r="E850" s="1" t="s">
        <v>2044</v>
      </c>
      <c r="F850" s="1" t="s">
        <v>2051</v>
      </c>
      <c r="G850" s="1" t="s">
        <v>2057</v>
      </c>
      <c r="H850" s="1" t="s">
        <v>2086</v>
      </c>
      <c r="I850" s="1">
        <v>5</v>
      </c>
      <c r="J850" s="1">
        <v>13604.58</v>
      </c>
      <c r="K850" s="1">
        <v>28.05</v>
      </c>
      <c r="L850" s="1">
        <v>48942.48</v>
      </c>
      <c r="M850" s="1">
        <v>6892.6</v>
      </c>
      <c r="N850" s="1" t="s">
        <v>2090</v>
      </c>
    </row>
    <row r="851" spans="1:14">
      <c r="A851" s="1" t="s">
        <v>863</v>
      </c>
      <c r="B851" s="2">
        <v>45602</v>
      </c>
      <c r="C851" s="1" t="s">
        <v>2027</v>
      </c>
      <c r="D851" s="1" t="s">
        <v>2038</v>
      </c>
      <c r="E851" s="1" t="s">
        <v>2048</v>
      </c>
      <c r="F851" s="1" t="s">
        <v>2050</v>
      </c>
      <c r="G851" s="1" t="s">
        <v>2070</v>
      </c>
      <c r="H851" s="1" t="s">
        <v>2087</v>
      </c>
      <c r="I851" s="1">
        <v>4</v>
      </c>
      <c r="J851" s="1">
        <v>7343.57</v>
      </c>
      <c r="K851" s="1">
        <v>5.01</v>
      </c>
      <c r="L851" s="1">
        <v>27902.63</v>
      </c>
      <c r="M851" s="1">
        <v>2240.27</v>
      </c>
      <c r="N851" s="1" t="s">
        <v>2089</v>
      </c>
    </row>
    <row r="852" spans="1:14">
      <c r="A852" s="1" t="s">
        <v>864</v>
      </c>
      <c r="B852" s="2">
        <v>45602</v>
      </c>
      <c r="C852" s="1" t="s">
        <v>2023</v>
      </c>
      <c r="D852" s="1" t="s">
        <v>2039</v>
      </c>
      <c r="E852" s="1" t="s">
        <v>2044</v>
      </c>
      <c r="F852" s="1" t="s">
        <v>2051</v>
      </c>
      <c r="G852" s="1" t="s">
        <v>2069</v>
      </c>
      <c r="H852" s="1" t="s">
        <v>2085</v>
      </c>
      <c r="I852" s="1">
        <v>6</v>
      </c>
      <c r="J852" s="1">
        <v>3797.68</v>
      </c>
      <c r="K852" s="1">
        <v>6.8</v>
      </c>
      <c r="L852" s="1">
        <v>21236.63</v>
      </c>
      <c r="M852" s="1">
        <v>6007.26</v>
      </c>
      <c r="N852" s="1" t="s">
        <v>2089</v>
      </c>
    </row>
    <row r="853" spans="1:14">
      <c r="A853" s="1" t="s">
        <v>865</v>
      </c>
      <c r="B853" s="2">
        <v>45602</v>
      </c>
      <c r="C853" s="1" t="s">
        <v>2018</v>
      </c>
      <c r="D853" s="1" t="s">
        <v>2040</v>
      </c>
      <c r="E853" s="1" t="s">
        <v>2048</v>
      </c>
      <c r="F853" s="1" t="s">
        <v>2054</v>
      </c>
      <c r="G853" s="1" t="s">
        <v>2066</v>
      </c>
      <c r="H853" s="1" t="s">
        <v>2086</v>
      </c>
      <c r="I853" s="1">
        <v>9</v>
      </c>
      <c r="J853" s="1">
        <v>72812.14</v>
      </c>
      <c r="K853" s="1">
        <v>19.02</v>
      </c>
      <c r="L853" s="1">
        <v>530669.43999999994</v>
      </c>
      <c r="M853" s="1">
        <v>36073.15</v>
      </c>
      <c r="N853" s="1" t="s">
        <v>2092</v>
      </c>
    </row>
    <row r="854" spans="1:14">
      <c r="A854" s="1" t="s">
        <v>866</v>
      </c>
      <c r="B854" s="2">
        <v>45603</v>
      </c>
      <c r="C854" s="1" t="s">
        <v>2028</v>
      </c>
      <c r="D854" s="1" t="s">
        <v>2041</v>
      </c>
      <c r="E854" s="1" t="s">
        <v>2046</v>
      </c>
      <c r="F854" s="1" t="s">
        <v>2051</v>
      </c>
      <c r="G854" s="1" t="s">
        <v>2077</v>
      </c>
      <c r="H854" s="1" t="s">
        <v>2085</v>
      </c>
      <c r="I854" s="1">
        <v>4</v>
      </c>
      <c r="J854" s="1">
        <v>12831.21</v>
      </c>
      <c r="K854" s="1">
        <v>11.79</v>
      </c>
      <c r="L854" s="1">
        <v>45273.64</v>
      </c>
      <c r="M854" s="1">
        <v>4297.05</v>
      </c>
      <c r="N854" s="1" t="s">
        <v>2089</v>
      </c>
    </row>
    <row r="855" spans="1:14">
      <c r="A855" s="1" t="s">
        <v>867</v>
      </c>
      <c r="B855" s="2">
        <v>45603</v>
      </c>
      <c r="C855" s="1" t="s">
        <v>2026</v>
      </c>
      <c r="D855" s="1" t="s">
        <v>2042</v>
      </c>
      <c r="E855" s="1" t="s">
        <v>2047</v>
      </c>
      <c r="F855" s="1" t="s">
        <v>2054</v>
      </c>
      <c r="G855" s="1" t="s">
        <v>2066</v>
      </c>
      <c r="H855" s="1" t="s">
        <v>2085</v>
      </c>
      <c r="I855" s="1">
        <v>5</v>
      </c>
      <c r="J855" s="1">
        <v>27236.49</v>
      </c>
      <c r="K855" s="1">
        <v>9.86</v>
      </c>
      <c r="L855" s="1">
        <v>122754.86</v>
      </c>
      <c r="M855" s="1">
        <v>14881.36</v>
      </c>
      <c r="N855" s="1" t="s">
        <v>2091</v>
      </c>
    </row>
    <row r="856" spans="1:14">
      <c r="A856" s="1" t="s">
        <v>868</v>
      </c>
      <c r="B856" s="2">
        <v>45603</v>
      </c>
      <c r="C856" s="1" t="s">
        <v>2014</v>
      </c>
      <c r="D856" s="1" t="s">
        <v>2043</v>
      </c>
      <c r="E856" s="1" t="s">
        <v>2046</v>
      </c>
      <c r="F856" s="1" t="s">
        <v>2054</v>
      </c>
      <c r="G856" s="1" t="s">
        <v>2063</v>
      </c>
      <c r="H856" s="1" t="s">
        <v>2085</v>
      </c>
      <c r="I856" s="1">
        <v>10</v>
      </c>
      <c r="J856" s="1">
        <v>26074.07</v>
      </c>
      <c r="K856" s="1">
        <v>13.96</v>
      </c>
      <c r="L856" s="1">
        <v>224341.3</v>
      </c>
      <c r="M856" s="1">
        <v>64116.51</v>
      </c>
      <c r="N856" s="1" t="s">
        <v>2091</v>
      </c>
    </row>
    <row r="857" spans="1:14">
      <c r="A857" s="1" t="s">
        <v>869</v>
      </c>
      <c r="B857" s="2">
        <v>45604</v>
      </c>
      <c r="C857" s="1" t="s">
        <v>2026</v>
      </c>
      <c r="D857" s="1" t="s">
        <v>2029</v>
      </c>
      <c r="E857" s="1" t="s">
        <v>2048</v>
      </c>
      <c r="F857" s="1" t="s">
        <v>2050</v>
      </c>
      <c r="G857" s="1" t="s">
        <v>2075</v>
      </c>
      <c r="H857" s="1" t="s">
        <v>2087</v>
      </c>
      <c r="I857" s="1">
        <v>9</v>
      </c>
      <c r="J857" s="1">
        <v>7235.85</v>
      </c>
      <c r="K857" s="1">
        <v>27.9</v>
      </c>
      <c r="L857" s="1">
        <v>46953.43</v>
      </c>
      <c r="M857" s="1">
        <v>6850.12</v>
      </c>
      <c r="N857" s="1" t="s">
        <v>2092</v>
      </c>
    </row>
    <row r="858" spans="1:14">
      <c r="A858" s="1" t="s">
        <v>870</v>
      </c>
      <c r="B858" s="2">
        <v>45604</v>
      </c>
      <c r="C858" s="1" t="s">
        <v>2015</v>
      </c>
      <c r="D858" s="1" t="s">
        <v>2030</v>
      </c>
      <c r="E858" s="1" t="s">
        <v>2044</v>
      </c>
      <c r="F858" s="1" t="s">
        <v>2051</v>
      </c>
      <c r="G858" s="1" t="s">
        <v>2061</v>
      </c>
      <c r="H858" s="1" t="s">
        <v>2086</v>
      </c>
      <c r="I858" s="1">
        <v>2</v>
      </c>
      <c r="J858" s="1">
        <v>17449.2</v>
      </c>
      <c r="K858" s="1">
        <v>6.89</v>
      </c>
      <c r="L858" s="1">
        <v>32493.9</v>
      </c>
      <c r="M858" s="1">
        <v>3245.91</v>
      </c>
      <c r="N858" s="1" t="s">
        <v>2088</v>
      </c>
    </row>
    <row r="859" spans="1:14">
      <c r="A859" s="1" t="s">
        <v>871</v>
      </c>
      <c r="B859" s="2">
        <v>45604</v>
      </c>
      <c r="C859" s="1" t="s">
        <v>2021</v>
      </c>
      <c r="D859" s="1" t="s">
        <v>2031</v>
      </c>
      <c r="E859" s="1" t="s">
        <v>2046</v>
      </c>
      <c r="F859" s="1" t="s">
        <v>2052</v>
      </c>
      <c r="G859" s="1" t="s">
        <v>2083</v>
      </c>
      <c r="H859" s="1" t="s">
        <v>2085</v>
      </c>
      <c r="I859" s="1">
        <v>4</v>
      </c>
      <c r="J859" s="1">
        <v>8058.76</v>
      </c>
      <c r="K859" s="1">
        <v>25.54</v>
      </c>
      <c r="L859" s="1">
        <v>24002.21</v>
      </c>
      <c r="M859" s="1">
        <v>4098.7700000000004</v>
      </c>
      <c r="N859" s="1" t="s">
        <v>2089</v>
      </c>
    </row>
    <row r="860" spans="1:14">
      <c r="A860" s="1" t="s">
        <v>872</v>
      </c>
      <c r="B860" s="2">
        <v>45605</v>
      </c>
      <c r="C860" s="1" t="s">
        <v>2014</v>
      </c>
      <c r="D860" s="1" t="s">
        <v>2032</v>
      </c>
      <c r="E860" s="1" t="s">
        <v>2046</v>
      </c>
      <c r="F860" s="1" t="s">
        <v>2049</v>
      </c>
      <c r="G860" s="1" t="s">
        <v>2074</v>
      </c>
      <c r="H860" s="1" t="s">
        <v>2087</v>
      </c>
      <c r="I860" s="1">
        <v>5</v>
      </c>
      <c r="J860" s="1">
        <v>911.01</v>
      </c>
      <c r="K860" s="1">
        <v>5.18</v>
      </c>
      <c r="L860" s="1">
        <v>4319.1000000000004</v>
      </c>
      <c r="M860" s="1">
        <v>625.58000000000004</v>
      </c>
      <c r="N860" s="1" t="s">
        <v>2088</v>
      </c>
    </row>
    <row r="861" spans="1:14">
      <c r="A861" s="1" t="s">
        <v>873</v>
      </c>
      <c r="B861" s="2">
        <v>45605</v>
      </c>
      <c r="C861" s="1" t="s">
        <v>2028</v>
      </c>
      <c r="D861" s="1" t="s">
        <v>2033</v>
      </c>
      <c r="E861" s="1" t="s">
        <v>2046</v>
      </c>
      <c r="F861" s="1" t="s">
        <v>2050</v>
      </c>
      <c r="G861" s="1" t="s">
        <v>2056</v>
      </c>
      <c r="H861" s="1" t="s">
        <v>2085</v>
      </c>
      <c r="I861" s="1">
        <v>4</v>
      </c>
      <c r="J861" s="1">
        <v>4657.34</v>
      </c>
      <c r="K861" s="1">
        <v>18.47</v>
      </c>
      <c r="L861" s="1">
        <v>15188.52</v>
      </c>
      <c r="M861" s="1">
        <v>909.63</v>
      </c>
      <c r="N861" s="1" t="s">
        <v>2090</v>
      </c>
    </row>
    <row r="862" spans="1:14">
      <c r="A862" s="1" t="s">
        <v>874</v>
      </c>
      <c r="B862" s="2">
        <v>45606</v>
      </c>
      <c r="C862" s="1" t="s">
        <v>2019</v>
      </c>
      <c r="D862" s="1" t="s">
        <v>2034</v>
      </c>
      <c r="E862" s="1" t="s">
        <v>2045</v>
      </c>
      <c r="F862" s="1" t="s">
        <v>2051</v>
      </c>
      <c r="G862" s="1" t="s">
        <v>2061</v>
      </c>
      <c r="H862" s="1" t="s">
        <v>2087</v>
      </c>
      <c r="I862" s="1">
        <v>7</v>
      </c>
      <c r="J862" s="1">
        <v>17657.39</v>
      </c>
      <c r="K862" s="1">
        <v>3.86</v>
      </c>
      <c r="L862" s="1">
        <v>118830.7</v>
      </c>
      <c r="M862" s="1">
        <v>34093.230000000003</v>
      </c>
      <c r="N862" s="1" t="s">
        <v>2088</v>
      </c>
    </row>
    <row r="863" spans="1:14">
      <c r="A863" s="1" t="s">
        <v>875</v>
      </c>
      <c r="B863" s="2">
        <v>45606</v>
      </c>
      <c r="C863" s="1" t="s">
        <v>2024</v>
      </c>
      <c r="D863" s="1" t="s">
        <v>2035</v>
      </c>
      <c r="E863" s="1" t="s">
        <v>2045</v>
      </c>
      <c r="F863" s="1" t="s">
        <v>2053</v>
      </c>
      <c r="G863" s="1" t="s">
        <v>2062</v>
      </c>
      <c r="H863" s="1" t="s">
        <v>2086</v>
      </c>
      <c r="I863" s="1">
        <v>10</v>
      </c>
      <c r="J863" s="1">
        <v>1917.25</v>
      </c>
      <c r="K863" s="1">
        <v>9.17</v>
      </c>
      <c r="L863" s="1">
        <v>17414.38</v>
      </c>
      <c r="M863" s="1">
        <v>3452.33</v>
      </c>
      <c r="N863" s="1" t="s">
        <v>2091</v>
      </c>
    </row>
    <row r="864" spans="1:14">
      <c r="A864" s="1" t="s">
        <v>876</v>
      </c>
      <c r="B864" s="2">
        <v>45606</v>
      </c>
      <c r="C864" s="1" t="s">
        <v>2019</v>
      </c>
      <c r="D864" s="1" t="s">
        <v>2036</v>
      </c>
      <c r="E864" s="1" t="s">
        <v>2046</v>
      </c>
      <c r="F864" s="1" t="s">
        <v>2054</v>
      </c>
      <c r="G864" s="1" t="s">
        <v>2066</v>
      </c>
      <c r="H864" s="1" t="s">
        <v>2087</v>
      </c>
      <c r="I864" s="1">
        <v>2</v>
      </c>
      <c r="J864" s="1">
        <v>19814.16</v>
      </c>
      <c r="K864" s="1">
        <v>27.25</v>
      </c>
      <c r="L864" s="1">
        <v>28829.599999999999</v>
      </c>
      <c r="M864" s="1">
        <v>2112.54</v>
      </c>
      <c r="N864" s="1" t="s">
        <v>2089</v>
      </c>
    </row>
    <row r="865" spans="1:14">
      <c r="A865" s="1" t="s">
        <v>877</v>
      </c>
      <c r="B865" s="2">
        <v>45607</v>
      </c>
      <c r="C865" s="1" t="s">
        <v>2017</v>
      </c>
      <c r="D865" s="1" t="s">
        <v>2037</v>
      </c>
      <c r="E865" s="1" t="s">
        <v>2047</v>
      </c>
      <c r="F865" s="1" t="s">
        <v>2053</v>
      </c>
      <c r="G865" s="1" t="s">
        <v>2073</v>
      </c>
      <c r="H865" s="1" t="s">
        <v>2086</v>
      </c>
      <c r="I865" s="1">
        <v>1</v>
      </c>
      <c r="J865" s="1">
        <v>1375.22</v>
      </c>
      <c r="K865" s="1">
        <v>11.99</v>
      </c>
      <c r="L865" s="1">
        <v>1210.33</v>
      </c>
      <c r="M865" s="1">
        <v>349.09</v>
      </c>
      <c r="N865" s="1" t="s">
        <v>2088</v>
      </c>
    </row>
    <row r="866" spans="1:14">
      <c r="A866" s="1" t="s">
        <v>878</v>
      </c>
      <c r="B866" s="2">
        <v>45607</v>
      </c>
      <c r="C866" s="1" t="s">
        <v>2024</v>
      </c>
      <c r="D866" s="1" t="s">
        <v>2038</v>
      </c>
      <c r="E866" s="1" t="s">
        <v>2048</v>
      </c>
      <c r="F866" s="1" t="s">
        <v>2052</v>
      </c>
      <c r="G866" s="1" t="s">
        <v>2083</v>
      </c>
      <c r="H866" s="1" t="s">
        <v>2087</v>
      </c>
      <c r="I866" s="1">
        <v>7</v>
      </c>
      <c r="J866" s="1">
        <v>1301.3800000000001</v>
      </c>
      <c r="K866" s="1">
        <v>2.27</v>
      </c>
      <c r="L866" s="1">
        <v>8902.8700000000008</v>
      </c>
      <c r="M866" s="1">
        <v>1729.53</v>
      </c>
      <c r="N866" s="1" t="s">
        <v>2088</v>
      </c>
    </row>
    <row r="867" spans="1:14">
      <c r="A867" s="1" t="s">
        <v>879</v>
      </c>
      <c r="B867" s="2">
        <v>45607</v>
      </c>
      <c r="C867" s="1" t="s">
        <v>2018</v>
      </c>
      <c r="D867" s="1" t="s">
        <v>2039</v>
      </c>
      <c r="E867" s="1" t="s">
        <v>2046</v>
      </c>
      <c r="F867" s="1" t="s">
        <v>2050</v>
      </c>
      <c r="G867" s="1" t="s">
        <v>2056</v>
      </c>
      <c r="H867" s="1" t="s">
        <v>2085</v>
      </c>
      <c r="I867" s="1">
        <v>9</v>
      </c>
      <c r="J867" s="1">
        <v>3022.53</v>
      </c>
      <c r="K867" s="1">
        <v>3.97</v>
      </c>
      <c r="L867" s="1">
        <v>26122.82</v>
      </c>
      <c r="M867" s="1">
        <v>5696.62</v>
      </c>
      <c r="N867" s="1" t="s">
        <v>2091</v>
      </c>
    </row>
    <row r="868" spans="1:14">
      <c r="A868" s="1" t="s">
        <v>880</v>
      </c>
      <c r="B868" s="2">
        <v>45608</v>
      </c>
      <c r="C868" s="1" t="s">
        <v>2022</v>
      </c>
      <c r="D868" s="1" t="s">
        <v>2040</v>
      </c>
      <c r="E868" s="1" t="s">
        <v>2045</v>
      </c>
      <c r="F868" s="1" t="s">
        <v>2052</v>
      </c>
      <c r="G868" s="1" t="s">
        <v>2083</v>
      </c>
      <c r="H868" s="1" t="s">
        <v>2085</v>
      </c>
      <c r="I868" s="1">
        <v>2</v>
      </c>
      <c r="J868" s="1">
        <v>4831.24</v>
      </c>
      <c r="K868" s="1">
        <v>26.32</v>
      </c>
      <c r="L868" s="1">
        <v>7119.32</v>
      </c>
      <c r="M868" s="1">
        <v>427.66</v>
      </c>
      <c r="N868" s="1" t="s">
        <v>2091</v>
      </c>
    </row>
    <row r="869" spans="1:14">
      <c r="A869" s="1" t="s">
        <v>881</v>
      </c>
      <c r="B869" s="2">
        <v>45608</v>
      </c>
      <c r="C869" s="1" t="s">
        <v>2026</v>
      </c>
      <c r="D869" s="1" t="s">
        <v>2041</v>
      </c>
      <c r="E869" s="1" t="s">
        <v>2044</v>
      </c>
      <c r="F869" s="1" t="s">
        <v>2052</v>
      </c>
      <c r="G869" s="1" t="s">
        <v>2072</v>
      </c>
      <c r="H869" s="1" t="s">
        <v>2087</v>
      </c>
      <c r="I869" s="1">
        <v>6</v>
      </c>
      <c r="J869" s="1">
        <v>1764.4</v>
      </c>
      <c r="K869" s="1">
        <v>26.89</v>
      </c>
      <c r="L869" s="1">
        <v>7739.72</v>
      </c>
      <c r="M869" s="1">
        <v>1169.6500000000001</v>
      </c>
      <c r="N869" s="1" t="s">
        <v>2091</v>
      </c>
    </row>
    <row r="870" spans="1:14">
      <c r="A870" s="1" t="s">
        <v>882</v>
      </c>
      <c r="B870" s="2">
        <v>45608</v>
      </c>
      <c r="C870" s="1" t="s">
        <v>2028</v>
      </c>
      <c r="D870" s="1" t="s">
        <v>2042</v>
      </c>
      <c r="E870" s="1" t="s">
        <v>2045</v>
      </c>
      <c r="F870" s="1" t="s">
        <v>2054</v>
      </c>
      <c r="G870" s="1" t="s">
        <v>2068</v>
      </c>
      <c r="H870" s="1" t="s">
        <v>2086</v>
      </c>
      <c r="I870" s="1">
        <v>9</v>
      </c>
      <c r="J870" s="1">
        <v>15348.42</v>
      </c>
      <c r="K870" s="1">
        <v>24.94</v>
      </c>
      <c r="L870" s="1">
        <v>103684.72</v>
      </c>
      <c r="M870" s="1">
        <v>25059.78</v>
      </c>
      <c r="N870" s="1" t="s">
        <v>2089</v>
      </c>
    </row>
    <row r="871" spans="1:14">
      <c r="A871" s="1" t="s">
        <v>883</v>
      </c>
      <c r="B871" s="2">
        <v>45609</v>
      </c>
      <c r="C871" s="1" t="s">
        <v>2027</v>
      </c>
      <c r="D871" s="1" t="s">
        <v>2043</v>
      </c>
      <c r="E871" s="1" t="s">
        <v>2047</v>
      </c>
      <c r="F871" s="1" t="s">
        <v>2053</v>
      </c>
      <c r="G871" s="1" t="s">
        <v>2067</v>
      </c>
      <c r="H871" s="1" t="s">
        <v>2086</v>
      </c>
      <c r="I871" s="1">
        <v>4</v>
      </c>
      <c r="J871" s="1">
        <v>696.94</v>
      </c>
      <c r="K871" s="1">
        <v>0.46</v>
      </c>
      <c r="L871" s="1">
        <v>2774.94</v>
      </c>
      <c r="M871" s="1">
        <v>254.44</v>
      </c>
      <c r="N871" s="1" t="s">
        <v>2089</v>
      </c>
    </row>
    <row r="872" spans="1:14">
      <c r="A872" s="1" t="s">
        <v>884</v>
      </c>
      <c r="B872" s="2">
        <v>45609</v>
      </c>
      <c r="C872" s="1" t="s">
        <v>2026</v>
      </c>
      <c r="D872" s="1" t="s">
        <v>2029</v>
      </c>
      <c r="E872" s="1" t="s">
        <v>2044</v>
      </c>
      <c r="F872" s="1" t="s">
        <v>2053</v>
      </c>
      <c r="G872" s="1" t="s">
        <v>2073</v>
      </c>
      <c r="H872" s="1" t="s">
        <v>2085</v>
      </c>
      <c r="I872" s="1">
        <v>3</v>
      </c>
      <c r="J872" s="1">
        <v>2246.04</v>
      </c>
      <c r="K872" s="1">
        <v>6.84</v>
      </c>
      <c r="L872" s="1">
        <v>6277.23</v>
      </c>
      <c r="M872" s="1">
        <v>1475.18</v>
      </c>
      <c r="N872" s="1" t="s">
        <v>2090</v>
      </c>
    </row>
    <row r="873" spans="1:14">
      <c r="A873" s="1" t="s">
        <v>885</v>
      </c>
      <c r="B873" s="2">
        <v>45610</v>
      </c>
      <c r="C873" s="1" t="s">
        <v>2027</v>
      </c>
      <c r="D873" s="1" t="s">
        <v>2030</v>
      </c>
      <c r="E873" s="1" t="s">
        <v>2046</v>
      </c>
      <c r="F873" s="1" t="s">
        <v>2053</v>
      </c>
      <c r="G873" s="1" t="s">
        <v>2060</v>
      </c>
      <c r="H873" s="1" t="s">
        <v>2087</v>
      </c>
      <c r="I873" s="1">
        <v>4</v>
      </c>
      <c r="J873" s="1">
        <v>1020.35</v>
      </c>
      <c r="K873" s="1">
        <v>4.57</v>
      </c>
      <c r="L873" s="1">
        <v>3894.88</v>
      </c>
      <c r="M873" s="1">
        <v>843.93</v>
      </c>
      <c r="N873" s="1" t="s">
        <v>2091</v>
      </c>
    </row>
    <row r="874" spans="1:14">
      <c r="A874" s="1" t="s">
        <v>886</v>
      </c>
      <c r="B874" s="2">
        <v>45610</v>
      </c>
      <c r="C874" s="1" t="s">
        <v>2028</v>
      </c>
      <c r="D874" s="1" t="s">
        <v>2031</v>
      </c>
      <c r="E874" s="1" t="s">
        <v>2046</v>
      </c>
      <c r="F874" s="1" t="s">
        <v>2053</v>
      </c>
      <c r="G874" s="1" t="s">
        <v>2067</v>
      </c>
      <c r="H874" s="1" t="s">
        <v>2085</v>
      </c>
      <c r="I874" s="1">
        <v>2</v>
      </c>
      <c r="J874" s="1">
        <v>2492.34</v>
      </c>
      <c r="K874" s="1">
        <v>4.6100000000000003</v>
      </c>
      <c r="L874" s="1">
        <v>4754.8900000000003</v>
      </c>
      <c r="M874" s="1">
        <v>1263.57</v>
      </c>
      <c r="N874" s="1" t="s">
        <v>2091</v>
      </c>
    </row>
    <row r="875" spans="1:14">
      <c r="A875" s="1" t="s">
        <v>887</v>
      </c>
      <c r="B875" s="2">
        <v>45610</v>
      </c>
      <c r="C875" s="1" t="s">
        <v>2023</v>
      </c>
      <c r="D875" s="1" t="s">
        <v>2032</v>
      </c>
      <c r="E875" s="1" t="s">
        <v>2048</v>
      </c>
      <c r="F875" s="1" t="s">
        <v>2050</v>
      </c>
      <c r="G875" s="1" t="s">
        <v>2084</v>
      </c>
      <c r="H875" s="1" t="s">
        <v>2085</v>
      </c>
      <c r="I875" s="1">
        <v>2</v>
      </c>
      <c r="J875" s="1">
        <v>7481.39</v>
      </c>
      <c r="K875" s="1">
        <v>11.49</v>
      </c>
      <c r="L875" s="1">
        <v>13243.56</v>
      </c>
      <c r="M875" s="1">
        <v>3077.54</v>
      </c>
      <c r="N875" s="1" t="s">
        <v>2091</v>
      </c>
    </row>
    <row r="876" spans="1:14">
      <c r="A876" s="1" t="s">
        <v>888</v>
      </c>
      <c r="B876" s="2">
        <v>45611</v>
      </c>
      <c r="C876" s="1" t="s">
        <v>2024</v>
      </c>
      <c r="D876" s="1" t="s">
        <v>2033</v>
      </c>
      <c r="E876" s="1" t="s">
        <v>2047</v>
      </c>
      <c r="F876" s="1" t="s">
        <v>2050</v>
      </c>
      <c r="G876" s="1" t="s">
        <v>2056</v>
      </c>
      <c r="H876" s="1" t="s">
        <v>2085</v>
      </c>
      <c r="I876" s="1">
        <v>5</v>
      </c>
      <c r="J876" s="1">
        <v>2630.63</v>
      </c>
      <c r="K876" s="1">
        <v>14.03</v>
      </c>
      <c r="L876" s="1">
        <v>11307.76</v>
      </c>
      <c r="M876" s="1">
        <v>1336.56</v>
      </c>
      <c r="N876" s="1" t="s">
        <v>2092</v>
      </c>
    </row>
    <row r="877" spans="1:14">
      <c r="A877" s="1" t="s">
        <v>889</v>
      </c>
      <c r="B877" s="2">
        <v>45611</v>
      </c>
      <c r="C877" s="1" t="s">
        <v>2015</v>
      </c>
      <c r="D877" s="1" t="s">
        <v>2034</v>
      </c>
      <c r="E877" s="1" t="s">
        <v>2045</v>
      </c>
      <c r="F877" s="1" t="s">
        <v>2052</v>
      </c>
      <c r="G877" s="1" t="s">
        <v>2083</v>
      </c>
      <c r="H877" s="1" t="s">
        <v>2086</v>
      </c>
      <c r="I877" s="1">
        <v>10</v>
      </c>
      <c r="J877" s="1">
        <v>9126.08</v>
      </c>
      <c r="K877" s="1">
        <v>28.3</v>
      </c>
      <c r="L877" s="1">
        <v>65433.99</v>
      </c>
      <c r="M877" s="1">
        <v>11781.89</v>
      </c>
      <c r="N877" s="1" t="s">
        <v>2089</v>
      </c>
    </row>
    <row r="878" spans="1:14">
      <c r="A878" s="1" t="s">
        <v>890</v>
      </c>
      <c r="B878" s="2">
        <v>45611</v>
      </c>
      <c r="C878" s="1" t="s">
        <v>2025</v>
      </c>
      <c r="D878" s="1" t="s">
        <v>2035</v>
      </c>
      <c r="E878" s="1" t="s">
        <v>2045</v>
      </c>
      <c r="F878" s="1" t="s">
        <v>2051</v>
      </c>
      <c r="G878" s="1" t="s">
        <v>2061</v>
      </c>
      <c r="H878" s="1" t="s">
        <v>2087</v>
      </c>
      <c r="I878" s="1">
        <v>10</v>
      </c>
      <c r="J878" s="1">
        <v>8133.99</v>
      </c>
      <c r="K878" s="1">
        <v>10.95</v>
      </c>
      <c r="L878" s="1">
        <v>72433.179999999993</v>
      </c>
      <c r="M878" s="1">
        <v>11452.36</v>
      </c>
      <c r="N878" s="1" t="s">
        <v>2090</v>
      </c>
    </row>
    <row r="879" spans="1:14">
      <c r="A879" s="1" t="s">
        <v>891</v>
      </c>
      <c r="B879" s="2">
        <v>45612</v>
      </c>
      <c r="C879" s="1" t="s">
        <v>2025</v>
      </c>
      <c r="D879" s="1" t="s">
        <v>2036</v>
      </c>
      <c r="E879" s="1" t="s">
        <v>2045</v>
      </c>
      <c r="F879" s="1" t="s">
        <v>2054</v>
      </c>
      <c r="G879" s="1" t="s">
        <v>2079</v>
      </c>
      <c r="H879" s="1" t="s">
        <v>2087</v>
      </c>
      <c r="I879" s="1">
        <v>1</v>
      </c>
      <c r="J879" s="1">
        <v>44758.39</v>
      </c>
      <c r="K879" s="1">
        <v>22.15</v>
      </c>
      <c r="L879" s="1">
        <v>34844.410000000003</v>
      </c>
      <c r="M879" s="1">
        <v>4665.75</v>
      </c>
      <c r="N879" s="1" t="s">
        <v>2088</v>
      </c>
    </row>
    <row r="880" spans="1:14">
      <c r="A880" s="1" t="s">
        <v>892</v>
      </c>
      <c r="B880" s="2">
        <v>45612</v>
      </c>
      <c r="C880" s="1" t="s">
        <v>2014</v>
      </c>
      <c r="D880" s="1" t="s">
        <v>2037</v>
      </c>
      <c r="E880" s="1" t="s">
        <v>2046</v>
      </c>
      <c r="F880" s="1" t="s">
        <v>2050</v>
      </c>
      <c r="G880" s="1" t="s">
        <v>2056</v>
      </c>
      <c r="H880" s="1" t="s">
        <v>2085</v>
      </c>
      <c r="I880" s="1">
        <v>8</v>
      </c>
      <c r="J880" s="1">
        <v>4335.99</v>
      </c>
      <c r="K880" s="1">
        <v>8.49</v>
      </c>
      <c r="L880" s="1">
        <v>31742.92</v>
      </c>
      <c r="M880" s="1">
        <v>1888.51</v>
      </c>
      <c r="N880" s="1" t="s">
        <v>2088</v>
      </c>
    </row>
    <row r="881" spans="1:14">
      <c r="A881" s="1" t="s">
        <v>893</v>
      </c>
      <c r="B881" s="2">
        <v>45612</v>
      </c>
      <c r="C881" s="1" t="s">
        <v>2019</v>
      </c>
      <c r="D881" s="1" t="s">
        <v>2038</v>
      </c>
      <c r="E881" s="1" t="s">
        <v>2047</v>
      </c>
      <c r="F881" s="1" t="s">
        <v>2049</v>
      </c>
      <c r="G881" s="1" t="s">
        <v>2071</v>
      </c>
      <c r="H881" s="1" t="s">
        <v>2086</v>
      </c>
      <c r="I881" s="1">
        <v>1</v>
      </c>
      <c r="J881" s="1">
        <v>177.35</v>
      </c>
      <c r="K881" s="1">
        <v>9.2899999999999991</v>
      </c>
      <c r="L881" s="1">
        <v>160.87</v>
      </c>
      <c r="M881" s="1">
        <v>20.92</v>
      </c>
      <c r="N881" s="1" t="s">
        <v>2091</v>
      </c>
    </row>
    <row r="882" spans="1:14">
      <c r="A882" s="1" t="s">
        <v>894</v>
      </c>
      <c r="B882" s="2">
        <v>45613</v>
      </c>
      <c r="C882" s="1" t="s">
        <v>2017</v>
      </c>
      <c r="D882" s="1" t="s">
        <v>2039</v>
      </c>
      <c r="E882" s="1" t="s">
        <v>2047</v>
      </c>
      <c r="F882" s="1" t="s">
        <v>2052</v>
      </c>
      <c r="G882" s="1" t="s">
        <v>2078</v>
      </c>
      <c r="H882" s="1" t="s">
        <v>2085</v>
      </c>
      <c r="I882" s="1">
        <v>5</v>
      </c>
      <c r="J882" s="1">
        <v>9982.69</v>
      </c>
      <c r="K882" s="1">
        <v>29.88</v>
      </c>
      <c r="L882" s="1">
        <v>34999.31</v>
      </c>
      <c r="M882" s="1">
        <v>3423.02</v>
      </c>
      <c r="N882" s="1" t="s">
        <v>2092</v>
      </c>
    </row>
    <row r="883" spans="1:14">
      <c r="A883" s="1" t="s">
        <v>895</v>
      </c>
      <c r="B883" s="2">
        <v>45613</v>
      </c>
      <c r="C883" s="1" t="s">
        <v>2014</v>
      </c>
      <c r="D883" s="1" t="s">
        <v>2040</v>
      </c>
      <c r="E883" s="1" t="s">
        <v>2045</v>
      </c>
      <c r="F883" s="1" t="s">
        <v>2051</v>
      </c>
      <c r="G883" s="1" t="s">
        <v>2057</v>
      </c>
      <c r="H883" s="1" t="s">
        <v>2085</v>
      </c>
      <c r="I883" s="1">
        <v>7</v>
      </c>
      <c r="J883" s="1">
        <v>29235.58</v>
      </c>
      <c r="K883" s="1">
        <v>6.36</v>
      </c>
      <c r="L883" s="1">
        <v>191633.38</v>
      </c>
      <c r="M883" s="1">
        <v>14616.72</v>
      </c>
      <c r="N883" s="1" t="s">
        <v>2088</v>
      </c>
    </row>
    <row r="884" spans="1:14">
      <c r="A884" s="1" t="s">
        <v>896</v>
      </c>
      <c r="B884" s="2">
        <v>45614</v>
      </c>
      <c r="C884" s="1" t="s">
        <v>2019</v>
      </c>
      <c r="D884" s="1" t="s">
        <v>2041</v>
      </c>
      <c r="E884" s="1" t="s">
        <v>2046</v>
      </c>
      <c r="F884" s="1" t="s">
        <v>2049</v>
      </c>
      <c r="G884" s="1" t="s">
        <v>2071</v>
      </c>
      <c r="H884" s="1" t="s">
        <v>2087</v>
      </c>
      <c r="I884" s="1">
        <v>7</v>
      </c>
      <c r="J884" s="1">
        <v>2093.09</v>
      </c>
      <c r="K884" s="1">
        <v>17.16</v>
      </c>
      <c r="L884" s="1">
        <v>12137.41</v>
      </c>
      <c r="M884" s="1">
        <v>3360.43</v>
      </c>
      <c r="N884" s="1" t="s">
        <v>2089</v>
      </c>
    </row>
    <row r="885" spans="1:14">
      <c r="A885" s="1" t="s">
        <v>897</v>
      </c>
      <c r="B885" s="2">
        <v>45614</v>
      </c>
      <c r="C885" s="1" t="s">
        <v>2014</v>
      </c>
      <c r="D885" s="1" t="s">
        <v>2042</v>
      </c>
      <c r="E885" s="1" t="s">
        <v>2047</v>
      </c>
      <c r="F885" s="1" t="s">
        <v>2051</v>
      </c>
      <c r="G885" s="1" t="s">
        <v>2061</v>
      </c>
      <c r="H885" s="1" t="s">
        <v>2086</v>
      </c>
      <c r="I885" s="1">
        <v>1</v>
      </c>
      <c r="J885" s="1">
        <v>3747.97</v>
      </c>
      <c r="K885" s="1">
        <v>8.34</v>
      </c>
      <c r="L885" s="1">
        <v>3435.39</v>
      </c>
      <c r="M885" s="1">
        <v>450.47</v>
      </c>
      <c r="N885" s="1" t="s">
        <v>2092</v>
      </c>
    </row>
    <row r="886" spans="1:14">
      <c r="A886" s="1" t="s">
        <v>898</v>
      </c>
      <c r="B886" s="2">
        <v>45614</v>
      </c>
      <c r="C886" s="1" t="s">
        <v>2027</v>
      </c>
      <c r="D886" s="1" t="s">
        <v>2043</v>
      </c>
      <c r="E886" s="1" t="s">
        <v>2044</v>
      </c>
      <c r="F886" s="1" t="s">
        <v>2051</v>
      </c>
      <c r="G886" s="1" t="s">
        <v>2061</v>
      </c>
      <c r="H886" s="1" t="s">
        <v>2086</v>
      </c>
      <c r="I886" s="1">
        <v>9</v>
      </c>
      <c r="J886" s="1">
        <v>8700.5</v>
      </c>
      <c r="K886" s="1">
        <v>29.52</v>
      </c>
      <c r="L886" s="1">
        <v>55189.01</v>
      </c>
      <c r="M886" s="1">
        <v>12917.73</v>
      </c>
      <c r="N886" s="1" t="s">
        <v>2091</v>
      </c>
    </row>
    <row r="887" spans="1:14">
      <c r="A887" s="1" t="s">
        <v>899</v>
      </c>
      <c r="B887" s="2">
        <v>45615</v>
      </c>
      <c r="C887" s="1" t="s">
        <v>2018</v>
      </c>
      <c r="D887" s="1" t="s">
        <v>2029</v>
      </c>
      <c r="E887" s="1" t="s">
        <v>2045</v>
      </c>
      <c r="F887" s="1" t="s">
        <v>2053</v>
      </c>
      <c r="G887" s="1" t="s">
        <v>2067</v>
      </c>
      <c r="H887" s="1" t="s">
        <v>2085</v>
      </c>
      <c r="I887" s="1">
        <v>2</v>
      </c>
      <c r="J887" s="1">
        <v>2340.62</v>
      </c>
      <c r="K887" s="1">
        <v>21.6</v>
      </c>
      <c r="L887" s="1">
        <v>3670.09</v>
      </c>
      <c r="M887" s="1">
        <v>875.15</v>
      </c>
      <c r="N887" s="1" t="s">
        <v>2091</v>
      </c>
    </row>
    <row r="888" spans="1:14">
      <c r="A888" s="1" t="s">
        <v>900</v>
      </c>
      <c r="B888" s="2">
        <v>45615</v>
      </c>
      <c r="C888" s="1" t="s">
        <v>2017</v>
      </c>
      <c r="D888" s="1" t="s">
        <v>2030</v>
      </c>
      <c r="E888" s="1" t="s">
        <v>2044</v>
      </c>
      <c r="F888" s="1" t="s">
        <v>2049</v>
      </c>
      <c r="G888" s="1" t="s">
        <v>2074</v>
      </c>
      <c r="H888" s="1" t="s">
        <v>2086</v>
      </c>
      <c r="I888" s="1">
        <v>1</v>
      </c>
      <c r="J888" s="1">
        <v>755.81</v>
      </c>
      <c r="K888" s="1">
        <v>8.42</v>
      </c>
      <c r="L888" s="1">
        <v>692.17</v>
      </c>
      <c r="M888" s="1">
        <v>176.58</v>
      </c>
      <c r="N888" s="1" t="s">
        <v>2088</v>
      </c>
    </row>
    <row r="889" spans="1:14">
      <c r="A889" s="1" t="s">
        <v>901</v>
      </c>
      <c r="B889" s="2">
        <v>45615</v>
      </c>
      <c r="C889" s="1" t="s">
        <v>2016</v>
      </c>
      <c r="D889" s="1" t="s">
        <v>2031</v>
      </c>
      <c r="E889" s="1" t="s">
        <v>2044</v>
      </c>
      <c r="F889" s="1" t="s">
        <v>2054</v>
      </c>
      <c r="G889" s="1" t="s">
        <v>2066</v>
      </c>
      <c r="H889" s="1" t="s">
        <v>2085</v>
      </c>
      <c r="I889" s="1">
        <v>4</v>
      </c>
      <c r="J889" s="1">
        <v>58526.18</v>
      </c>
      <c r="K889" s="1">
        <v>12.33</v>
      </c>
      <c r="L889" s="1">
        <v>205239.61</v>
      </c>
      <c r="M889" s="1">
        <v>42547.16</v>
      </c>
      <c r="N889" s="1" t="s">
        <v>2089</v>
      </c>
    </row>
    <row r="890" spans="1:14">
      <c r="A890" s="1" t="s">
        <v>902</v>
      </c>
      <c r="B890" s="2">
        <v>45616</v>
      </c>
      <c r="C890" s="1" t="s">
        <v>2014</v>
      </c>
      <c r="D890" s="1" t="s">
        <v>2032</v>
      </c>
      <c r="E890" s="1" t="s">
        <v>2046</v>
      </c>
      <c r="F890" s="1" t="s">
        <v>2053</v>
      </c>
      <c r="G890" s="1" t="s">
        <v>2060</v>
      </c>
      <c r="H890" s="1" t="s">
        <v>2086</v>
      </c>
      <c r="I890" s="1">
        <v>6</v>
      </c>
      <c r="J890" s="1">
        <v>1914.96</v>
      </c>
      <c r="K890" s="1">
        <v>8.2799999999999994</v>
      </c>
      <c r="L890" s="1">
        <v>10538.41</v>
      </c>
      <c r="M890" s="1">
        <v>2911.14</v>
      </c>
      <c r="N890" s="1" t="s">
        <v>2089</v>
      </c>
    </row>
    <row r="891" spans="1:14">
      <c r="A891" s="1" t="s">
        <v>903</v>
      </c>
      <c r="B891" s="2">
        <v>45616</v>
      </c>
      <c r="C891" s="1" t="s">
        <v>2022</v>
      </c>
      <c r="D891" s="1" t="s">
        <v>2033</v>
      </c>
      <c r="E891" s="1" t="s">
        <v>2047</v>
      </c>
      <c r="F891" s="1" t="s">
        <v>2053</v>
      </c>
      <c r="G891" s="1" t="s">
        <v>2060</v>
      </c>
      <c r="H891" s="1" t="s">
        <v>2087</v>
      </c>
      <c r="I891" s="1">
        <v>10</v>
      </c>
      <c r="J891" s="1">
        <v>332.36</v>
      </c>
      <c r="K891" s="1">
        <v>14.28</v>
      </c>
      <c r="L891" s="1">
        <v>2848.99</v>
      </c>
      <c r="M891" s="1">
        <v>848.78</v>
      </c>
      <c r="N891" s="1" t="s">
        <v>2090</v>
      </c>
    </row>
    <row r="892" spans="1:14">
      <c r="A892" s="1" t="s">
        <v>904</v>
      </c>
      <c r="B892" s="2">
        <v>45617</v>
      </c>
      <c r="C892" s="1" t="s">
        <v>2028</v>
      </c>
      <c r="D892" s="1" t="s">
        <v>2034</v>
      </c>
      <c r="E892" s="1" t="s">
        <v>2048</v>
      </c>
      <c r="F892" s="1" t="s">
        <v>2054</v>
      </c>
      <c r="G892" s="1" t="s">
        <v>2079</v>
      </c>
      <c r="H892" s="1" t="s">
        <v>2085</v>
      </c>
      <c r="I892" s="1">
        <v>4</v>
      </c>
      <c r="J892" s="1">
        <v>18633.98</v>
      </c>
      <c r="K892" s="1">
        <v>27.67</v>
      </c>
      <c r="L892" s="1">
        <v>53911.83</v>
      </c>
      <c r="M892" s="1">
        <v>10682.2</v>
      </c>
      <c r="N892" s="1" t="s">
        <v>2092</v>
      </c>
    </row>
    <row r="893" spans="1:14">
      <c r="A893" s="1" t="s">
        <v>905</v>
      </c>
      <c r="B893" s="2">
        <v>45617</v>
      </c>
      <c r="C893" s="1" t="s">
        <v>2020</v>
      </c>
      <c r="D893" s="1" t="s">
        <v>2035</v>
      </c>
      <c r="E893" s="1" t="s">
        <v>2046</v>
      </c>
      <c r="F893" s="1" t="s">
        <v>2050</v>
      </c>
      <c r="G893" s="1" t="s">
        <v>2064</v>
      </c>
      <c r="H893" s="1" t="s">
        <v>2085</v>
      </c>
      <c r="I893" s="1">
        <v>9</v>
      </c>
      <c r="J893" s="1">
        <v>6132.17</v>
      </c>
      <c r="K893" s="1">
        <v>22.73</v>
      </c>
      <c r="L893" s="1">
        <v>42644.95</v>
      </c>
      <c r="M893" s="1">
        <v>10765.4</v>
      </c>
      <c r="N893" s="1" t="s">
        <v>2090</v>
      </c>
    </row>
    <row r="894" spans="1:14">
      <c r="A894" s="1" t="s">
        <v>906</v>
      </c>
      <c r="B894" s="2">
        <v>45617</v>
      </c>
      <c r="C894" s="1" t="s">
        <v>2024</v>
      </c>
      <c r="D894" s="1" t="s">
        <v>2036</v>
      </c>
      <c r="E894" s="1" t="s">
        <v>2048</v>
      </c>
      <c r="F894" s="1" t="s">
        <v>2050</v>
      </c>
      <c r="G894" s="1" t="s">
        <v>2075</v>
      </c>
      <c r="H894" s="1" t="s">
        <v>2085</v>
      </c>
      <c r="I894" s="1">
        <v>3</v>
      </c>
      <c r="J894" s="1">
        <v>3141.44</v>
      </c>
      <c r="K894" s="1">
        <v>4.07</v>
      </c>
      <c r="L894" s="1">
        <v>9040.75</v>
      </c>
      <c r="M894" s="1">
        <v>1623.72</v>
      </c>
      <c r="N894" s="1" t="s">
        <v>2089</v>
      </c>
    </row>
    <row r="895" spans="1:14">
      <c r="A895" s="1" t="s">
        <v>907</v>
      </c>
      <c r="B895" s="2">
        <v>45618</v>
      </c>
      <c r="C895" s="1" t="s">
        <v>2016</v>
      </c>
      <c r="D895" s="1" t="s">
        <v>2037</v>
      </c>
      <c r="E895" s="1" t="s">
        <v>2047</v>
      </c>
      <c r="F895" s="1" t="s">
        <v>2052</v>
      </c>
      <c r="G895" s="1" t="s">
        <v>2065</v>
      </c>
      <c r="H895" s="1" t="s">
        <v>2085</v>
      </c>
      <c r="I895" s="1">
        <v>7</v>
      </c>
      <c r="J895" s="1">
        <v>4498.3900000000003</v>
      </c>
      <c r="K895" s="1">
        <v>22.81</v>
      </c>
      <c r="L895" s="1">
        <v>24306.15</v>
      </c>
      <c r="M895" s="1">
        <v>3769.48</v>
      </c>
      <c r="N895" s="1" t="s">
        <v>2090</v>
      </c>
    </row>
    <row r="896" spans="1:14">
      <c r="A896" s="1" t="s">
        <v>908</v>
      </c>
      <c r="B896" s="2">
        <v>45618</v>
      </c>
      <c r="C896" s="1" t="s">
        <v>2016</v>
      </c>
      <c r="D896" s="1" t="s">
        <v>2038</v>
      </c>
      <c r="E896" s="1" t="s">
        <v>2044</v>
      </c>
      <c r="F896" s="1" t="s">
        <v>2052</v>
      </c>
      <c r="G896" s="1" t="s">
        <v>2083</v>
      </c>
      <c r="H896" s="1" t="s">
        <v>2086</v>
      </c>
      <c r="I896" s="1">
        <v>4</v>
      </c>
      <c r="J896" s="1">
        <v>1214.43</v>
      </c>
      <c r="K896" s="1">
        <v>3.22</v>
      </c>
      <c r="L896" s="1">
        <v>4701.3</v>
      </c>
      <c r="M896" s="1">
        <v>353.97</v>
      </c>
      <c r="N896" s="1" t="s">
        <v>2091</v>
      </c>
    </row>
    <row r="897" spans="1:14">
      <c r="A897" s="1" t="s">
        <v>909</v>
      </c>
      <c r="B897" s="2">
        <v>45618</v>
      </c>
      <c r="C897" s="1" t="s">
        <v>2025</v>
      </c>
      <c r="D897" s="1" t="s">
        <v>2039</v>
      </c>
      <c r="E897" s="1" t="s">
        <v>2048</v>
      </c>
      <c r="F897" s="1" t="s">
        <v>2052</v>
      </c>
      <c r="G897" s="1" t="s">
        <v>2065</v>
      </c>
      <c r="H897" s="1" t="s">
        <v>2087</v>
      </c>
      <c r="I897" s="1">
        <v>10</v>
      </c>
      <c r="J897" s="1">
        <v>8971.83</v>
      </c>
      <c r="K897" s="1">
        <v>29.16</v>
      </c>
      <c r="L897" s="1">
        <v>63556.44</v>
      </c>
      <c r="M897" s="1">
        <v>16831.73</v>
      </c>
      <c r="N897" s="1" t="s">
        <v>2092</v>
      </c>
    </row>
    <row r="898" spans="1:14">
      <c r="A898" s="1" t="s">
        <v>910</v>
      </c>
      <c r="B898" s="2">
        <v>45619</v>
      </c>
      <c r="C898" s="1" t="s">
        <v>2015</v>
      </c>
      <c r="D898" s="1" t="s">
        <v>2040</v>
      </c>
      <c r="E898" s="1" t="s">
        <v>2048</v>
      </c>
      <c r="F898" s="1" t="s">
        <v>2050</v>
      </c>
      <c r="G898" s="1" t="s">
        <v>2084</v>
      </c>
      <c r="H898" s="1" t="s">
        <v>2086</v>
      </c>
      <c r="I898" s="1">
        <v>7</v>
      </c>
      <c r="J898" s="1">
        <v>654.73</v>
      </c>
      <c r="K898" s="1">
        <v>16.32</v>
      </c>
      <c r="L898" s="1">
        <v>3835.15</v>
      </c>
      <c r="M898" s="1">
        <v>516.36</v>
      </c>
      <c r="N898" s="1" t="s">
        <v>2092</v>
      </c>
    </row>
    <row r="899" spans="1:14">
      <c r="A899" s="1" t="s">
        <v>911</v>
      </c>
      <c r="B899" s="2">
        <v>45619</v>
      </c>
      <c r="C899" s="1" t="s">
        <v>2022</v>
      </c>
      <c r="D899" s="1" t="s">
        <v>2041</v>
      </c>
      <c r="E899" s="1" t="s">
        <v>2044</v>
      </c>
      <c r="F899" s="1" t="s">
        <v>2054</v>
      </c>
      <c r="G899" s="1" t="s">
        <v>2081</v>
      </c>
      <c r="H899" s="1" t="s">
        <v>2085</v>
      </c>
      <c r="I899" s="1">
        <v>8</v>
      </c>
      <c r="J899" s="1">
        <v>62474.45</v>
      </c>
      <c r="K899" s="1">
        <v>0.67</v>
      </c>
      <c r="L899" s="1">
        <v>496446.97</v>
      </c>
      <c r="M899" s="1">
        <v>99275.22</v>
      </c>
      <c r="N899" s="1" t="s">
        <v>2089</v>
      </c>
    </row>
    <row r="900" spans="1:14">
      <c r="A900" s="1" t="s">
        <v>912</v>
      </c>
      <c r="B900" s="2">
        <v>45619</v>
      </c>
      <c r="C900" s="1" t="s">
        <v>2024</v>
      </c>
      <c r="D900" s="1" t="s">
        <v>2042</v>
      </c>
      <c r="E900" s="1" t="s">
        <v>2044</v>
      </c>
      <c r="F900" s="1" t="s">
        <v>2051</v>
      </c>
      <c r="G900" s="1" t="s">
        <v>2077</v>
      </c>
      <c r="H900" s="1" t="s">
        <v>2087</v>
      </c>
      <c r="I900" s="1">
        <v>8</v>
      </c>
      <c r="J900" s="1">
        <v>13575.54</v>
      </c>
      <c r="K900" s="1">
        <v>13.21</v>
      </c>
      <c r="L900" s="1">
        <v>94257.69</v>
      </c>
      <c r="M900" s="1">
        <v>24346.99</v>
      </c>
      <c r="N900" s="1" t="s">
        <v>2089</v>
      </c>
    </row>
    <row r="901" spans="1:14">
      <c r="A901" s="1" t="s">
        <v>913</v>
      </c>
      <c r="B901" s="2">
        <v>45620</v>
      </c>
      <c r="C901" s="1" t="s">
        <v>2028</v>
      </c>
      <c r="D901" s="1" t="s">
        <v>2043</v>
      </c>
      <c r="E901" s="1" t="s">
        <v>2044</v>
      </c>
      <c r="F901" s="1" t="s">
        <v>2052</v>
      </c>
      <c r="G901" s="1" t="s">
        <v>2083</v>
      </c>
      <c r="H901" s="1" t="s">
        <v>2086</v>
      </c>
      <c r="I901" s="1">
        <v>4</v>
      </c>
      <c r="J901" s="1">
        <v>9824.92</v>
      </c>
      <c r="K901" s="1">
        <v>29.49</v>
      </c>
      <c r="L901" s="1">
        <v>27710.2</v>
      </c>
      <c r="M901" s="1">
        <v>7793.33</v>
      </c>
      <c r="N901" s="1" t="s">
        <v>2091</v>
      </c>
    </row>
    <row r="902" spans="1:14">
      <c r="A902" s="1" t="s">
        <v>914</v>
      </c>
      <c r="B902" s="2">
        <v>45620</v>
      </c>
      <c r="C902" s="1" t="s">
        <v>2026</v>
      </c>
      <c r="D902" s="1" t="s">
        <v>2029</v>
      </c>
      <c r="E902" s="1" t="s">
        <v>2046</v>
      </c>
      <c r="F902" s="1" t="s">
        <v>2052</v>
      </c>
      <c r="G902" s="1" t="s">
        <v>2065</v>
      </c>
      <c r="H902" s="1" t="s">
        <v>2087</v>
      </c>
      <c r="I902" s="1">
        <v>6</v>
      </c>
      <c r="J902" s="1">
        <v>8097.73</v>
      </c>
      <c r="K902" s="1">
        <v>2.38</v>
      </c>
      <c r="L902" s="1">
        <v>47430.02</v>
      </c>
      <c r="M902" s="1">
        <v>4642.09</v>
      </c>
      <c r="N902" s="1" t="s">
        <v>2092</v>
      </c>
    </row>
    <row r="903" spans="1:14">
      <c r="A903" s="1" t="s">
        <v>915</v>
      </c>
      <c r="B903" s="2">
        <v>45621</v>
      </c>
      <c r="C903" s="1" t="s">
        <v>2027</v>
      </c>
      <c r="D903" s="1" t="s">
        <v>2030</v>
      </c>
      <c r="E903" s="1" t="s">
        <v>2047</v>
      </c>
      <c r="F903" s="1" t="s">
        <v>2053</v>
      </c>
      <c r="G903" s="1" t="s">
        <v>2062</v>
      </c>
      <c r="H903" s="1" t="s">
        <v>2085</v>
      </c>
      <c r="I903" s="1">
        <v>4</v>
      </c>
      <c r="J903" s="1">
        <v>395.88</v>
      </c>
      <c r="K903" s="1">
        <v>4.42</v>
      </c>
      <c r="L903" s="1">
        <v>1513.53</v>
      </c>
      <c r="M903" s="1">
        <v>86.93</v>
      </c>
      <c r="N903" s="1" t="s">
        <v>2090</v>
      </c>
    </row>
    <row r="904" spans="1:14">
      <c r="A904" s="1" t="s">
        <v>916</v>
      </c>
      <c r="B904" s="2">
        <v>45621</v>
      </c>
      <c r="C904" s="1" t="s">
        <v>2019</v>
      </c>
      <c r="D904" s="1" t="s">
        <v>2031</v>
      </c>
      <c r="E904" s="1" t="s">
        <v>2044</v>
      </c>
      <c r="F904" s="1" t="s">
        <v>2049</v>
      </c>
      <c r="G904" s="1" t="s">
        <v>2055</v>
      </c>
      <c r="H904" s="1" t="s">
        <v>2085</v>
      </c>
      <c r="I904" s="1">
        <v>1</v>
      </c>
      <c r="J904" s="1">
        <v>2978.16</v>
      </c>
      <c r="K904" s="1">
        <v>19.77</v>
      </c>
      <c r="L904" s="1">
        <v>2389.38</v>
      </c>
      <c r="M904" s="1">
        <v>149.61000000000001</v>
      </c>
      <c r="N904" s="1" t="s">
        <v>2090</v>
      </c>
    </row>
    <row r="905" spans="1:14">
      <c r="A905" s="1" t="s">
        <v>917</v>
      </c>
      <c r="B905" s="2">
        <v>45621</v>
      </c>
      <c r="C905" s="1" t="s">
        <v>2015</v>
      </c>
      <c r="D905" s="1" t="s">
        <v>2032</v>
      </c>
      <c r="E905" s="1" t="s">
        <v>2045</v>
      </c>
      <c r="F905" s="1" t="s">
        <v>2054</v>
      </c>
      <c r="G905" s="1" t="s">
        <v>2063</v>
      </c>
      <c r="H905" s="1" t="s">
        <v>2087</v>
      </c>
      <c r="I905" s="1">
        <v>1</v>
      </c>
      <c r="J905" s="1">
        <v>74250.13</v>
      </c>
      <c r="K905" s="1">
        <v>28.49</v>
      </c>
      <c r="L905" s="1">
        <v>53096.27</v>
      </c>
      <c r="M905" s="1">
        <v>10019.61</v>
      </c>
      <c r="N905" s="1" t="s">
        <v>2091</v>
      </c>
    </row>
    <row r="906" spans="1:14">
      <c r="A906" s="1" t="s">
        <v>918</v>
      </c>
      <c r="B906" s="2">
        <v>45622</v>
      </c>
      <c r="C906" s="1" t="s">
        <v>2015</v>
      </c>
      <c r="D906" s="1" t="s">
        <v>2033</v>
      </c>
      <c r="E906" s="1" t="s">
        <v>2044</v>
      </c>
      <c r="F906" s="1" t="s">
        <v>2054</v>
      </c>
      <c r="G906" s="1" t="s">
        <v>2063</v>
      </c>
      <c r="H906" s="1" t="s">
        <v>2085</v>
      </c>
      <c r="I906" s="1">
        <v>1</v>
      </c>
      <c r="J906" s="1">
        <v>13276.71</v>
      </c>
      <c r="K906" s="1">
        <v>29.35</v>
      </c>
      <c r="L906" s="1">
        <v>9380</v>
      </c>
      <c r="M906" s="1">
        <v>840.73</v>
      </c>
      <c r="N906" s="1" t="s">
        <v>2092</v>
      </c>
    </row>
    <row r="907" spans="1:14">
      <c r="A907" s="1" t="s">
        <v>919</v>
      </c>
      <c r="B907" s="2">
        <v>45622</v>
      </c>
      <c r="C907" s="1" t="s">
        <v>2023</v>
      </c>
      <c r="D907" s="1" t="s">
        <v>2034</v>
      </c>
      <c r="E907" s="1" t="s">
        <v>2046</v>
      </c>
      <c r="F907" s="1" t="s">
        <v>2051</v>
      </c>
      <c r="G907" s="1" t="s">
        <v>2077</v>
      </c>
      <c r="H907" s="1" t="s">
        <v>2087</v>
      </c>
      <c r="I907" s="1">
        <v>8</v>
      </c>
      <c r="J907" s="1">
        <v>25586.29</v>
      </c>
      <c r="K907" s="1">
        <v>8.7899999999999991</v>
      </c>
      <c r="L907" s="1">
        <v>186698.04</v>
      </c>
      <c r="M907" s="1">
        <v>26769.71</v>
      </c>
      <c r="N907" s="1" t="s">
        <v>2089</v>
      </c>
    </row>
    <row r="908" spans="1:14">
      <c r="A908" s="1" t="s">
        <v>920</v>
      </c>
      <c r="B908" s="2">
        <v>45622</v>
      </c>
      <c r="C908" s="1" t="s">
        <v>2017</v>
      </c>
      <c r="D908" s="1" t="s">
        <v>2035</v>
      </c>
      <c r="E908" s="1" t="s">
        <v>2048</v>
      </c>
      <c r="F908" s="1" t="s">
        <v>2050</v>
      </c>
      <c r="G908" s="1" t="s">
        <v>2084</v>
      </c>
      <c r="H908" s="1" t="s">
        <v>2086</v>
      </c>
      <c r="I908" s="1">
        <v>2</v>
      </c>
      <c r="J908" s="1">
        <v>6377.54</v>
      </c>
      <c r="K908" s="1">
        <v>0.94</v>
      </c>
      <c r="L908" s="1">
        <v>12635.18</v>
      </c>
      <c r="M908" s="1">
        <v>3685.89</v>
      </c>
      <c r="N908" s="1" t="s">
        <v>2088</v>
      </c>
    </row>
    <row r="909" spans="1:14">
      <c r="A909" s="1" t="s">
        <v>921</v>
      </c>
      <c r="B909" s="2">
        <v>45623</v>
      </c>
      <c r="C909" s="1" t="s">
        <v>2028</v>
      </c>
      <c r="D909" s="1" t="s">
        <v>2036</v>
      </c>
      <c r="E909" s="1" t="s">
        <v>2046</v>
      </c>
      <c r="F909" s="1" t="s">
        <v>2052</v>
      </c>
      <c r="G909" s="1" t="s">
        <v>2065</v>
      </c>
      <c r="H909" s="1" t="s">
        <v>2085</v>
      </c>
      <c r="I909" s="1">
        <v>6</v>
      </c>
      <c r="J909" s="1">
        <v>6146.9</v>
      </c>
      <c r="K909" s="1">
        <v>3.6</v>
      </c>
      <c r="L909" s="1">
        <v>35553.67</v>
      </c>
      <c r="M909" s="1">
        <v>4628.49</v>
      </c>
      <c r="N909" s="1" t="s">
        <v>2091</v>
      </c>
    </row>
    <row r="910" spans="1:14">
      <c r="A910" s="1" t="s">
        <v>922</v>
      </c>
      <c r="B910" s="2">
        <v>45623</v>
      </c>
      <c r="C910" s="1" t="s">
        <v>2014</v>
      </c>
      <c r="D910" s="1" t="s">
        <v>2037</v>
      </c>
      <c r="E910" s="1" t="s">
        <v>2046</v>
      </c>
      <c r="F910" s="1" t="s">
        <v>2049</v>
      </c>
      <c r="G910" s="1" t="s">
        <v>2055</v>
      </c>
      <c r="H910" s="1" t="s">
        <v>2087</v>
      </c>
      <c r="I910" s="1">
        <v>3</v>
      </c>
      <c r="J910" s="1">
        <v>621.67999999999995</v>
      </c>
      <c r="K910" s="1">
        <v>6.44</v>
      </c>
      <c r="L910" s="1">
        <v>1744.93</v>
      </c>
      <c r="M910" s="1">
        <v>409.25</v>
      </c>
      <c r="N910" s="1" t="s">
        <v>2091</v>
      </c>
    </row>
    <row r="911" spans="1:14">
      <c r="A911" s="1" t="s">
        <v>923</v>
      </c>
      <c r="B911" s="2">
        <v>45623</v>
      </c>
      <c r="C911" s="1" t="s">
        <v>2016</v>
      </c>
      <c r="D911" s="1" t="s">
        <v>2038</v>
      </c>
      <c r="E911" s="1" t="s">
        <v>2046</v>
      </c>
      <c r="F911" s="1" t="s">
        <v>2050</v>
      </c>
      <c r="G911" s="1" t="s">
        <v>2056</v>
      </c>
      <c r="H911" s="1" t="s">
        <v>2086</v>
      </c>
      <c r="I911" s="1">
        <v>3</v>
      </c>
      <c r="J911" s="1">
        <v>4292.3999999999996</v>
      </c>
      <c r="K911" s="1">
        <v>10.57</v>
      </c>
      <c r="L911" s="1">
        <v>11516.08</v>
      </c>
      <c r="M911" s="1">
        <v>1249.6600000000001</v>
      </c>
      <c r="N911" s="1" t="s">
        <v>2088</v>
      </c>
    </row>
    <row r="912" spans="1:14">
      <c r="A912" s="1" t="s">
        <v>924</v>
      </c>
      <c r="B912" s="2">
        <v>45624</v>
      </c>
      <c r="C912" s="1" t="s">
        <v>2019</v>
      </c>
      <c r="D912" s="1" t="s">
        <v>2039</v>
      </c>
      <c r="E912" s="1" t="s">
        <v>2044</v>
      </c>
      <c r="F912" s="1" t="s">
        <v>2054</v>
      </c>
      <c r="G912" s="1" t="s">
        <v>2068</v>
      </c>
      <c r="H912" s="1" t="s">
        <v>2087</v>
      </c>
      <c r="I912" s="1">
        <v>4</v>
      </c>
      <c r="J912" s="1">
        <v>32004.04</v>
      </c>
      <c r="K912" s="1">
        <v>20.82</v>
      </c>
      <c r="L912" s="1">
        <v>101363.2</v>
      </c>
      <c r="M912" s="1">
        <v>17467.990000000002</v>
      </c>
      <c r="N912" s="1" t="s">
        <v>2089</v>
      </c>
    </row>
    <row r="913" spans="1:14">
      <c r="A913" s="1" t="s">
        <v>925</v>
      </c>
      <c r="B913" s="2">
        <v>45624</v>
      </c>
      <c r="C913" s="1" t="s">
        <v>2021</v>
      </c>
      <c r="D913" s="1" t="s">
        <v>2040</v>
      </c>
      <c r="E913" s="1" t="s">
        <v>2047</v>
      </c>
      <c r="F913" s="1" t="s">
        <v>2054</v>
      </c>
      <c r="G913" s="1" t="s">
        <v>2066</v>
      </c>
      <c r="H913" s="1" t="s">
        <v>2085</v>
      </c>
      <c r="I913" s="1">
        <v>3</v>
      </c>
      <c r="J913" s="1">
        <v>44756.22</v>
      </c>
      <c r="K913" s="1">
        <v>19.37</v>
      </c>
      <c r="L913" s="1">
        <v>108260.82</v>
      </c>
      <c r="M913" s="1">
        <v>5778.89</v>
      </c>
      <c r="N913" s="1" t="s">
        <v>2088</v>
      </c>
    </row>
    <row r="914" spans="1:14">
      <c r="A914" s="1" t="s">
        <v>926</v>
      </c>
      <c r="B914" s="2">
        <v>45625</v>
      </c>
      <c r="C914" s="1" t="s">
        <v>2022</v>
      </c>
      <c r="D914" s="1" t="s">
        <v>2041</v>
      </c>
      <c r="E914" s="1" t="s">
        <v>2046</v>
      </c>
      <c r="F914" s="1" t="s">
        <v>2050</v>
      </c>
      <c r="G914" s="1" t="s">
        <v>2075</v>
      </c>
      <c r="H914" s="1" t="s">
        <v>2085</v>
      </c>
      <c r="I914" s="1">
        <v>1</v>
      </c>
      <c r="J914" s="1">
        <v>7582.47</v>
      </c>
      <c r="K914" s="1">
        <v>5.91</v>
      </c>
      <c r="L914" s="1">
        <v>7134.35</v>
      </c>
      <c r="M914" s="1">
        <v>1918</v>
      </c>
      <c r="N914" s="1" t="s">
        <v>2088</v>
      </c>
    </row>
    <row r="915" spans="1:14">
      <c r="A915" s="1" t="s">
        <v>927</v>
      </c>
      <c r="B915" s="2">
        <v>45625</v>
      </c>
      <c r="C915" s="1" t="s">
        <v>2028</v>
      </c>
      <c r="D915" s="1" t="s">
        <v>2042</v>
      </c>
      <c r="E915" s="1" t="s">
        <v>2045</v>
      </c>
      <c r="F915" s="1" t="s">
        <v>2049</v>
      </c>
      <c r="G915" s="1" t="s">
        <v>2074</v>
      </c>
      <c r="H915" s="1" t="s">
        <v>2086</v>
      </c>
      <c r="I915" s="1">
        <v>5</v>
      </c>
      <c r="J915" s="1">
        <v>623.91999999999996</v>
      </c>
      <c r="K915" s="1">
        <v>21.95</v>
      </c>
      <c r="L915" s="1">
        <v>2434.85</v>
      </c>
      <c r="M915" s="1">
        <v>215.57</v>
      </c>
      <c r="N915" s="1" t="s">
        <v>2090</v>
      </c>
    </row>
    <row r="916" spans="1:14">
      <c r="A916" s="1" t="s">
        <v>928</v>
      </c>
      <c r="B916" s="2">
        <v>45625</v>
      </c>
      <c r="C916" s="1" t="s">
        <v>2028</v>
      </c>
      <c r="D916" s="1" t="s">
        <v>2043</v>
      </c>
      <c r="E916" s="1" t="s">
        <v>2048</v>
      </c>
      <c r="F916" s="1" t="s">
        <v>2050</v>
      </c>
      <c r="G916" s="1" t="s">
        <v>2075</v>
      </c>
      <c r="H916" s="1" t="s">
        <v>2086</v>
      </c>
      <c r="I916" s="1">
        <v>10</v>
      </c>
      <c r="J916" s="1">
        <v>5176.17</v>
      </c>
      <c r="K916" s="1">
        <v>2.98</v>
      </c>
      <c r="L916" s="1">
        <v>50219.199999999997</v>
      </c>
      <c r="M916" s="1">
        <v>10096.24</v>
      </c>
      <c r="N916" s="1" t="s">
        <v>2089</v>
      </c>
    </row>
    <row r="917" spans="1:14">
      <c r="A917" s="1" t="s">
        <v>929</v>
      </c>
      <c r="B917" s="2">
        <v>45626</v>
      </c>
      <c r="C917" s="1" t="s">
        <v>2018</v>
      </c>
      <c r="D917" s="1" t="s">
        <v>2029</v>
      </c>
      <c r="E917" s="1" t="s">
        <v>2047</v>
      </c>
      <c r="F917" s="1" t="s">
        <v>2052</v>
      </c>
      <c r="G917" s="1" t="s">
        <v>2078</v>
      </c>
      <c r="H917" s="1" t="s">
        <v>2085</v>
      </c>
      <c r="I917" s="1">
        <v>3</v>
      </c>
      <c r="J917" s="1">
        <v>6897.66</v>
      </c>
      <c r="K917" s="1">
        <v>20.52</v>
      </c>
      <c r="L917" s="1">
        <v>16446.78</v>
      </c>
      <c r="M917" s="1">
        <v>2885.75</v>
      </c>
      <c r="N917" s="1" t="s">
        <v>2092</v>
      </c>
    </row>
    <row r="918" spans="1:14">
      <c r="A918" s="1" t="s">
        <v>930</v>
      </c>
      <c r="B918" s="2">
        <v>45626</v>
      </c>
      <c r="C918" s="1" t="s">
        <v>2016</v>
      </c>
      <c r="D918" s="1" t="s">
        <v>2030</v>
      </c>
      <c r="E918" s="1" t="s">
        <v>2045</v>
      </c>
      <c r="F918" s="1" t="s">
        <v>2051</v>
      </c>
      <c r="G918" s="1" t="s">
        <v>2061</v>
      </c>
      <c r="H918" s="1" t="s">
        <v>2087</v>
      </c>
      <c r="I918" s="1">
        <v>1</v>
      </c>
      <c r="J918" s="1">
        <v>35899.9</v>
      </c>
      <c r="K918" s="1">
        <v>0.73</v>
      </c>
      <c r="L918" s="1">
        <v>35637.83</v>
      </c>
      <c r="M918" s="1">
        <v>4887.75</v>
      </c>
      <c r="N918" s="1" t="s">
        <v>2088</v>
      </c>
    </row>
    <row r="919" spans="1:14">
      <c r="A919" s="1" t="s">
        <v>931</v>
      </c>
      <c r="B919" s="2">
        <v>45626</v>
      </c>
      <c r="C919" s="1" t="s">
        <v>2028</v>
      </c>
      <c r="D919" s="1" t="s">
        <v>2031</v>
      </c>
      <c r="E919" s="1" t="s">
        <v>2047</v>
      </c>
      <c r="F919" s="1" t="s">
        <v>2053</v>
      </c>
      <c r="G919" s="1" t="s">
        <v>2060</v>
      </c>
      <c r="H919" s="1" t="s">
        <v>2085</v>
      </c>
      <c r="I919" s="1">
        <v>3</v>
      </c>
      <c r="J919" s="1">
        <v>408.59</v>
      </c>
      <c r="K919" s="1">
        <v>0.55000000000000004</v>
      </c>
      <c r="L919" s="1">
        <v>1219.03</v>
      </c>
      <c r="M919" s="1">
        <v>271.12</v>
      </c>
      <c r="N919" s="1" t="s">
        <v>2088</v>
      </c>
    </row>
    <row r="920" spans="1:14">
      <c r="A920" s="1" t="s">
        <v>932</v>
      </c>
      <c r="B920" s="2">
        <v>45627</v>
      </c>
      <c r="C920" s="1" t="s">
        <v>2028</v>
      </c>
      <c r="D920" s="1" t="s">
        <v>2032</v>
      </c>
      <c r="E920" s="1" t="s">
        <v>2048</v>
      </c>
      <c r="F920" s="1" t="s">
        <v>2052</v>
      </c>
      <c r="G920" s="1" t="s">
        <v>2065</v>
      </c>
      <c r="H920" s="1" t="s">
        <v>2086</v>
      </c>
      <c r="I920" s="1">
        <v>4</v>
      </c>
      <c r="J920" s="1">
        <v>5229.07</v>
      </c>
      <c r="K920" s="1">
        <v>14.87</v>
      </c>
      <c r="L920" s="1">
        <v>17806.03</v>
      </c>
      <c r="M920" s="1">
        <v>2371.4699999999998</v>
      </c>
      <c r="N920" s="1" t="s">
        <v>2092</v>
      </c>
    </row>
    <row r="921" spans="1:14">
      <c r="A921" s="1" t="s">
        <v>933</v>
      </c>
      <c r="B921" s="2">
        <v>45627</v>
      </c>
      <c r="C921" s="1" t="s">
        <v>2025</v>
      </c>
      <c r="D921" s="1" t="s">
        <v>2033</v>
      </c>
      <c r="E921" s="1" t="s">
        <v>2044</v>
      </c>
      <c r="F921" s="1" t="s">
        <v>2049</v>
      </c>
      <c r="G921" s="1" t="s">
        <v>2055</v>
      </c>
      <c r="H921" s="1" t="s">
        <v>2085</v>
      </c>
      <c r="I921" s="1">
        <v>1</v>
      </c>
      <c r="J921" s="1">
        <v>2484.15</v>
      </c>
      <c r="K921" s="1">
        <v>14.56</v>
      </c>
      <c r="L921" s="1">
        <v>2122.46</v>
      </c>
      <c r="M921" s="1">
        <v>394.46</v>
      </c>
      <c r="N921" s="1" t="s">
        <v>2091</v>
      </c>
    </row>
    <row r="922" spans="1:14">
      <c r="A922" s="1" t="s">
        <v>934</v>
      </c>
      <c r="B922" s="2">
        <v>45627</v>
      </c>
      <c r="C922" s="1" t="s">
        <v>2025</v>
      </c>
      <c r="D922" s="1" t="s">
        <v>2034</v>
      </c>
      <c r="E922" s="1" t="s">
        <v>2044</v>
      </c>
      <c r="F922" s="1" t="s">
        <v>2049</v>
      </c>
      <c r="G922" s="1" t="s">
        <v>2082</v>
      </c>
      <c r="H922" s="1" t="s">
        <v>2085</v>
      </c>
      <c r="I922" s="1">
        <v>8</v>
      </c>
      <c r="J922" s="1">
        <v>1359.38</v>
      </c>
      <c r="K922" s="1">
        <v>5.64</v>
      </c>
      <c r="L922" s="1">
        <v>10261.69</v>
      </c>
      <c r="M922" s="1">
        <v>2188.66</v>
      </c>
      <c r="N922" s="1" t="s">
        <v>2088</v>
      </c>
    </row>
    <row r="923" spans="1:14">
      <c r="A923" s="1" t="s">
        <v>935</v>
      </c>
      <c r="B923" s="2">
        <v>45628</v>
      </c>
      <c r="C923" s="1" t="s">
        <v>2023</v>
      </c>
      <c r="D923" s="1" t="s">
        <v>2035</v>
      </c>
      <c r="E923" s="1" t="s">
        <v>2044</v>
      </c>
      <c r="F923" s="1" t="s">
        <v>2054</v>
      </c>
      <c r="G923" s="1" t="s">
        <v>2079</v>
      </c>
      <c r="H923" s="1" t="s">
        <v>2085</v>
      </c>
      <c r="I923" s="1">
        <v>3</v>
      </c>
      <c r="J923" s="1">
        <v>4881.22</v>
      </c>
      <c r="K923" s="1">
        <v>26.64</v>
      </c>
      <c r="L923" s="1">
        <v>10742.59</v>
      </c>
      <c r="M923" s="1">
        <v>2425.12</v>
      </c>
      <c r="N923" s="1" t="s">
        <v>2092</v>
      </c>
    </row>
    <row r="924" spans="1:14">
      <c r="A924" s="1" t="s">
        <v>936</v>
      </c>
      <c r="B924" s="2">
        <v>45628</v>
      </c>
      <c r="C924" s="1" t="s">
        <v>2023</v>
      </c>
      <c r="D924" s="1" t="s">
        <v>2036</v>
      </c>
      <c r="E924" s="1" t="s">
        <v>2046</v>
      </c>
      <c r="F924" s="1" t="s">
        <v>2050</v>
      </c>
      <c r="G924" s="1" t="s">
        <v>2070</v>
      </c>
      <c r="H924" s="1" t="s">
        <v>2085</v>
      </c>
      <c r="I924" s="1">
        <v>1</v>
      </c>
      <c r="J924" s="1">
        <v>7204.95</v>
      </c>
      <c r="K924" s="1">
        <v>6.32</v>
      </c>
      <c r="L924" s="1">
        <v>6749.6</v>
      </c>
      <c r="M924" s="1">
        <v>721.42</v>
      </c>
      <c r="N924" s="1" t="s">
        <v>2090</v>
      </c>
    </row>
    <row r="925" spans="1:14">
      <c r="A925" s="1" t="s">
        <v>937</v>
      </c>
      <c r="B925" s="2">
        <v>45629</v>
      </c>
      <c r="C925" s="1" t="s">
        <v>2020</v>
      </c>
      <c r="D925" s="1" t="s">
        <v>2037</v>
      </c>
      <c r="E925" s="1" t="s">
        <v>2045</v>
      </c>
      <c r="F925" s="1" t="s">
        <v>2051</v>
      </c>
      <c r="G925" s="1" t="s">
        <v>2061</v>
      </c>
      <c r="H925" s="1" t="s">
        <v>2085</v>
      </c>
      <c r="I925" s="1">
        <v>4</v>
      </c>
      <c r="J925" s="1">
        <v>18577.54</v>
      </c>
      <c r="K925" s="1">
        <v>22.61</v>
      </c>
      <c r="L925" s="1">
        <v>57508.63</v>
      </c>
      <c r="M925" s="1">
        <v>16614.810000000001</v>
      </c>
      <c r="N925" s="1" t="s">
        <v>2088</v>
      </c>
    </row>
    <row r="926" spans="1:14">
      <c r="A926" s="1" t="s">
        <v>938</v>
      </c>
      <c r="B926" s="2">
        <v>45629</v>
      </c>
      <c r="C926" s="1" t="s">
        <v>2014</v>
      </c>
      <c r="D926" s="1" t="s">
        <v>2038</v>
      </c>
      <c r="E926" s="1" t="s">
        <v>2048</v>
      </c>
      <c r="F926" s="1" t="s">
        <v>2053</v>
      </c>
      <c r="G926" s="1" t="s">
        <v>2076</v>
      </c>
      <c r="H926" s="1" t="s">
        <v>2085</v>
      </c>
      <c r="I926" s="1">
        <v>5</v>
      </c>
      <c r="J926" s="1">
        <v>2242.27</v>
      </c>
      <c r="K926" s="1">
        <v>13.76</v>
      </c>
      <c r="L926" s="1">
        <v>9668.67</v>
      </c>
      <c r="M926" s="1">
        <v>2119.8000000000002</v>
      </c>
      <c r="N926" s="1" t="s">
        <v>2088</v>
      </c>
    </row>
    <row r="927" spans="1:14">
      <c r="A927" s="1" t="s">
        <v>939</v>
      </c>
      <c r="B927" s="2">
        <v>45629</v>
      </c>
      <c r="C927" s="1" t="s">
        <v>2024</v>
      </c>
      <c r="D927" s="1" t="s">
        <v>2039</v>
      </c>
      <c r="E927" s="1" t="s">
        <v>2048</v>
      </c>
      <c r="F927" s="1" t="s">
        <v>2050</v>
      </c>
      <c r="G927" s="1" t="s">
        <v>2084</v>
      </c>
      <c r="H927" s="1" t="s">
        <v>2085</v>
      </c>
      <c r="I927" s="1">
        <v>4</v>
      </c>
      <c r="J927" s="1">
        <v>2034.09</v>
      </c>
      <c r="K927" s="1">
        <v>7.71</v>
      </c>
      <c r="L927" s="1">
        <v>7509.05</v>
      </c>
      <c r="M927" s="1">
        <v>1275.52</v>
      </c>
      <c r="N927" s="1" t="s">
        <v>2089</v>
      </c>
    </row>
    <row r="928" spans="1:14">
      <c r="A928" s="1" t="s">
        <v>940</v>
      </c>
      <c r="B928" s="2">
        <v>45630</v>
      </c>
      <c r="C928" s="1" t="s">
        <v>2018</v>
      </c>
      <c r="D928" s="1" t="s">
        <v>2040</v>
      </c>
      <c r="E928" s="1" t="s">
        <v>2048</v>
      </c>
      <c r="F928" s="1" t="s">
        <v>2052</v>
      </c>
      <c r="G928" s="1" t="s">
        <v>2078</v>
      </c>
      <c r="H928" s="1" t="s">
        <v>2085</v>
      </c>
      <c r="I928" s="1">
        <v>1</v>
      </c>
      <c r="J928" s="1">
        <v>3958.64</v>
      </c>
      <c r="K928" s="1">
        <v>25.1</v>
      </c>
      <c r="L928" s="1">
        <v>2965.02</v>
      </c>
      <c r="M928" s="1">
        <v>630.65</v>
      </c>
      <c r="N928" s="1" t="s">
        <v>2090</v>
      </c>
    </row>
    <row r="929" spans="1:14">
      <c r="A929" s="1" t="s">
        <v>941</v>
      </c>
      <c r="B929" s="2">
        <v>45630</v>
      </c>
      <c r="C929" s="1" t="s">
        <v>2017</v>
      </c>
      <c r="D929" s="1" t="s">
        <v>2041</v>
      </c>
      <c r="E929" s="1" t="s">
        <v>2045</v>
      </c>
      <c r="F929" s="1" t="s">
        <v>2053</v>
      </c>
      <c r="G929" s="1" t="s">
        <v>2073</v>
      </c>
      <c r="H929" s="1" t="s">
        <v>2086</v>
      </c>
      <c r="I929" s="1">
        <v>1</v>
      </c>
      <c r="J929" s="1">
        <v>1293.2</v>
      </c>
      <c r="K929" s="1">
        <v>20.02</v>
      </c>
      <c r="L929" s="1">
        <v>1034.3</v>
      </c>
      <c r="M929" s="1">
        <v>55.02</v>
      </c>
      <c r="N929" s="1" t="s">
        <v>2089</v>
      </c>
    </row>
    <row r="930" spans="1:14">
      <c r="A930" s="1" t="s">
        <v>942</v>
      </c>
      <c r="B930" s="2">
        <v>45630</v>
      </c>
      <c r="C930" s="1" t="s">
        <v>2019</v>
      </c>
      <c r="D930" s="1" t="s">
        <v>2042</v>
      </c>
      <c r="E930" s="1" t="s">
        <v>2048</v>
      </c>
      <c r="F930" s="1" t="s">
        <v>2051</v>
      </c>
      <c r="G930" s="1" t="s">
        <v>2069</v>
      </c>
      <c r="H930" s="1" t="s">
        <v>2087</v>
      </c>
      <c r="I930" s="1">
        <v>2</v>
      </c>
      <c r="J930" s="1">
        <v>29293.64</v>
      </c>
      <c r="K930" s="1">
        <v>2.4300000000000002</v>
      </c>
      <c r="L930" s="1">
        <v>57163.61</v>
      </c>
      <c r="M930" s="1">
        <v>13096.94</v>
      </c>
      <c r="N930" s="1" t="s">
        <v>2091</v>
      </c>
    </row>
    <row r="931" spans="1:14">
      <c r="A931" s="1" t="s">
        <v>943</v>
      </c>
      <c r="B931" s="2">
        <v>45631</v>
      </c>
      <c r="C931" s="1" t="s">
        <v>2024</v>
      </c>
      <c r="D931" s="1" t="s">
        <v>2043</v>
      </c>
      <c r="E931" s="1" t="s">
        <v>2046</v>
      </c>
      <c r="F931" s="1" t="s">
        <v>2053</v>
      </c>
      <c r="G931" s="1" t="s">
        <v>2060</v>
      </c>
      <c r="H931" s="1" t="s">
        <v>2087</v>
      </c>
      <c r="I931" s="1">
        <v>7</v>
      </c>
      <c r="J931" s="1">
        <v>362.45</v>
      </c>
      <c r="K931" s="1">
        <v>11.92</v>
      </c>
      <c r="L931" s="1">
        <v>2234.7199999999998</v>
      </c>
      <c r="M931" s="1">
        <v>299.93</v>
      </c>
      <c r="N931" s="1" t="s">
        <v>2090</v>
      </c>
    </row>
    <row r="932" spans="1:14">
      <c r="A932" s="1" t="s">
        <v>944</v>
      </c>
      <c r="B932" s="2">
        <v>45631</v>
      </c>
      <c r="C932" s="1" t="s">
        <v>2026</v>
      </c>
      <c r="D932" s="1" t="s">
        <v>2029</v>
      </c>
      <c r="E932" s="1" t="s">
        <v>2045</v>
      </c>
      <c r="F932" s="1" t="s">
        <v>2054</v>
      </c>
      <c r="G932" s="1" t="s">
        <v>2066</v>
      </c>
      <c r="H932" s="1" t="s">
        <v>2085</v>
      </c>
      <c r="I932" s="1">
        <v>1</v>
      </c>
      <c r="J932" s="1">
        <v>17421.580000000002</v>
      </c>
      <c r="K932" s="1">
        <v>20.059999999999999</v>
      </c>
      <c r="L932" s="1">
        <v>13926.81</v>
      </c>
      <c r="M932" s="1">
        <v>2586.48</v>
      </c>
      <c r="N932" s="1" t="s">
        <v>2091</v>
      </c>
    </row>
    <row r="933" spans="1:14">
      <c r="A933" s="1" t="s">
        <v>945</v>
      </c>
      <c r="B933" s="2">
        <v>45631</v>
      </c>
      <c r="C933" s="1" t="s">
        <v>2027</v>
      </c>
      <c r="D933" s="1" t="s">
        <v>2030</v>
      </c>
      <c r="E933" s="1" t="s">
        <v>2048</v>
      </c>
      <c r="F933" s="1" t="s">
        <v>2053</v>
      </c>
      <c r="G933" s="1" t="s">
        <v>2062</v>
      </c>
      <c r="H933" s="1" t="s">
        <v>2085</v>
      </c>
      <c r="I933" s="1">
        <v>10</v>
      </c>
      <c r="J933" s="1">
        <v>2371.31</v>
      </c>
      <c r="K933" s="1">
        <v>12.45</v>
      </c>
      <c r="L933" s="1">
        <v>20760.82</v>
      </c>
      <c r="M933" s="1">
        <v>2734.94</v>
      </c>
      <c r="N933" s="1" t="s">
        <v>2088</v>
      </c>
    </row>
    <row r="934" spans="1:14">
      <c r="A934" s="1" t="s">
        <v>946</v>
      </c>
      <c r="B934" s="2">
        <v>45632</v>
      </c>
      <c r="C934" s="1" t="s">
        <v>2017</v>
      </c>
      <c r="D934" s="1" t="s">
        <v>2031</v>
      </c>
      <c r="E934" s="1" t="s">
        <v>2046</v>
      </c>
      <c r="F934" s="1" t="s">
        <v>2053</v>
      </c>
      <c r="G934" s="1" t="s">
        <v>2076</v>
      </c>
      <c r="H934" s="1" t="s">
        <v>2087</v>
      </c>
      <c r="I934" s="1">
        <v>7</v>
      </c>
      <c r="J934" s="1">
        <v>2407.84</v>
      </c>
      <c r="K934" s="1">
        <v>23.09</v>
      </c>
      <c r="L934" s="1">
        <v>12963.09</v>
      </c>
      <c r="M934" s="1">
        <v>2230.65</v>
      </c>
      <c r="N934" s="1" t="s">
        <v>2088</v>
      </c>
    </row>
    <row r="935" spans="1:14">
      <c r="A935" s="1" t="s">
        <v>947</v>
      </c>
      <c r="B935" s="2">
        <v>45632</v>
      </c>
      <c r="C935" s="1" t="s">
        <v>2020</v>
      </c>
      <c r="D935" s="1" t="s">
        <v>2032</v>
      </c>
      <c r="E935" s="1" t="s">
        <v>2047</v>
      </c>
      <c r="F935" s="1" t="s">
        <v>2054</v>
      </c>
      <c r="G935" s="1" t="s">
        <v>2081</v>
      </c>
      <c r="H935" s="1" t="s">
        <v>2087</v>
      </c>
      <c r="I935" s="1">
        <v>9</v>
      </c>
      <c r="J935" s="1">
        <v>4982.3599999999997</v>
      </c>
      <c r="K935" s="1">
        <v>11.08</v>
      </c>
      <c r="L935" s="1">
        <v>39872.83</v>
      </c>
      <c r="M935" s="1">
        <v>7035.65</v>
      </c>
      <c r="N935" s="1" t="s">
        <v>2090</v>
      </c>
    </row>
    <row r="936" spans="1:14">
      <c r="A936" s="1" t="s">
        <v>948</v>
      </c>
      <c r="B936" s="2">
        <v>45633</v>
      </c>
      <c r="C936" s="1" t="s">
        <v>2017</v>
      </c>
      <c r="D936" s="1" t="s">
        <v>2033</v>
      </c>
      <c r="E936" s="1" t="s">
        <v>2045</v>
      </c>
      <c r="F936" s="1" t="s">
        <v>2050</v>
      </c>
      <c r="G936" s="1" t="s">
        <v>2075</v>
      </c>
      <c r="H936" s="1" t="s">
        <v>2086</v>
      </c>
      <c r="I936" s="1">
        <v>1</v>
      </c>
      <c r="J936" s="1">
        <v>2410.12</v>
      </c>
      <c r="K936" s="1">
        <v>25.38</v>
      </c>
      <c r="L936" s="1">
        <v>1798.43</v>
      </c>
      <c r="M936" s="1">
        <v>282.13</v>
      </c>
      <c r="N936" s="1" t="s">
        <v>2091</v>
      </c>
    </row>
    <row r="937" spans="1:14">
      <c r="A937" s="1" t="s">
        <v>949</v>
      </c>
      <c r="B937" s="2">
        <v>45633</v>
      </c>
      <c r="C937" s="1" t="s">
        <v>2025</v>
      </c>
      <c r="D937" s="1" t="s">
        <v>2034</v>
      </c>
      <c r="E937" s="1" t="s">
        <v>2047</v>
      </c>
      <c r="F937" s="1" t="s">
        <v>2052</v>
      </c>
      <c r="G937" s="1" t="s">
        <v>2072</v>
      </c>
      <c r="H937" s="1" t="s">
        <v>2085</v>
      </c>
      <c r="I937" s="1">
        <v>1</v>
      </c>
      <c r="J937" s="1">
        <v>8436.34</v>
      </c>
      <c r="K937" s="1">
        <v>21.04</v>
      </c>
      <c r="L937" s="1">
        <v>6661.33</v>
      </c>
      <c r="M937" s="1">
        <v>1647.08</v>
      </c>
      <c r="N937" s="1" t="s">
        <v>2091</v>
      </c>
    </row>
    <row r="938" spans="1:14">
      <c r="A938" s="1" t="s">
        <v>950</v>
      </c>
      <c r="B938" s="2">
        <v>45633</v>
      </c>
      <c r="C938" s="1" t="s">
        <v>2027</v>
      </c>
      <c r="D938" s="1" t="s">
        <v>2035</v>
      </c>
      <c r="E938" s="1" t="s">
        <v>2045</v>
      </c>
      <c r="F938" s="1" t="s">
        <v>2054</v>
      </c>
      <c r="G938" s="1" t="s">
        <v>2063</v>
      </c>
      <c r="H938" s="1" t="s">
        <v>2087</v>
      </c>
      <c r="I938" s="1">
        <v>1</v>
      </c>
      <c r="J938" s="1">
        <v>5366.72</v>
      </c>
      <c r="K938" s="1">
        <v>17.73</v>
      </c>
      <c r="L938" s="1">
        <v>4415.2</v>
      </c>
      <c r="M938" s="1">
        <v>1312.66</v>
      </c>
      <c r="N938" s="1" t="s">
        <v>2091</v>
      </c>
    </row>
    <row r="939" spans="1:14">
      <c r="A939" s="1" t="s">
        <v>951</v>
      </c>
      <c r="B939" s="2">
        <v>45634</v>
      </c>
      <c r="C939" s="1" t="s">
        <v>2026</v>
      </c>
      <c r="D939" s="1" t="s">
        <v>2036</v>
      </c>
      <c r="E939" s="1" t="s">
        <v>2047</v>
      </c>
      <c r="F939" s="1" t="s">
        <v>2049</v>
      </c>
      <c r="G939" s="1" t="s">
        <v>2071</v>
      </c>
      <c r="H939" s="1" t="s">
        <v>2085</v>
      </c>
      <c r="I939" s="1">
        <v>6</v>
      </c>
      <c r="J939" s="1">
        <v>2828.36</v>
      </c>
      <c r="K939" s="1">
        <v>18.11</v>
      </c>
      <c r="L939" s="1">
        <v>13896.86</v>
      </c>
      <c r="M939" s="1">
        <v>1060.56</v>
      </c>
      <c r="N939" s="1" t="s">
        <v>2090</v>
      </c>
    </row>
    <row r="940" spans="1:14">
      <c r="A940" s="1" t="s">
        <v>952</v>
      </c>
      <c r="B940" s="2">
        <v>45634</v>
      </c>
      <c r="C940" s="1" t="s">
        <v>2022</v>
      </c>
      <c r="D940" s="1" t="s">
        <v>2037</v>
      </c>
      <c r="E940" s="1" t="s">
        <v>2044</v>
      </c>
      <c r="F940" s="1" t="s">
        <v>2053</v>
      </c>
      <c r="G940" s="1" t="s">
        <v>2073</v>
      </c>
      <c r="H940" s="1" t="s">
        <v>2085</v>
      </c>
      <c r="I940" s="1">
        <v>1</v>
      </c>
      <c r="J940" s="1">
        <v>1402.18</v>
      </c>
      <c r="K940" s="1">
        <v>6.99</v>
      </c>
      <c r="L940" s="1">
        <v>1304.17</v>
      </c>
      <c r="M940" s="1">
        <v>252.24</v>
      </c>
      <c r="N940" s="1" t="s">
        <v>2091</v>
      </c>
    </row>
    <row r="941" spans="1:14">
      <c r="A941" s="1" t="s">
        <v>953</v>
      </c>
      <c r="B941" s="2">
        <v>45634</v>
      </c>
      <c r="C941" s="1" t="s">
        <v>2026</v>
      </c>
      <c r="D941" s="1" t="s">
        <v>2038</v>
      </c>
      <c r="E941" s="1" t="s">
        <v>2044</v>
      </c>
      <c r="F941" s="1" t="s">
        <v>2053</v>
      </c>
      <c r="G941" s="1" t="s">
        <v>2067</v>
      </c>
      <c r="H941" s="1" t="s">
        <v>2087</v>
      </c>
      <c r="I941" s="1">
        <v>8</v>
      </c>
      <c r="J941" s="1">
        <v>2097.37</v>
      </c>
      <c r="K941" s="1">
        <v>8.24</v>
      </c>
      <c r="L941" s="1">
        <v>15396.37</v>
      </c>
      <c r="M941" s="1">
        <v>3591.79</v>
      </c>
      <c r="N941" s="1" t="s">
        <v>2091</v>
      </c>
    </row>
    <row r="942" spans="1:14">
      <c r="A942" s="1" t="s">
        <v>954</v>
      </c>
      <c r="B942" s="2">
        <v>45635</v>
      </c>
      <c r="C942" s="1" t="s">
        <v>2028</v>
      </c>
      <c r="D942" s="1" t="s">
        <v>2039</v>
      </c>
      <c r="E942" s="1" t="s">
        <v>2048</v>
      </c>
      <c r="F942" s="1" t="s">
        <v>2051</v>
      </c>
      <c r="G942" s="1" t="s">
        <v>2069</v>
      </c>
      <c r="H942" s="1" t="s">
        <v>2086</v>
      </c>
      <c r="I942" s="1">
        <v>4</v>
      </c>
      <c r="J942" s="1">
        <v>29636.61</v>
      </c>
      <c r="K942" s="1">
        <v>11.13</v>
      </c>
      <c r="L942" s="1">
        <v>105352.22</v>
      </c>
      <c r="M942" s="1">
        <v>24233.69</v>
      </c>
      <c r="N942" s="1" t="s">
        <v>2091</v>
      </c>
    </row>
    <row r="943" spans="1:14">
      <c r="A943" s="1" t="s">
        <v>955</v>
      </c>
      <c r="B943" s="2">
        <v>45635</v>
      </c>
      <c r="C943" s="1" t="s">
        <v>2015</v>
      </c>
      <c r="D943" s="1" t="s">
        <v>2040</v>
      </c>
      <c r="E943" s="1" t="s">
        <v>2048</v>
      </c>
      <c r="F943" s="1" t="s">
        <v>2049</v>
      </c>
      <c r="G943" s="1" t="s">
        <v>2071</v>
      </c>
      <c r="H943" s="1" t="s">
        <v>2086</v>
      </c>
      <c r="I943" s="1">
        <v>8</v>
      </c>
      <c r="J943" s="1">
        <v>705.14</v>
      </c>
      <c r="K943" s="1">
        <v>24.74</v>
      </c>
      <c r="L943" s="1">
        <v>4245.51</v>
      </c>
      <c r="M943" s="1">
        <v>857.96</v>
      </c>
      <c r="N943" s="1" t="s">
        <v>2090</v>
      </c>
    </row>
    <row r="944" spans="1:14">
      <c r="A944" s="1" t="s">
        <v>956</v>
      </c>
      <c r="B944" s="2">
        <v>45636</v>
      </c>
      <c r="C944" s="1" t="s">
        <v>2020</v>
      </c>
      <c r="D944" s="1" t="s">
        <v>2041</v>
      </c>
      <c r="E944" s="1" t="s">
        <v>2047</v>
      </c>
      <c r="F944" s="1" t="s">
        <v>2050</v>
      </c>
      <c r="G944" s="1" t="s">
        <v>2075</v>
      </c>
      <c r="H944" s="1" t="s">
        <v>2085</v>
      </c>
      <c r="I944" s="1">
        <v>1</v>
      </c>
      <c r="J944" s="1">
        <v>1205.19</v>
      </c>
      <c r="K944" s="1">
        <v>29.71</v>
      </c>
      <c r="L944" s="1">
        <v>847.13</v>
      </c>
      <c r="M944" s="1">
        <v>86.71</v>
      </c>
      <c r="N944" s="1" t="s">
        <v>2092</v>
      </c>
    </row>
    <row r="945" spans="1:14">
      <c r="A945" s="1" t="s">
        <v>957</v>
      </c>
      <c r="B945" s="2">
        <v>45636</v>
      </c>
      <c r="C945" s="1" t="s">
        <v>2019</v>
      </c>
      <c r="D945" s="1" t="s">
        <v>2042</v>
      </c>
      <c r="E945" s="1" t="s">
        <v>2048</v>
      </c>
      <c r="F945" s="1" t="s">
        <v>2053</v>
      </c>
      <c r="G945" s="1" t="s">
        <v>2060</v>
      </c>
      <c r="H945" s="1" t="s">
        <v>2086</v>
      </c>
      <c r="I945" s="1">
        <v>2</v>
      </c>
      <c r="J945" s="1">
        <v>1987.66</v>
      </c>
      <c r="K945" s="1">
        <v>9.3800000000000008</v>
      </c>
      <c r="L945" s="1">
        <v>3602.43</v>
      </c>
      <c r="M945" s="1">
        <v>1003.67</v>
      </c>
      <c r="N945" s="1" t="s">
        <v>2091</v>
      </c>
    </row>
    <row r="946" spans="1:14">
      <c r="A946" s="1" t="s">
        <v>958</v>
      </c>
      <c r="B946" s="2">
        <v>45636</v>
      </c>
      <c r="C946" s="1" t="s">
        <v>2014</v>
      </c>
      <c r="D946" s="1" t="s">
        <v>2043</v>
      </c>
      <c r="E946" s="1" t="s">
        <v>2046</v>
      </c>
      <c r="F946" s="1" t="s">
        <v>2052</v>
      </c>
      <c r="G946" s="1" t="s">
        <v>2072</v>
      </c>
      <c r="H946" s="1" t="s">
        <v>2085</v>
      </c>
      <c r="I946" s="1">
        <v>5</v>
      </c>
      <c r="J946" s="1">
        <v>1952.64</v>
      </c>
      <c r="K946" s="1">
        <v>27.06</v>
      </c>
      <c r="L946" s="1">
        <v>7121.28</v>
      </c>
      <c r="M946" s="1">
        <v>1063.18</v>
      </c>
      <c r="N946" s="1" t="s">
        <v>2088</v>
      </c>
    </row>
    <row r="947" spans="1:14">
      <c r="A947" s="1" t="s">
        <v>959</v>
      </c>
      <c r="B947" s="2">
        <v>45637</v>
      </c>
      <c r="C947" s="1" t="s">
        <v>2020</v>
      </c>
      <c r="D947" s="1" t="s">
        <v>2029</v>
      </c>
      <c r="E947" s="1" t="s">
        <v>2044</v>
      </c>
      <c r="F947" s="1" t="s">
        <v>2054</v>
      </c>
      <c r="G947" s="1" t="s">
        <v>2066</v>
      </c>
      <c r="H947" s="1" t="s">
        <v>2085</v>
      </c>
      <c r="I947" s="1">
        <v>9</v>
      </c>
      <c r="J947" s="1">
        <v>15564.47</v>
      </c>
      <c r="K947" s="1">
        <v>20.29</v>
      </c>
      <c r="L947" s="1">
        <v>111657.95</v>
      </c>
      <c r="M947" s="1">
        <v>8158.54</v>
      </c>
      <c r="N947" s="1" t="s">
        <v>2091</v>
      </c>
    </row>
    <row r="948" spans="1:14">
      <c r="A948" s="1" t="s">
        <v>960</v>
      </c>
      <c r="B948" s="2">
        <v>45637</v>
      </c>
      <c r="C948" s="1" t="s">
        <v>2016</v>
      </c>
      <c r="D948" s="1" t="s">
        <v>2030</v>
      </c>
      <c r="E948" s="1" t="s">
        <v>2044</v>
      </c>
      <c r="F948" s="1" t="s">
        <v>2052</v>
      </c>
      <c r="G948" s="1" t="s">
        <v>2059</v>
      </c>
      <c r="H948" s="1" t="s">
        <v>2085</v>
      </c>
      <c r="I948" s="1">
        <v>8</v>
      </c>
      <c r="J948" s="1">
        <v>8918.94</v>
      </c>
      <c r="K948" s="1">
        <v>13.21</v>
      </c>
      <c r="L948" s="1">
        <v>61925.98</v>
      </c>
      <c r="M948" s="1">
        <v>17047.88</v>
      </c>
      <c r="N948" s="1" t="s">
        <v>2091</v>
      </c>
    </row>
    <row r="949" spans="1:14">
      <c r="A949" s="1" t="s">
        <v>961</v>
      </c>
      <c r="B949" s="2">
        <v>45637</v>
      </c>
      <c r="C949" s="1" t="s">
        <v>2019</v>
      </c>
      <c r="D949" s="1" t="s">
        <v>2031</v>
      </c>
      <c r="E949" s="1" t="s">
        <v>2045</v>
      </c>
      <c r="F949" s="1" t="s">
        <v>2051</v>
      </c>
      <c r="G949" s="1" t="s">
        <v>2080</v>
      </c>
      <c r="H949" s="1" t="s">
        <v>2086</v>
      </c>
      <c r="I949" s="1">
        <v>5</v>
      </c>
      <c r="J949" s="1">
        <v>27026.7</v>
      </c>
      <c r="K949" s="1">
        <v>1.32</v>
      </c>
      <c r="L949" s="1">
        <v>133349.74</v>
      </c>
      <c r="M949" s="1">
        <v>17556.22</v>
      </c>
      <c r="N949" s="1" t="s">
        <v>2089</v>
      </c>
    </row>
    <row r="950" spans="1:14">
      <c r="A950" s="1" t="s">
        <v>962</v>
      </c>
      <c r="B950" s="2">
        <v>45638</v>
      </c>
      <c r="C950" s="1" t="s">
        <v>2021</v>
      </c>
      <c r="D950" s="1" t="s">
        <v>2032</v>
      </c>
      <c r="E950" s="1" t="s">
        <v>2045</v>
      </c>
      <c r="F950" s="1" t="s">
        <v>2052</v>
      </c>
      <c r="G950" s="1" t="s">
        <v>2059</v>
      </c>
      <c r="H950" s="1" t="s">
        <v>2087</v>
      </c>
      <c r="I950" s="1">
        <v>9</v>
      </c>
      <c r="J950" s="1">
        <v>9748.6200000000008</v>
      </c>
      <c r="K950" s="1">
        <v>1.39</v>
      </c>
      <c r="L950" s="1">
        <v>86518.03</v>
      </c>
      <c r="M950" s="1">
        <v>12021.12</v>
      </c>
      <c r="N950" s="1" t="s">
        <v>2091</v>
      </c>
    </row>
    <row r="951" spans="1:14">
      <c r="A951" s="1" t="s">
        <v>963</v>
      </c>
      <c r="B951" s="2">
        <v>45638</v>
      </c>
      <c r="C951" s="1" t="s">
        <v>2021</v>
      </c>
      <c r="D951" s="1" t="s">
        <v>2033</v>
      </c>
      <c r="E951" s="1" t="s">
        <v>2044</v>
      </c>
      <c r="F951" s="1" t="s">
        <v>2052</v>
      </c>
      <c r="G951" s="1" t="s">
        <v>2078</v>
      </c>
      <c r="H951" s="1" t="s">
        <v>2087</v>
      </c>
      <c r="I951" s="1">
        <v>1</v>
      </c>
      <c r="J951" s="1">
        <v>3331.98</v>
      </c>
      <c r="K951" s="1">
        <v>17.75</v>
      </c>
      <c r="L951" s="1">
        <v>2740.55</v>
      </c>
      <c r="M951" s="1">
        <v>186.51</v>
      </c>
      <c r="N951" s="1" t="s">
        <v>2089</v>
      </c>
    </row>
    <row r="952" spans="1:14">
      <c r="A952" s="1" t="s">
        <v>964</v>
      </c>
      <c r="B952" s="2">
        <v>45638</v>
      </c>
      <c r="C952" s="1" t="s">
        <v>2019</v>
      </c>
      <c r="D952" s="1" t="s">
        <v>2034</v>
      </c>
      <c r="E952" s="1" t="s">
        <v>2048</v>
      </c>
      <c r="F952" s="1" t="s">
        <v>2053</v>
      </c>
      <c r="G952" s="1" t="s">
        <v>2060</v>
      </c>
      <c r="H952" s="1" t="s">
        <v>2086</v>
      </c>
      <c r="I952" s="1">
        <v>1</v>
      </c>
      <c r="J952" s="1">
        <v>1907.95</v>
      </c>
      <c r="K952" s="1">
        <v>21.49</v>
      </c>
      <c r="L952" s="1">
        <v>1497.93</v>
      </c>
      <c r="M952" s="1">
        <v>325.57</v>
      </c>
      <c r="N952" s="1" t="s">
        <v>2090</v>
      </c>
    </row>
    <row r="953" spans="1:14">
      <c r="A953" s="1" t="s">
        <v>965</v>
      </c>
      <c r="B953" s="2">
        <v>45639</v>
      </c>
      <c r="C953" s="1" t="s">
        <v>2027</v>
      </c>
      <c r="D953" s="1" t="s">
        <v>2035</v>
      </c>
      <c r="E953" s="1" t="s">
        <v>2045</v>
      </c>
      <c r="F953" s="1" t="s">
        <v>2053</v>
      </c>
      <c r="G953" s="1" t="s">
        <v>2073</v>
      </c>
      <c r="H953" s="1" t="s">
        <v>2086</v>
      </c>
      <c r="I953" s="1">
        <v>9</v>
      </c>
      <c r="J953" s="1">
        <v>1710.93</v>
      </c>
      <c r="K953" s="1">
        <v>0.94</v>
      </c>
      <c r="L953" s="1">
        <v>15253.63</v>
      </c>
      <c r="M953" s="1">
        <v>3533.11</v>
      </c>
      <c r="N953" s="1" t="s">
        <v>2090</v>
      </c>
    </row>
    <row r="954" spans="1:14">
      <c r="A954" s="1" t="s">
        <v>966</v>
      </c>
      <c r="B954" s="2">
        <v>45639</v>
      </c>
      <c r="C954" s="1" t="s">
        <v>2017</v>
      </c>
      <c r="D954" s="1" t="s">
        <v>2036</v>
      </c>
      <c r="E954" s="1" t="s">
        <v>2048</v>
      </c>
      <c r="F954" s="1" t="s">
        <v>2053</v>
      </c>
      <c r="G954" s="1" t="s">
        <v>2076</v>
      </c>
      <c r="H954" s="1" t="s">
        <v>2085</v>
      </c>
      <c r="I954" s="1">
        <v>8</v>
      </c>
      <c r="J954" s="1">
        <v>1366.75</v>
      </c>
      <c r="K954" s="1">
        <v>15.53</v>
      </c>
      <c r="L954" s="1">
        <v>9235.9500000000007</v>
      </c>
      <c r="M954" s="1">
        <v>1796.11</v>
      </c>
      <c r="N954" s="1" t="s">
        <v>2090</v>
      </c>
    </row>
    <row r="955" spans="1:14">
      <c r="A955" s="1" t="s">
        <v>967</v>
      </c>
      <c r="B955" s="2">
        <v>45640</v>
      </c>
      <c r="C955" s="1" t="s">
        <v>2017</v>
      </c>
      <c r="D955" s="1" t="s">
        <v>2037</v>
      </c>
      <c r="E955" s="1" t="s">
        <v>2044</v>
      </c>
      <c r="F955" s="1" t="s">
        <v>2053</v>
      </c>
      <c r="G955" s="1" t="s">
        <v>2073</v>
      </c>
      <c r="H955" s="1" t="s">
        <v>2085</v>
      </c>
      <c r="I955" s="1">
        <v>7</v>
      </c>
      <c r="J955" s="1">
        <v>2330.81</v>
      </c>
      <c r="K955" s="1">
        <v>5.17</v>
      </c>
      <c r="L955" s="1">
        <v>15472.15</v>
      </c>
      <c r="M955" s="1">
        <v>3015.65</v>
      </c>
      <c r="N955" s="1" t="s">
        <v>2092</v>
      </c>
    </row>
    <row r="956" spans="1:14">
      <c r="A956" s="1" t="s">
        <v>968</v>
      </c>
      <c r="B956" s="2">
        <v>45640</v>
      </c>
      <c r="C956" s="1" t="s">
        <v>2015</v>
      </c>
      <c r="D956" s="1" t="s">
        <v>2038</v>
      </c>
      <c r="E956" s="1" t="s">
        <v>2048</v>
      </c>
      <c r="F956" s="1" t="s">
        <v>2050</v>
      </c>
      <c r="G956" s="1" t="s">
        <v>2064</v>
      </c>
      <c r="H956" s="1" t="s">
        <v>2086</v>
      </c>
      <c r="I956" s="1">
        <v>1</v>
      </c>
      <c r="J956" s="1">
        <v>5080.3</v>
      </c>
      <c r="K956" s="1">
        <v>21.57</v>
      </c>
      <c r="L956" s="1">
        <v>3984.48</v>
      </c>
      <c r="M956" s="1">
        <v>766.54</v>
      </c>
      <c r="N956" s="1" t="s">
        <v>2089</v>
      </c>
    </row>
    <row r="957" spans="1:14">
      <c r="A957" s="1" t="s">
        <v>969</v>
      </c>
      <c r="B957" s="2">
        <v>45640</v>
      </c>
      <c r="C957" s="1" t="s">
        <v>2025</v>
      </c>
      <c r="D957" s="1" t="s">
        <v>2039</v>
      </c>
      <c r="E957" s="1" t="s">
        <v>2048</v>
      </c>
      <c r="F957" s="1" t="s">
        <v>2050</v>
      </c>
      <c r="G957" s="1" t="s">
        <v>2070</v>
      </c>
      <c r="H957" s="1" t="s">
        <v>2085</v>
      </c>
      <c r="I957" s="1">
        <v>1</v>
      </c>
      <c r="J957" s="1">
        <v>5521.54</v>
      </c>
      <c r="K957" s="1">
        <v>12.43</v>
      </c>
      <c r="L957" s="1">
        <v>4835.21</v>
      </c>
      <c r="M957" s="1">
        <v>1075.27</v>
      </c>
      <c r="N957" s="1" t="s">
        <v>2091</v>
      </c>
    </row>
    <row r="958" spans="1:14">
      <c r="A958" s="1" t="s">
        <v>970</v>
      </c>
      <c r="B958" s="2">
        <v>45641</v>
      </c>
      <c r="C958" s="1" t="s">
        <v>2017</v>
      </c>
      <c r="D958" s="1" t="s">
        <v>2040</v>
      </c>
      <c r="E958" s="1" t="s">
        <v>2046</v>
      </c>
      <c r="F958" s="1" t="s">
        <v>2053</v>
      </c>
      <c r="G958" s="1" t="s">
        <v>2076</v>
      </c>
      <c r="H958" s="1" t="s">
        <v>2087</v>
      </c>
      <c r="I958" s="1">
        <v>7</v>
      </c>
      <c r="J958" s="1">
        <v>952.7</v>
      </c>
      <c r="K958" s="1">
        <v>1.47</v>
      </c>
      <c r="L958" s="1">
        <v>6570.87</v>
      </c>
      <c r="M958" s="1">
        <v>379.56</v>
      </c>
      <c r="N958" s="1" t="s">
        <v>2089</v>
      </c>
    </row>
    <row r="959" spans="1:14">
      <c r="A959" s="1" t="s">
        <v>971</v>
      </c>
      <c r="B959" s="2">
        <v>45641</v>
      </c>
      <c r="C959" s="1" t="s">
        <v>2021</v>
      </c>
      <c r="D959" s="1" t="s">
        <v>2041</v>
      </c>
      <c r="E959" s="1" t="s">
        <v>2044</v>
      </c>
      <c r="F959" s="1" t="s">
        <v>2054</v>
      </c>
      <c r="G959" s="1" t="s">
        <v>2066</v>
      </c>
      <c r="H959" s="1" t="s">
        <v>2087</v>
      </c>
      <c r="I959" s="1">
        <v>7</v>
      </c>
      <c r="J959" s="1">
        <v>19347.099999999999</v>
      </c>
      <c r="K959" s="1">
        <v>13.42</v>
      </c>
      <c r="L959" s="1">
        <v>117255.03</v>
      </c>
      <c r="M959" s="1">
        <v>7984.38</v>
      </c>
      <c r="N959" s="1" t="s">
        <v>2092</v>
      </c>
    </row>
    <row r="960" spans="1:14">
      <c r="A960" s="1" t="s">
        <v>972</v>
      </c>
      <c r="B960" s="2">
        <v>45641</v>
      </c>
      <c r="C960" s="1" t="s">
        <v>2018</v>
      </c>
      <c r="D960" s="1" t="s">
        <v>2042</v>
      </c>
      <c r="E960" s="1" t="s">
        <v>2045</v>
      </c>
      <c r="F960" s="1" t="s">
        <v>2051</v>
      </c>
      <c r="G960" s="1" t="s">
        <v>2057</v>
      </c>
      <c r="H960" s="1" t="s">
        <v>2087</v>
      </c>
      <c r="I960" s="1">
        <v>3</v>
      </c>
      <c r="J960" s="1">
        <v>22608.28</v>
      </c>
      <c r="K960" s="1">
        <v>27.92</v>
      </c>
      <c r="L960" s="1">
        <v>48888.14</v>
      </c>
      <c r="M960" s="1">
        <v>2509.7800000000002</v>
      </c>
      <c r="N960" s="1" t="s">
        <v>2089</v>
      </c>
    </row>
    <row r="961" spans="1:14">
      <c r="A961" s="1" t="s">
        <v>973</v>
      </c>
      <c r="B961" s="2">
        <v>45642</v>
      </c>
      <c r="C961" s="1" t="s">
        <v>2026</v>
      </c>
      <c r="D961" s="1" t="s">
        <v>2043</v>
      </c>
      <c r="E961" s="1" t="s">
        <v>2045</v>
      </c>
      <c r="F961" s="1" t="s">
        <v>2054</v>
      </c>
      <c r="G961" s="1" t="s">
        <v>2068</v>
      </c>
      <c r="H961" s="1" t="s">
        <v>2085</v>
      </c>
      <c r="I961" s="1">
        <v>8</v>
      </c>
      <c r="J961" s="1">
        <v>14781.8</v>
      </c>
      <c r="K961" s="1">
        <v>28.79</v>
      </c>
      <c r="L961" s="1">
        <v>84208.960000000006</v>
      </c>
      <c r="M961" s="1">
        <v>12318.98</v>
      </c>
      <c r="N961" s="1" t="s">
        <v>2092</v>
      </c>
    </row>
    <row r="962" spans="1:14">
      <c r="A962" s="1" t="s">
        <v>974</v>
      </c>
      <c r="B962" s="2">
        <v>45642</v>
      </c>
      <c r="C962" s="1" t="s">
        <v>2027</v>
      </c>
      <c r="D962" s="1" t="s">
        <v>2029</v>
      </c>
      <c r="E962" s="1" t="s">
        <v>2044</v>
      </c>
      <c r="F962" s="1" t="s">
        <v>2050</v>
      </c>
      <c r="G962" s="1" t="s">
        <v>2064</v>
      </c>
      <c r="H962" s="1" t="s">
        <v>2087</v>
      </c>
      <c r="I962" s="1">
        <v>8</v>
      </c>
      <c r="J962" s="1">
        <v>905.98</v>
      </c>
      <c r="K962" s="1">
        <v>18.11</v>
      </c>
      <c r="L962" s="1">
        <v>5935.26</v>
      </c>
      <c r="M962" s="1">
        <v>540.01</v>
      </c>
      <c r="N962" s="1" t="s">
        <v>2091</v>
      </c>
    </row>
    <row r="963" spans="1:14">
      <c r="A963" s="1" t="s">
        <v>975</v>
      </c>
      <c r="B963" s="2">
        <v>45642</v>
      </c>
      <c r="C963" s="1" t="s">
        <v>2028</v>
      </c>
      <c r="D963" s="1" t="s">
        <v>2030</v>
      </c>
      <c r="E963" s="1" t="s">
        <v>2046</v>
      </c>
      <c r="F963" s="1" t="s">
        <v>2051</v>
      </c>
      <c r="G963" s="1" t="s">
        <v>2077</v>
      </c>
      <c r="H963" s="1" t="s">
        <v>2085</v>
      </c>
      <c r="I963" s="1">
        <v>4</v>
      </c>
      <c r="J963" s="1">
        <v>29923.87</v>
      </c>
      <c r="K963" s="1">
        <v>9.08</v>
      </c>
      <c r="L963" s="1">
        <v>108827.13</v>
      </c>
      <c r="M963" s="1">
        <v>23462.36</v>
      </c>
      <c r="N963" s="1" t="s">
        <v>2088</v>
      </c>
    </row>
    <row r="964" spans="1:14">
      <c r="A964" s="1" t="s">
        <v>976</v>
      </c>
      <c r="B964" s="2">
        <v>45643</v>
      </c>
      <c r="C964" s="1" t="s">
        <v>2019</v>
      </c>
      <c r="D964" s="1" t="s">
        <v>2031</v>
      </c>
      <c r="E964" s="1" t="s">
        <v>2047</v>
      </c>
      <c r="F964" s="1" t="s">
        <v>2054</v>
      </c>
      <c r="G964" s="1" t="s">
        <v>2079</v>
      </c>
      <c r="H964" s="1" t="s">
        <v>2087</v>
      </c>
      <c r="I964" s="1">
        <v>6</v>
      </c>
      <c r="J964" s="1">
        <v>20152.88</v>
      </c>
      <c r="K964" s="1">
        <v>22.45</v>
      </c>
      <c r="L964" s="1">
        <v>93771.35</v>
      </c>
      <c r="M964" s="1">
        <v>10831.41</v>
      </c>
      <c r="N964" s="1" t="s">
        <v>2092</v>
      </c>
    </row>
    <row r="965" spans="1:14">
      <c r="A965" s="1" t="s">
        <v>977</v>
      </c>
      <c r="B965" s="2">
        <v>45643</v>
      </c>
      <c r="C965" s="1" t="s">
        <v>2026</v>
      </c>
      <c r="D965" s="1" t="s">
        <v>2032</v>
      </c>
      <c r="E965" s="1" t="s">
        <v>2044</v>
      </c>
      <c r="F965" s="1" t="s">
        <v>2049</v>
      </c>
      <c r="G965" s="1" t="s">
        <v>2055</v>
      </c>
      <c r="H965" s="1" t="s">
        <v>2085</v>
      </c>
      <c r="I965" s="1">
        <v>7</v>
      </c>
      <c r="J965" s="1">
        <v>2811.91</v>
      </c>
      <c r="K965" s="1">
        <v>26</v>
      </c>
      <c r="L965" s="1">
        <v>14565.69</v>
      </c>
      <c r="M965" s="1">
        <v>4306.2700000000004</v>
      </c>
      <c r="N965" s="1" t="s">
        <v>2090</v>
      </c>
    </row>
    <row r="966" spans="1:14">
      <c r="A966" s="1" t="s">
        <v>978</v>
      </c>
      <c r="B966" s="2">
        <v>45644</v>
      </c>
      <c r="C966" s="1" t="s">
        <v>2016</v>
      </c>
      <c r="D966" s="1" t="s">
        <v>2033</v>
      </c>
      <c r="E966" s="1" t="s">
        <v>2047</v>
      </c>
      <c r="F966" s="1" t="s">
        <v>2052</v>
      </c>
      <c r="G966" s="1" t="s">
        <v>2065</v>
      </c>
      <c r="H966" s="1" t="s">
        <v>2086</v>
      </c>
      <c r="I966" s="1">
        <v>6</v>
      </c>
      <c r="J966" s="1">
        <v>2639.65</v>
      </c>
      <c r="K966" s="1">
        <v>9.73</v>
      </c>
      <c r="L966" s="1">
        <v>14296.87</v>
      </c>
      <c r="M966" s="1">
        <v>1909.4</v>
      </c>
      <c r="N966" s="1" t="s">
        <v>2090</v>
      </c>
    </row>
    <row r="967" spans="1:14">
      <c r="A967" s="1" t="s">
        <v>979</v>
      </c>
      <c r="B967" s="2">
        <v>45644</v>
      </c>
      <c r="C967" s="1" t="s">
        <v>2015</v>
      </c>
      <c r="D967" s="1" t="s">
        <v>2034</v>
      </c>
      <c r="E967" s="1" t="s">
        <v>2044</v>
      </c>
      <c r="F967" s="1" t="s">
        <v>2052</v>
      </c>
      <c r="G967" s="1" t="s">
        <v>2072</v>
      </c>
      <c r="H967" s="1" t="s">
        <v>2087</v>
      </c>
      <c r="I967" s="1">
        <v>10</v>
      </c>
      <c r="J967" s="1">
        <v>4663.92</v>
      </c>
      <c r="K967" s="1">
        <v>0.92</v>
      </c>
      <c r="L967" s="1">
        <v>46210.12</v>
      </c>
      <c r="M967" s="1">
        <v>12467.54</v>
      </c>
      <c r="N967" s="1" t="s">
        <v>2090</v>
      </c>
    </row>
    <row r="968" spans="1:14">
      <c r="A968" s="1" t="s">
        <v>980</v>
      </c>
      <c r="B968" s="2">
        <v>45644</v>
      </c>
      <c r="C968" s="1" t="s">
        <v>2027</v>
      </c>
      <c r="D968" s="1" t="s">
        <v>2035</v>
      </c>
      <c r="E968" s="1" t="s">
        <v>2044</v>
      </c>
      <c r="F968" s="1" t="s">
        <v>2053</v>
      </c>
      <c r="G968" s="1" t="s">
        <v>2076</v>
      </c>
      <c r="H968" s="1" t="s">
        <v>2086</v>
      </c>
      <c r="I968" s="1">
        <v>1</v>
      </c>
      <c r="J968" s="1">
        <v>1040.72</v>
      </c>
      <c r="K968" s="1">
        <v>7.91</v>
      </c>
      <c r="L968" s="1">
        <v>958.4</v>
      </c>
      <c r="M968" s="1">
        <v>276.64999999999998</v>
      </c>
      <c r="N968" s="1" t="s">
        <v>2088</v>
      </c>
    </row>
    <row r="969" spans="1:14">
      <c r="A969" s="1" t="s">
        <v>981</v>
      </c>
      <c r="B969" s="2">
        <v>45645</v>
      </c>
      <c r="C969" s="1" t="s">
        <v>2023</v>
      </c>
      <c r="D969" s="1" t="s">
        <v>2036</v>
      </c>
      <c r="E969" s="1" t="s">
        <v>2045</v>
      </c>
      <c r="F969" s="1" t="s">
        <v>2054</v>
      </c>
      <c r="G969" s="1" t="s">
        <v>2068</v>
      </c>
      <c r="H969" s="1" t="s">
        <v>2085</v>
      </c>
      <c r="I969" s="1">
        <v>6</v>
      </c>
      <c r="J969" s="1">
        <v>68537.919999999998</v>
      </c>
      <c r="K969" s="1">
        <v>20.43</v>
      </c>
      <c r="L969" s="1">
        <v>327213.74</v>
      </c>
      <c r="M969" s="1">
        <v>31623.45</v>
      </c>
      <c r="N969" s="1" t="s">
        <v>2092</v>
      </c>
    </row>
    <row r="970" spans="1:14">
      <c r="A970" s="1" t="s">
        <v>982</v>
      </c>
      <c r="B970" s="2">
        <v>45645</v>
      </c>
      <c r="C970" s="1" t="s">
        <v>2015</v>
      </c>
      <c r="D970" s="1" t="s">
        <v>2037</v>
      </c>
      <c r="E970" s="1" t="s">
        <v>2044</v>
      </c>
      <c r="F970" s="1" t="s">
        <v>2053</v>
      </c>
      <c r="G970" s="1" t="s">
        <v>2067</v>
      </c>
      <c r="H970" s="1" t="s">
        <v>2086</v>
      </c>
      <c r="I970" s="1">
        <v>5</v>
      </c>
      <c r="J970" s="1">
        <v>356.78</v>
      </c>
      <c r="K970" s="1">
        <v>21.58</v>
      </c>
      <c r="L970" s="1">
        <v>1398.93</v>
      </c>
      <c r="M970" s="1">
        <v>368.82</v>
      </c>
      <c r="N970" s="1" t="s">
        <v>2092</v>
      </c>
    </row>
    <row r="971" spans="1:14">
      <c r="A971" s="1" t="s">
        <v>983</v>
      </c>
      <c r="B971" s="2">
        <v>45645</v>
      </c>
      <c r="C971" s="1" t="s">
        <v>2021</v>
      </c>
      <c r="D971" s="1" t="s">
        <v>2038</v>
      </c>
      <c r="E971" s="1" t="s">
        <v>2044</v>
      </c>
      <c r="F971" s="1" t="s">
        <v>2054</v>
      </c>
      <c r="G971" s="1" t="s">
        <v>2063</v>
      </c>
      <c r="H971" s="1" t="s">
        <v>2087</v>
      </c>
      <c r="I971" s="1">
        <v>3</v>
      </c>
      <c r="J971" s="1">
        <v>8719.9</v>
      </c>
      <c r="K971" s="1">
        <v>12.95</v>
      </c>
      <c r="L971" s="1">
        <v>22772.02</v>
      </c>
      <c r="M971" s="1">
        <v>2447.5300000000002</v>
      </c>
      <c r="N971" s="1" t="s">
        <v>2091</v>
      </c>
    </row>
    <row r="972" spans="1:14">
      <c r="A972" s="1" t="s">
        <v>984</v>
      </c>
      <c r="B972" s="2">
        <v>45646</v>
      </c>
      <c r="C972" s="1" t="s">
        <v>2021</v>
      </c>
      <c r="D972" s="1" t="s">
        <v>2039</v>
      </c>
      <c r="E972" s="1" t="s">
        <v>2044</v>
      </c>
      <c r="F972" s="1" t="s">
        <v>2053</v>
      </c>
      <c r="G972" s="1" t="s">
        <v>2060</v>
      </c>
      <c r="H972" s="1" t="s">
        <v>2087</v>
      </c>
      <c r="I972" s="1">
        <v>2</v>
      </c>
      <c r="J972" s="1">
        <v>1014.75</v>
      </c>
      <c r="K972" s="1">
        <v>12.36</v>
      </c>
      <c r="L972" s="1">
        <v>1778.65</v>
      </c>
      <c r="M972" s="1">
        <v>412.46</v>
      </c>
      <c r="N972" s="1" t="s">
        <v>2088</v>
      </c>
    </row>
    <row r="973" spans="1:14">
      <c r="A973" s="1" t="s">
        <v>985</v>
      </c>
      <c r="B973" s="2">
        <v>45646</v>
      </c>
      <c r="C973" s="1" t="s">
        <v>2017</v>
      </c>
      <c r="D973" s="1" t="s">
        <v>2040</v>
      </c>
      <c r="E973" s="1" t="s">
        <v>2046</v>
      </c>
      <c r="F973" s="1" t="s">
        <v>2050</v>
      </c>
      <c r="G973" s="1" t="s">
        <v>2064</v>
      </c>
      <c r="H973" s="1" t="s">
        <v>2087</v>
      </c>
      <c r="I973" s="1">
        <v>9</v>
      </c>
      <c r="J973" s="1">
        <v>3321.34</v>
      </c>
      <c r="K973" s="1">
        <v>12.16</v>
      </c>
      <c r="L973" s="1">
        <v>26257.19</v>
      </c>
      <c r="M973" s="1">
        <v>2136.84</v>
      </c>
      <c r="N973" s="1" t="s">
        <v>2090</v>
      </c>
    </row>
    <row r="974" spans="1:14">
      <c r="A974" s="1" t="s">
        <v>986</v>
      </c>
      <c r="B974" s="2">
        <v>45646</v>
      </c>
      <c r="C974" s="1" t="s">
        <v>2028</v>
      </c>
      <c r="D974" s="1" t="s">
        <v>2041</v>
      </c>
      <c r="E974" s="1" t="s">
        <v>2044</v>
      </c>
      <c r="F974" s="1" t="s">
        <v>2054</v>
      </c>
      <c r="G974" s="1" t="s">
        <v>2068</v>
      </c>
      <c r="H974" s="1" t="s">
        <v>2087</v>
      </c>
      <c r="I974" s="1">
        <v>5</v>
      </c>
      <c r="J974" s="1">
        <v>72515.09</v>
      </c>
      <c r="K974" s="1">
        <v>25.16</v>
      </c>
      <c r="L974" s="1">
        <v>271351.46999999997</v>
      </c>
      <c r="M974" s="1">
        <v>45524.89</v>
      </c>
      <c r="N974" s="1" t="s">
        <v>2090</v>
      </c>
    </row>
    <row r="975" spans="1:14">
      <c r="A975" s="1" t="s">
        <v>987</v>
      </c>
      <c r="B975" s="2">
        <v>45647</v>
      </c>
      <c r="C975" s="1" t="s">
        <v>2018</v>
      </c>
      <c r="D975" s="1" t="s">
        <v>2042</v>
      </c>
      <c r="E975" s="1" t="s">
        <v>2047</v>
      </c>
      <c r="F975" s="1" t="s">
        <v>2050</v>
      </c>
      <c r="G975" s="1" t="s">
        <v>2064</v>
      </c>
      <c r="H975" s="1" t="s">
        <v>2086</v>
      </c>
      <c r="I975" s="1">
        <v>2</v>
      </c>
      <c r="J975" s="1">
        <v>5537.83</v>
      </c>
      <c r="K975" s="1">
        <v>25.27</v>
      </c>
      <c r="L975" s="1">
        <v>8276.84</v>
      </c>
      <c r="M975" s="1">
        <v>886.6</v>
      </c>
      <c r="N975" s="1" t="s">
        <v>2090</v>
      </c>
    </row>
    <row r="976" spans="1:14">
      <c r="A976" s="1" t="s">
        <v>988</v>
      </c>
      <c r="B976" s="2">
        <v>45647</v>
      </c>
      <c r="C976" s="1" t="s">
        <v>2014</v>
      </c>
      <c r="D976" s="1" t="s">
        <v>2043</v>
      </c>
      <c r="E976" s="1" t="s">
        <v>2045</v>
      </c>
      <c r="F976" s="1" t="s">
        <v>2049</v>
      </c>
      <c r="G976" s="1" t="s">
        <v>2071</v>
      </c>
      <c r="H976" s="1" t="s">
        <v>2087</v>
      </c>
      <c r="I976" s="1">
        <v>10</v>
      </c>
      <c r="J976" s="1">
        <v>2109.0700000000002</v>
      </c>
      <c r="K976" s="1">
        <v>23.71</v>
      </c>
      <c r="L976" s="1">
        <v>16090.1</v>
      </c>
      <c r="M976" s="1">
        <v>1994.18</v>
      </c>
      <c r="N976" s="1" t="s">
        <v>2092</v>
      </c>
    </row>
    <row r="977" spans="1:14">
      <c r="A977" s="1" t="s">
        <v>989</v>
      </c>
      <c r="B977" s="2">
        <v>45648</v>
      </c>
      <c r="C977" s="1" t="s">
        <v>2015</v>
      </c>
      <c r="D977" s="1" t="s">
        <v>2029</v>
      </c>
      <c r="E977" s="1" t="s">
        <v>2048</v>
      </c>
      <c r="F977" s="1" t="s">
        <v>2053</v>
      </c>
      <c r="G977" s="1" t="s">
        <v>2073</v>
      </c>
      <c r="H977" s="1" t="s">
        <v>2087</v>
      </c>
      <c r="I977" s="1">
        <v>7</v>
      </c>
      <c r="J977" s="1">
        <v>232.8</v>
      </c>
      <c r="K977" s="1">
        <v>5.94</v>
      </c>
      <c r="L977" s="1">
        <v>1532.8</v>
      </c>
      <c r="M977" s="1">
        <v>80.17</v>
      </c>
      <c r="N977" s="1" t="s">
        <v>2088</v>
      </c>
    </row>
    <row r="978" spans="1:14">
      <c r="A978" s="1" t="s">
        <v>990</v>
      </c>
      <c r="B978" s="2">
        <v>45648</v>
      </c>
      <c r="C978" s="1" t="s">
        <v>2022</v>
      </c>
      <c r="D978" s="1" t="s">
        <v>2030</v>
      </c>
      <c r="E978" s="1" t="s">
        <v>2044</v>
      </c>
      <c r="F978" s="1" t="s">
        <v>2049</v>
      </c>
      <c r="G978" s="1" t="s">
        <v>2082</v>
      </c>
      <c r="H978" s="1" t="s">
        <v>2086</v>
      </c>
      <c r="I978" s="1">
        <v>2</v>
      </c>
      <c r="J978" s="1">
        <v>1070.19</v>
      </c>
      <c r="K978" s="1">
        <v>10.74</v>
      </c>
      <c r="L978" s="1">
        <v>1910.5</v>
      </c>
      <c r="M978" s="1">
        <v>99.56</v>
      </c>
      <c r="N978" s="1" t="s">
        <v>2091</v>
      </c>
    </row>
    <row r="979" spans="1:14">
      <c r="A979" s="1" t="s">
        <v>991</v>
      </c>
      <c r="B979" s="2">
        <v>45648</v>
      </c>
      <c r="C979" s="1" t="s">
        <v>2018</v>
      </c>
      <c r="D979" s="1" t="s">
        <v>2031</v>
      </c>
      <c r="E979" s="1" t="s">
        <v>2046</v>
      </c>
      <c r="F979" s="1" t="s">
        <v>2050</v>
      </c>
      <c r="G979" s="1" t="s">
        <v>2084</v>
      </c>
      <c r="H979" s="1" t="s">
        <v>2085</v>
      </c>
      <c r="I979" s="1">
        <v>2</v>
      </c>
      <c r="J979" s="1">
        <v>7008.74</v>
      </c>
      <c r="K979" s="1">
        <v>0.46</v>
      </c>
      <c r="L979" s="1">
        <v>13953</v>
      </c>
      <c r="M979" s="1">
        <v>2217.6</v>
      </c>
      <c r="N979" s="1" t="s">
        <v>2088</v>
      </c>
    </row>
    <row r="980" spans="1:14">
      <c r="A980" s="1" t="s">
        <v>992</v>
      </c>
      <c r="B980" s="2">
        <v>45649</v>
      </c>
      <c r="C980" s="1" t="s">
        <v>2018</v>
      </c>
      <c r="D980" s="1" t="s">
        <v>2032</v>
      </c>
      <c r="E980" s="1" t="s">
        <v>2044</v>
      </c>
      <c r="F980" s="1" t="s">
        <v>2052</v>
      </c>
      <c r="G980" s="1" t="s">
        <v>2059</v>
      </c>
      <c r="H980" s="1" t="s">
        <v>2086</v>
      </c>
      <c r="I980" s="1">
        <v>10</v>
      </c>
      <c r="J980" s="1">
        <v>5586.3</v>
      </c>
      <c r="K980" s="1">
        <v>26.63</v>
      </c>
      <c r="L980" s="1">
        <v>40986.68</v>
      </c>
      <c r="M980" s="1">
        <v>3121.76</v>
      </c>
      <c r="N980" s="1" t="s">
        <v>2089</v>
      </c>
    </row>
    <row r="981" spans="1:14">
      <c r="A981" s="1" t="s">
        <v>993</v>
      </c>
      <c r="B981" s="2">
        <v>45649</v>
      </c>
      <c r="C981" s="1" t="s">
        <v>2018</v>
      </c>
      <c r="D981" s="1" t="s">
        <v>2033</v>
      </c>
      <c r="E981" s="1" t="s">
        <v>2044</v>
      </c>
      <c r="F981" s="1" t="s">
        <v>2051</v>
      </c>
      <c r="G981" s="1" t="s">
        <v>2057</v>
      </c>
      <c r="H981" s="1" t="s">
        <v>2086</v>
      </c>
      <c r="I981" s="1">
        <v>1</v>
      </c>
      <c r="J981" s="1">
        <v>20639.23</v>
      </c>
      <c r="K981" s="1">
        <v>24.05</v>
      </c>
      <c r="L981" s="1">
        <v>15675.5</v>
      </c>
      <c r="M981" s="1">
        <v>2514.09</v>
      </c>
      <c r="N981" s="1" t="s">
        <v>2090</v>
      </c>
    </row>
    <row r="982" spans="1:14">
      <c r="A982" s="1" t="s">
        <v>994</v>
      </c>
      <c r="B982" s="2">
        <v>45649</v>
      </c>
      <c r="C982" s="1" t="s">
        <v>2016</v>
      </c>
      <c r="D982" s="1" t="s">
        <v>2034</v>
      </c>
      <c r="E982" s="1" t="s">
        <v>2045</v>
      </c>
      <c r="F982" s="1" t="s">
        <v>2052</v>
      </c>
      <c r="G982" s="1" t="s">
        <v>2083</v>
      </c>
      <c r="H982" s="1" t="s">
        <v>2086</v>
      </c>
      <c r="I982" s="1">
        <v>5</v>
      </c>
      <c r="J982" s="1">
        <v>8872.2800000000007</v>
      </c>
      <c r="K982" s="1">
        <v>17.309999999999999</v>
      </c>
      <c r="L982" s="1">
        <v>36682.44</v>
      </c>
      <c r="M982" s="1">
        <v>3862.18</v>
      </c>
      <c r="N982" s="1" t="s">
        <v>2088</v>
      </c>
    </row>
    <row r="983" spans="1:14">
      <c r="A983" s="1" t="s">
        <v>995</v>
      </c>
      <c r="B983" s="2">
        <v>45650</v>
      </c>
      <c r="C983" s="1" t="s">
        <v>2014</v>
      </c>
      <c r="D983" s="1" t="s">
        <v>2035</v>
      </c>
      <c r="E983" s="1" t="s">
        <v>2044</v>
      </c>
      <c r="F983" s="1" t="s">
        <v>2054</v>
      </c>
      <c r="G983" s="1" t="s">
        <v>2068</v>
      </c>
      <c r="H983" s="1" t="s">
        <v>2086</v>
      </c>
      <c r="I983" s="1">
        <v>8</v>
      </c>
      <c r="J983" s="1">
        <v>23738.09</v>
      </c>
      <c r="K983" s="1">
        <v>24.33</v>
      </c>
      <c r="L983" s="1">
        <v>143700.9</v>
      </c>
      <c r="M983" s="1">
        <v>10331.219999999999</v>
      </c>
      <c r="N983" s="1" t="s">
        <v>2091</v>
      </c>
    </row>
    <row r="984" spans="1:14">
      <c r="A984" s="1" t="s">
        <v>996</v>
      </c>
      <c r="B984" s="2">
        <v>45650</v>
      </c>
      <c r="C984" s="1" t="s">
        <v>2025</v>
      </c>
      <c r="D984" s="1" t="s">
        <v>2036</v>
      </c>
      <c r="E984" s="1" t="s">
        <v>2048</v>
      </c>
      <c r="F984" s="1" t="s">
        <v>2054</v>
      </c>
      <c r="G984" s="1" t="s">
        <v>2063</v>
      </c>
      <c r="H984" s="1" t="s">
        <v>2086</v>
      </c>
      <c r="I984" s="1">
        <v>9</v>
      </c>
      <c r="J984" s="1">
        <v>54606.36</v>
      </c>
      <c r="K984" s="1">
        <v>3.64</v>
      </c>
      <c r="L984" s="1">
        <v>473568.2</v>
      </c>
      <c r="M984" s="1">
        <v>37146.92</v>
      </c>
      <c r="N984" s="1" t="s">
        <v>2088</v>
      </c>
    </row>
    <row r="985" spans="1:14">
      <c r="A985" s="1" t="s">
        <v>997</v>
      </c>
      <c r="B985" s="2">
        <v>45650</v>
      </c>
      <c r="C985" s="1" t="s">
        <v>2014</v>
      </c>
      <c r="D985" s="1" t="s">
        <v>2037</v>
      </c>
      <c r="E985" s="1" t="s">
        <v>2045</v>
      </c>
      <c r="F985" s="1" t="s">
        <v>2052</v>
      </c>
      <c r="G985" s="1" t="s">
        <v>2078</v>
      </c>
      <c r="H985" s="1" t="s">
        <v>2086</v>
      </c>
      <c r="I985" s="1">
        <v>7</v>
      </c>
      <c r="J985" s="1">
        <v>9415.89</v>
      </c>
      <c r="K985" s="1">
        <v>7.82</v>
      </c>
      <c r="L985" s="1">
        <v>60756.97</v>
      </c>
      <c r="M985" s="1">
        <v>15999.54</v>
      </c>
      <c r="N985" s="1" t="s">
        <v>2091</v>
      </c>
    </row>
    <row r="986" spans="1:14">
      <c r="A986" s="1" t="s">
        <v>998</v>
      </c>
      <c r="B986" s="2">
        <v>45651</v>
      </c>
      <c r="C986" s="1" t="s">
        <v>2023</v>
      </c>
      <c r="D986" s="1" t="s">
        <v>2038</v>
      </c>
      <c r="E986" s="1" t="s">
        <v>2044</v>
      </c>
      <c r="F986" s="1" t="s">
        <v>2049</v>
      </c>
      <c r="G986" s="1" t="s">
        <v>2058</v>
      </c>
      <c r="H986" s="1" t="s">
        <v>2086</v>
      </c>
      <c r="I986" s="1">
        <v>5</v>
      </c>
      <c r="J986" s="1">
        <v>1006.2</v>
      </c>
      <c r="K986" s="1">
        <v>29.32</v>
      </c>
      <c r="L986" s="1">
        <v>3555.91</v>
      </c>
      <c r="M986" s="1">
        <v>211</v>
      </c>
      <c r="N986" s="1" t="s">
        <v>2090</v>
      </c>
    </row>
    <row r="987" spans="1:14">
      <c r="A987" s="1" t="s">
        <v>999</v>
      </c>
      <c r="B987" s="2">
        <v>45651</v>
      </c>
      <c r="C987" s="1" t="s">
        <v>2018</v>
      </c>
      <c r="D987" s="1" t="s">
        <v>2039</v>
      </c>
      <c r="E987" s="1" t="s">
        <v>2048</v>
      </c>
      <c r="F987" s="1" t="s">
        <v>2053</v>
      </c>
      <c r="G987" s="1" t="s">
        <v>2076</v>
      </c>
      <c r="H987" s="1" t="s">
        <v>2085</v>
      </c>
      <c r="I987" s="1">
        <v>6</v>
      </c>
      <c r="J987" s="1">
        <v>2233.2199999999998</v>
      </c>
      <c r="K987" s="1">
        <v>1.45</v>
      </c>
      <c r="L987" s="1">
        <v>13205.03</v>
      </c>
      <c r="M987" s="1">
        <v>2519.6999999999998</v>
      </c>
      <c r="N987" s="1" t="s">
        <v>2091</v>
      </c>
    </row>
    <row r="988" spans="1:14">
      <c r="A988" s="1" t="s">
        <v>1000</v>
      </c>
      <c r="B988" s="2">
        <v>45652</v>
      </c>
      <c r="C988" s="1" t="s">
        <v>2016</v>
      </c>
      <c r="D988" s="1" t="s">
        <v>2040</v>
      </c>
      <c r="E988" s="1" t="s">
        <v>2044</v>
      </c>
      <c r="F988" s="1" t="s">
        <v>2054</v>
      </c>
      <c r="G988" s="1" t="s">
        <v>2063</v>
      </c>
      <c r="H988" s="1" t="s">
        <v>2085</v>
      </c>
      <c r="I988" s="1">
        <v>8</v>
      </c>
      <c r="J988" s="1">
        <v>11699.05</v>
      </c>
      <c r="K988" s="1">
        <v>18.75</v>
      </c>
      <c r="L988" s="1">
        <v>76043.820000000007</v>
      </c>
      <c r="M988" s="1">
        <v>17658.72</v>
      </c>
      <c r="N988" s="1" t="s">
        <v>2092</v>
      </c>
    </row>
    <row r="989" spans="1:14">
      <c r="A989" s="1" t="s">
        <v>1001</v>
      </c>
      <c r="B989" s="2">
        <v>45652</v>
      </c>
      <c r="C989" s="1" t="s">
        <v>2018</v>
      </c>
      <c r="D989" s="1" t="s">
        <v>2041</v>
      </c>
      <c r="E989" s="1" t="s">
        <v>2047</v>
      </c>
      <c r="F989" s="1" t="s">
        <v>2049</v>
      </c>
      <c r="G989" s="1" t="s">
        <v>2074</v>
      </c>
      <c r="H989" s="1" t="s">
        <v>2086</v>
      </c>
      <c r="I989" s="1">
        <v>7</v>
      </c>
      <c r="J989" s="1">
        <v>282.99</v>
      </c>
      <c r="K989" s="1">
        <v>20.8</v>
      </c>
      <c r="L989" s="1">
        <v>1568.9</v>
      </c>
      <c r="M989" s="1">
        <v>386.23</v>
      </c>
      <c r="N989" s="1" t="s">
        <v>2088</v>
      </c>
    </row>
    <row r="990" spans="1:14">
      <c r="A990" s="1" t="s">
        <v>1002</v>
      </c>
      <c r="B990" s="2">
        <v>45652</v>
      </c>
      <c r="C990" s="1" t="s">
        <v>2016</v>
      </c>
      <c r="D990" s="1" t="s">
        <v>2042</v>
      </c>
      <c r="E990" s="1" t="s">
        <v>2046</v>
      </c>
      <c r="F990" s="1" t="s">
        <v>2052</v>
      </c>
      <c r="G990" s="1" t="s">
        <v>2072</v>
      </c>
      <c r="H990" s="1" t="s">
        <v>2085</v>
      </c>
      <c r="I990" s="1">
        <v>10</v>
      </c>
      <c r="J990" s="1">
        <v>7680.41</v>
      </c>
      <c r="K990" s="1">
        <v>17.59</v>
      </c>
      <c r="L990" s="1">
        <v>63294.26</v>
      </c>
      <c r="M990" s="1">
        <v>7298.54</v>
      </c>
      <c r="N990" s="1" t="s">
        <v>2088</v>
      </c>
    </row>
    <row r="991" spans="1:14">
      <c r="A991" s="1" t="s">
        <v>1003</v>
      </c>
      <c r="B991" s="2">
        <v>45653</v>
      </c>
      <c r="C991" s="1" t="s">
        <v>2021</v>
      </c>
      <c r="D991" s="1" t="s">
        <v>2043</v>
      </c>
      <c r="E991" s="1" t="s">
        <v>2044</v>
      </c>
      <c r="F991" s="1" t="s">
        <v>2053</v>
      </c>
      <c r="G991" s="1" t="s">
        <v>2076</v>
      </c>
      <c r="H991" s="1" t="s">
        <v>2086</v>
      </c>
      <c r="I991" s="1">
        <v>10</v>
      </c>
      <c r="J991" s="1">
        <v>2345.96</v>
      </c>
      <c r="K991" s="1">
        <v>7.02</v>
      </c>
      <c r="L991" s="1">
        <v>21812.74</v>
      </c>
      <c r="M991" s="1">
        <v>1550.82</v>
      </c>
      <c r="N991" s="1" t="s">
        <v>2092</v>
      </c>
    </row>
    <row r="992" spans="1:14">
      <c r="A992" s="1" t="s">
        <v>1004</v>
      </c>
      <c r="B992" s="2">
        <v>45653</v>
      </c>
      <c r="C992" s="1" t="s">
        <v>2017</v>
      </c>
      <c r="D992" s="1" t="s">
        <v>2029</v>
      </c>
      <c r="E992" s="1" t="s">
        <v>2045</v>
      </c>
      <c r="F992" s="1" t="s">
        <v>2050</v>
      </c>
      <c r="G992" s="1" t="s">
        <v>2056</v>
      </c>
      <c r="H992" s="1" t="s">
        <v>2085</v>
      </c>
      <c r="I992" s="1">
        <v>1</v>
      </c>
      <c r="J992" s="1">
        <v>7397.3</v>
      </c>
      <c r="K992" s="1">
        <v>22.72</v>
      </c>
      <c r="L992" s="1">
        <v>5716.63</v>
      </c>
      <c r="M992" s="1">
        <v>1331.55</v>
      </c>
      <c r="N992" s="1" t="s">
        <v>2089</v>
      </c>
    </row>
    <row r="993" spans="1:14">
      <c r="A993" s="1" t="s">
        <v>1005</v>
      </c>
      <c r="B993" s="2">
        <v>45653</v>
      </c>
      <c r="C993" s="1" t="s">
        <v>2019</v>
      </c>
      <c r="D993" s="1" t="s">
        <v>2030</v>
      </c>
      <c r="E993" s="1" t="s">
        <v>2044</v>
      </c>
      <c r="F993" s="1" t="s">
        <v>2050</v>
      </c>
      <c r="G993" s="1" t="s">
        <v>2064</v>
      </c>
      <c r="H993" s="1" t="s">
        <v>2085</v>
      </c>
      <c r="I993" s="1">
        <v>8</v>
      </c>
      <c r="J993" s="1">
        <v>2684.92</v>
      </c>
      <c r="K993" s="1">
        <v>14.48</v>
      </c>
      <c r="L993" s="1">
        <v>18369.150000000001</v>
      </c>
      <c r="M993" s="1">
        <v>2402.09</v>
      </c>
      <c r="N993" s="1" t="s">
        <v>2090</v>
      </c>
    </row>
    <row r="994" spans="1:14">
      <c r="A994" s="1" t="s">
        <v>1006</v>
      </c>
      <c r="B994" s="2">
        <v>45654</v>
      </c>
      <c r="C994" s="1" t="s">
        <v>2020</v>
      </c>
      <c r="D994" s="1" t="s">
        <v>2031</v>
      </c>
      <c r="E994" s="1" t="s">
        <v>2046</v>
      </c>
      <c r="F994" s="1" t="s">
        <v>2054</v>
      </c>
      <c r="G994" s="1" t="s">
        <v>2066</v>
      </c>
      <c r="H994" s="1" t="s">
        <v>2086</v>
      </c>
      <c r="I994" s="1">
        <v>2</v>
      </c>
      <c r="J994" s="1">
        <v>45008.5</v>
      </c>
      <c r="K994" s="1">
        <v>28.83</v>
      </c>
      <c r="L994" s="1">
        <v>64065.1</v>
      </c>
      <c r="M994" s="1">
        <v>13251.81</v>
      </c>
      <c r="N994" s="1" t="s">
        <v>2091</v>
      </c>
    </row>
    <row r="995" spans="1:14">
      <c r="A995" s="1" t="s">
        <v>1007</v>
      </c>
      <c r="B995" s="2">
        <v>45654</v>
      </c>
      <c r="C995" s="1" t="s">
        <v>2027</v>
      </c>
      <c r="D995" s="1" t="s">
        <v>2032</v>
      </c>
      <c r="E995" s="1" t="s">
        <v>2048</v>
      </c>
      <c r="F995" s="1" t="s">
        <v>2051</v>
      </c>
      <c r="G995" s="1" t="s">
        <v>2069</v>
      </c>
      <c r="H995" s="1" t="s">
        <v>2086</v>
      </c>
      <c r="I995" s="1">
        <v>9</v>
      </c>
      <c r="J995" s="1">
        <v>29090.45</v>
      </c>
      <c r="K995" s="1">
        <v>20.62</v>
      </c>
      <c r="L995" s="1">
        <v>207827.99</v>
      </c>
      <c r="M995" s="1">
        <v>15366.5</v>
      </c>
      <c r="N995" s="1" t="s">
        <v>2088</v>
      </c>
    </row>
    <row r="996" spans="1:14">
      <c r="A996" s="1" t="s">
        <v>1008</v>
      </c>
      <c r="B996" s="2">
        <v>45654</v>
      </c>
      <c r="C996" s="1" t="s">
        <v>2025</v>
      </c>
      <c r="D996" s="1" t="s">
        <v>2033</v>
      </c>
      <c r="E996" s="1" t="s">
        <v>2048</v>
      </c>
      <c r="F996" s="1" t="s">
        <v>2049</v>
      </c>
      <c r="G996" s="1" t="s">
        <v>2055</v>
      </c>
      <c r="H996" s="1" t="s">
        <v>2085</v>
      </c>
      <c r="I996" s="1">
        <v>2</v>
      </c>
      <c r="J996" s="1">
        <v>2095.85</v>
      </c>
      <c r="K996" s="1">
        <v>1.19</v>
      </c>
      <c r="L996" s="1">
        <v>4141.82</v>
      </c>
      <c r="M996" s="1">
        <v>1076.26</v>
      </c>
      <c r="N996" s="1" t="s">
        <v>2088</v>
      </c>
    </row>
    <row r="997" spans="1:14">
      <c r="A997" s="1" t="s">
        <v>1009</v>
      </c>
      <c r="B997" s="2">
        <v>45655</v>
      </c>
      <c r="C997" s="1" t="s">
        <v>2018</v>
      </c>
      <c r="D997" s="1" t="s">
        <v>2034</v>
      </c>
      <c r="E997" s="1" t="s">
        <v>2047</v>
      </c>
      <c r="F997" s="1" t="s">
        <v>2050</v>
      </c>
      <c r="G997" s="1" t="s">
        <v>2070</v>
      </c>
      <c r="H997" s="1" t="s">
        <v>2085</v>
      </c>
      <c r="I997" s="1">
        <v>6</v>
      </c>
      <c r="J997" s="1">
        <v>3391.87</v>
      </c>
      <c r="K997" s="1">
        <v>9.01</v>
      </c>
      <c r="L997" s="1">
        <v>18517.580000000002</v>
      </c>
      <c r="M997" s="1">
        <v>4644.5</v>
      </c>
      <c r="N997" s="1" t="s">
        <v>2092</v>
      </c>
    </row>
    <row r="998" spans="1:14">
      <c r="A998" s="1" t="s">
        <v>1010</v>
      </c>
      <c r="B998" s="2">
        <v>45655</v>
      </c>
      <c r="C998" s="1" t="s">
        <v>2026</v>
      </c>
      <c r="D998" s="1" t="s">
        <v>2035</v>
      </c>
      <c r="E998" s="1" t="s">
        <v>2045</v>
      </c>
      <c r="F998" s="1" t="s">
        <v>2051</v>
      </c>
      <c r="G998" s="1" t="s">
        <v>2080</v>
      </c>
      <c r="H998" s="1" t="s">
        <v>2085</v>
      </c>
      <c r="I998" s="1">
        <v>4</v>
      </c>
      <c r="J998" s="1">
        <v>23977.1</v>
      </c>
      <c r="K998" s="1">
        <v>13.63</v>
      </c>
      <c r="L998" s="1">
        <v>82836.09</v>
      </c>
      <c r="M998" s="1">
        <v>19573.03</v>
      </c>
      <c r="N998" s="1" t="s">
        <v>2090</v>
      </c>
    </row>
    <row r="999" spans="1:14">
      <c r="A999" s="1" t="s">
        <v>1011</v>
      </c>
      <c r="B999" s="2">
        <v>45656</v>
      </c>
      <c r="C999" s="1" t="s">
        <v>2021</v>
      </c>
      <c r="D999" s="1" t="s">
        <v>2036</v>
      </c>
      <c r="E999" s="1" t="s">
        <v>2044</v>
      </c>
      <c r="F999" s="1" t="s">
        <v>2052</v>
      </c>
      <c r="G999" s="1" t="s">
        <v>2072</v>
      </c>
      <c r="H999" s="1" t="s">
        <v>2087</v>
      </c>
      <c r="I999" s="1">
        <v>2</v>
      </c>
      <c r="J999" s="1">
        <v>3906.43</v>
      </c>
      <c r="K999" s="1">
        <v>23.82</v>
      </c>
      <c r="L999" s="1">
        <v>5951.84</v>
      </c>
      <c r="M999" s="1">
        <v>1598.69</v>
      </c>
      <c r="N999" s="1" t="s">
        <v>2092</v>
      </c>
    </row>
    <row r="1000" spans="1:14">
      <c r="A1000" s="1" t="s">
        <v>1012</v>
      </c>
      <c r="B1000" s="2">
        <v>45656</v>
      </c>
      <c r="C1000" s="1" t="s">
        <v>2017</v>
      </c>
      <c r="D1000" s="1" t="s">
        <v>2037</v>
      </c>
      <c r="E1000" s="1" t="s">
        <v>2044</v>
      </c>
      <c r="F1000" s="1" t="s">
        <v>2050</v>
      </c>
      <c r="G1000" s="1" t="s">
        <v>2070</v>
      </c>
      <c r="H1000" s="1" t="s">
        <v>2085</v>
      </c>
      <c r="I1000" s="1">
        <v>7</v>
      </c>
      <c r="J1000" s="1">
        <v>7843.95</v>
      </c>
      <c r="K1000" s="1">
        <v>8.0500000000000007</v>
      </c>
      <c r="L1000" s="1">
        <v>50487.58</v>
      </c>
      <c r="M1000" s="1">
        <v>3041.6</v>
      </c>
      <c r="N1000" s="1" t="s">
        <v>2090</v>
      </c>
    </row>
    <row r="1001" spans="1:14">
      <c r="A1001" s="1" t="s">
        <v>1013</v>
      </c>
      <c r="B1001" s="2">
        <v>45656</v>
      </c>
      <c r="C1001" s="1" t="s">
        <v>2028</v>
      </c>
      <c r="D1001" s="1" t="s">
        <v>2038</v>
      </c>
      <c r="E1001" s="1" t="s">
        <v>2046</v>
      </c>
      <c r="F1001" s="1" t="s">
        <v>2050</v>
      </c>
      <c r="G1001" s="1" t="s">
        <v>2084</v>
      </c>
      <c r="H1001" s="1" t="s">
        <v>2086</v>
      </c>
      <c r="I1001" s="1">
        <v>8</v>
      </c>
      <c r="J1001" s="1">
        <v>5774.61</v>
      </c>
      <c r="K1001" s="1">
        <v>13.17</v>
      </c>
      <c r="L1001" s="1">
        <v>40112.75</v>
      </c>
      <c r="M1001" s="1">
        <v>3136.79</v>
      </c>
      <c r="N1001" s="1" t="s">
        <v>2090</v>
      </c>
    </row>
    <row r="1002" spans="1:14">
      <c r="A1002" s="1" t="s">
        <v>1014</v>
      </c>
      <c r="B1002" s="2">
        <v>45657</v>
      </c>
      <c r="C1002" s="1" t="s">
        <v>2015</v>
      </c>
      <c r="D1002" s="1" t="s">
        <v>2039</v>
      </c>
      <c r="E1002" s="1" t="s">
        <v>2046</v>
      </c>
      <c r="F1002" s="1" t="s">
        <v>2049</v>
      </c>
      <c r="G1002" s="1" t="s">
        <v>2071</v>
      </c>
      <c r="H1002" s="1" t="s">
        <v>2087</v>
      </c>
      <c r="I1002" s="1">
        <v>3</v>
      </c>
      <c r="J1002" s="1">
        <v>1042.1199999999999</v>
      </c>
      <c r="K1002" s="1">
        <v>7.03</v>
      </c>
      <c r="L1002" s="1">
        <v>2906.58</v>
      </c>
      <c r="M1002" s="1">
        <v>494.59</v>
      </c>
      <c r="N1002" s="1" t="s">
        <v>2089</v>
      </c>
    </row>
    <row r="1003" spans="1:14">
      <c r="A1003" s="1" t="s">
        <v>1015</v>
      </c>
      <c r="B1003" s="2">
        <v>45657</v>
      </c>
      <c r="C1003" s="1" t="s">
        <v>2023</v>
      </c>
      <c r="D1003" s="1" t="s">
        <v>2040</v>
      </c>
      <c r="E1003" s="1" t="s">
        <v>2046</v>
      </c>
      <c r="F1003" s="1" t="s">
        <v>2053</v>
      </c>
      <c r="G1003" s="1" t="s">
        <v>2076</v>
      </c>
      <c r="H1003" s="1" t="s">
        <v>2087</v>
      </c>
      <c r="I1003" s="1">
        <v>8</v>
      </c>
      <c r="J1003" s="1">
        <v>135.65</v>
      </c>
      <c r="K1003" s="1">
        <v>14.43</v>
      </c>
      <c r="L1003" s="1">
        <v>928.61</v>
      </c>
      <c r="M1003" s="1">
        <v>123.82</v>
      </c>
      <c r="N1003" s="1" t="s">
        <v>2092</v>
      </c>
    </row>
    <row r="1004" spans="1:14">
      <c r="A1004" s="1" t="s">
        <v>1016</v>
      </c>
      <c r="B1004" s="2">
        <v>45657</v>
      </c>
      <c r="C1004" s="1" t="s">
        <v>2018</v>
      </c>
      <c r="D1004" s="1" t="s">
        <v>2041</v>
      </c>
      <c r="E1004" s="1" t="s">
        <v>2047</v>
      </c>
      <c r="F1004" s="1" t="s">
        <v>2050</v>
      </c>
      <c r="G1004" s="1" t="s">
        <v>2075</v>
      </c>
      <c r="H1004" s="1" t="s">
        <v>2087</v>
      </c>
      <c r="I1004" s="1">
        <v>1</v>
      </c>
      <c r="J1004" s="1">
        <v>5941.97</v>
      </c>
      <c r="K1004" s="1">
        <v>20.58</v>
      </c>
      <c r="L1004" s="1">
        <v>4719.1099999999997</v>
      </c>
      <c r="M1004" s="1">
        <v>1219.03</v>
      </c>
      <c r="N1004" s="1" t="s">
        <v>2088</v>
      </c>
    </row>
    <row r="1005" spans="1:14">
      <c r="A1005" s="1" t="s">
        <v>1017</v>
      </c>
      <c r="B1005" s="2">
        <v>45658</v>
      </c>
      <c r="C1005" s="1" t="s">
        <v>2025</v>
      </c>
      <c r="D1005" s="1" t="s">
        <v>2042</v>
      </c>
      <c r="E1005" s="1" t="s">
        <v>2048</v>
      </c>
      <c r="F1005" s="1" t="s">
        <v>2051</v>
      </c>
      <c r="G1005" s="1" t="s">
        <v>2061</v>
      </c>
      <c r="H1005" s="1" t="s">
        <v>2086</v>
      </c>
      <c r="I1005" s="1">
        <v>9</v>
      </c>
      <c r="J1005" s="1">
        <v>13237.5</v>
      </c>
      <c r="K1005" s="1">
        <v>4.26</v>
      </c>
      <c r="L1005" s="1">
        <v>114062.24</v>
      </c>
      <c r="M1005" s="1">
        <v>11799.77</v>
      </c>
      <c r="N1005" s="1" t="s">
        <v>2091</v>
      </c>
    </row>
    <row r="1006" spans="1:14">
      <c r="A1006" s="1" t="s">
        <v>1018</v>
      </c>
      <c r="B1006" s="2">
        <v>45658</v>
      </c>
      <c r="C1006" s="1" t="s">
        <v>2019</v>
      </c>
      <c r="D1006" s="1" t="s">
        <v>2043</v>
      </c>
      <c r="E1006" s="1" t="s">
        <v>2047</v>
      </c>
      <c r="F1006" s="1" t="s">
        <v>2052</v>
      </c>
      <c r="G1006" s="1" t="s">
        <v>2059</v>
      </c>
      <c r="H1006" s="1" t="s">
        <v>2086</v>
      </c>
      <c r="I1006" s="1">
        <v>4</v>
      </c>
      <c r="J1006" s="1">
        <v>2549.15</v>
      </c>
      <c r="K1006" s="1">
        <v>11.18</v>
      </c>
      <c r="L1006" s="1">
        <v>9056.6200000000008</v>
      </c>
      <c r="M1006" s="1">
        <v>974.36</v>
      </c>
      <c r="N1006" s="1" t="s">
        <v>2090</v>
      </c>
    </row>
    <row r="1007" spans="1:14">
      <c r="A1007" s="1" t="s">
        <v>1019</v>
      </c>
      <c r="B1007" s="2">
        <v>45659</v>
      </c>
      <c r="C1007" s="1" t="s">
        <v>2014</v>
      </c>
      <c r="D1007" s="1" t="s">
        <v>2029</v>
      </c>
      <c r="E1007" s="1" t="s">
        <v>2047</v>
      </c>
      <c r="F1007" s="1" t="s">
        <v>2050</v>
      </c>
      <c r="G1007" s="1" t="s">
        <v>2070</v>
      </c>
      <c r="H1007" s="1" t="s">
        <v>2087</v>
      </c>
      <c r="I1007" s="1">
        <v>10</v>
      </c>
      <c r="J1007" s="1">
        <v>1771.1</v>
      </c>
      <c r="K1007" s="1">
        <v>13.22</v>
      </c>
      <c r="L1007" s="1">
        <v>15369.61</v>
      </c>
      <c r="M1007" s="1">
        <v>3015.35</v>
      </c>
      <c r="N1007" s="1" t="s">
        <v>2088</v>
      </c>
    </row>
    <row r="1008" spans="1:14">
      <c r="A1008" s="1" t="s">
        <v>1020</v>
      </c>
      <c r="B1008" s="2">
        <v>45659</v>
      </c>
      <c r="C1008" s="1" t="s">
        <v>2028</v>
      </c>
      <c r="D1008" s="1" t="s">
        <v>2030</v>
      </c>
      <c r="E1008" s="1" t="s">
        <v>2047</v>
      </c>
      <c r="F1008" s="1" t="s">
        <v>2052</v>
      </c>
      <c r="G1008" s="1" t="s">
        <v>2083</v>
      </c>
      <c r="H1008" s="1" t="s">
        <v>2087</v>
      </c>
      <c r="I1008" s="1">
        <v>8</v>
      </c>
      <c r="J1008" s="1">
        <v>9553.09</v>
      </c>
      <c r="K1008" s="1">
        <v>27.32</v>
      </c>
      <c r="L1008" s="1">
        <v>55545.49</v>
      </c>
      <c r="M1008" s="1">
        <v>16140.14</v>
      </c>
      <c r="N1008" s="1" t="s">
        <v>2092</v>
      </c>
    </row>
    <row r="1009" spans="1:14">
      <c r="A1009" s="1" t="s">
        <v>1021</v>
      </c>
      <c r="B1009" s="2">
        <v>45659</v>
      </c>
      <c r="C1009" s="1" t="s">
        <v>2018</v>
      </c>
      <c r="D1009" s="1" t="s">
        <v>2031</v>
      </c>
      <c r="E1009" s="1" t="s">
        <v>2046</v>
      </c>
      <c r="F1009" s="1" t="s">
        <v>2053</v>
      </c>
      <c r="G1009" s="1" t="s">
        <v>2062</v>
      </c>
      <c r="H1009" s="1" t="s">
        <v>2086</v>
      </c>
      <c r="I1009" s="1">
        <v>10</v>
      </c>
      <c r="J1009" s="1">
        <v>832.51</v>
      </c>
      <c r="K1009" s="1">
        <v>29.21</v>
      </c>
      <c r="L1009" s="1">
        <v>5893.34</v>
      </c>
      <c r="M1009" s="1">
        <v>1272.02</v>
      </c>
      <c r="N1009" s="1" t="s">
        <v>2092</v>
      </c>
    </row>
    <row r="1010" spans="1:14">
      <c r="A1010" s="1" t="s">
        <v>1022</v>
      </c>
      <c r="B1010" s="2">
        <v>45660</v>
      </c>
      <c r="C1010" s="1" t="s">
        <v>2021</v>
      </c>
      <c r="D1010" s="1" t="s">
        <v>2032</v>
      </c>
      <c r="E1010" s="1" t="s">
        <v>2045</v>
      </c>
      <c r="F1010" s="1" t="s">
        <v>2054</v>
      </c>
      <c r="G1010" s="1" t="s">
        <v>2079</v>
      </c>
      <c r="H1010" s="1" t="s">
        <v>2086</v>
      </c>
      <c r="I1010" s="1">
        <v>3</v>
      </c>
      <c r="J1010" s="1">
        <v>14150.94</v>
      </c>
      <c r="K1010" s="1">
        <v>15.9</v>
      </c>
      <c r="L1010" s="1">
        <v>35702.82</v>
      </c>
      <c r="M1010" s="1">
        <v>4373.4799999999996</v>
      </c>
      <c r="N1010" s="1" t="s">
        <v>2091</v>
      </c>
    </row>
    <row r="1011" spans="1:14">
      <c r="A1011" s="1" t="s">
        <v>1023</v>
      </c>
      <c r="B1011" s="2">
        <v>45660</v>
      </c>
      <c r="C1011" s="1" t="s">
        <v>2015</v>
      </c>
      <c r="D1011" s="1" t="s">
        <v>2033</v>
      </c>
      <c r="E1011" s="1" t="s">
        <v>2047</v>
      </c>
      <c r="F1011" s="1" t="s">
        <v>2049</v>
      </c>
      <c r="G1011" s="1" t="s">
        <v>2071</v>
      </c>
      <c r="H1011" s="1" t="s">
        <v>2087</v>
      </c>
      <c r="I1011" s="1">
        <v>10</v>
      </c>
      <c r="J1011" s="1">
        <v>2524.7199999999998</v>
      </c>
      <c r="K1011" s="1">
        <v>0.97</v>
      </c>
      <c r="L1011" s="1">
        <v>25002.3</v>
      </c>
      <c r="M1011" s="1">
        <v>4501.5600000000004</v>
      </c>
      <c r="N1011" s="1" t="s">
        <v>2090</v>
      </c>
    </row>
    <row r="1012" spans="1:14">
      <c r="A1012" s="1" t="s">
        <v>1024</v>
      </c>
      <c r="B1012" s="2">
        <v>45660</v>
      </c>
      <c r="C1012" s="1" t="s">
        <v>2028</v>
      </c>
      <c r="D1012" s="1" t="s">
        <v>2034</v>
      </c>
      <c r="E1012" s="1" t="s">
        <v>2045</v>
      </c>
      <c r="F1012" s="1" t="s">
        <v>2052</v>
      </c>
      <c r="G1012" s="1" t="s">
        <v>2065</v>
      </c>
      <c r="H1012" s="1" t="s">
        <v>2087</v>
      </c>
      <c r="I1012" s="1">
        <v>4</v>
      </c>
      <c r="J1012" s="1">
        <v>6878.31</v>
      </c>
      <c r="K1012" s="1">
        <v>1.91</v>
      </c>
      <c r="L1012" s="1">
        <v>26987.74</v>
      </c>
      <c r="M1012" s="1">
        <v>4022.84</v>
      </c>
      <c r="N1012" s="1" t="s">
        <v>2089</v>
      </c>
    </row>
    <row r="1013" spans="1:14">
      <c r="A1013" s="1" t="s">
        <v>1025</v>
      </c>
      <c r="B1013" s="2">
        <v>45661</v>
      </c>
      <c r="C1013" s="1" t="s">
        <v>2021</v>
      </c>
      <c r="D1013" s="1" t="s">
        <v>2035</v>
      </c>
      <c r="E1013" s="1" t="s">
        <v>2047</v>
      </c>
      <c r="F1013" s="1" t="s">
        <v>2051</v>
      </c>
      <c r="G1013" s="1" t="s">
        <v>2061</v>
      </c>
      <c r="H1013" s="1" t="s">
        <v>2087</v>
      </c>
      <c r="I1013" s="1">
        <v>10</v>
      </c>
      <c r="J1013" s="1">
        <v>16708.27</v>
      </c>
      <c r="K1013" s="1">
        <v>1.0900000000000001</v>
      </c>
      <c r="L1013" s="1">
        <v>165261.5</v>
      </c>
      <c r="M1013" s="1">
        <v>31033.69</v>
      </c>
      <c r="N1013" s="1" t="s">
        <v>2089</v>
      </c>
    </row>
    <row r="1014" spans="1:14">
      <c r="A1014" s="1" t="s">
        <v>1026</v>
      </c>
      <c r="B1014" s="2">
        <v>45661</v>
      </c>
      <c r="C1014" s="1" t="s">
        <v>2022</v>
      </c>
      <c r="D1014" s="1" t="s">
        <v>2036</v>
      </c>
      <c r="E1014" s="1" t="s">
        <v>2044</v>
      </c>
      <c r="F1014" s="1" t="s">
        <v>2050</v>
      </c>
      <c r="G1014" s="1" t="s">
        <v>2084</v>
      </c>
      <c r="H1014" s="1" t="s">
        <v>2086</v>
      </c>
      <c r="I1014" s="1">
        <v>3</v>
      </c>
      <c r="J1014" s="1">
        <v>5475.95</v>
      </c>
      <c r="K1014" s="1">
        <v>5.9</v>
      </c>
      <c r="L1014" s="1">
        <v>15458.61</v>
      </c>
      <c r="M1014" s="1">
        <v>4234.32</v>
      </c>
      <c r="N1014" s="1" t="s">
        <v>2092</v>
      </c>
    </row>
    <row r="1015" spans="1:14">
      <c r="A1015" s="1" t="s">
        <v>1027</v>
      </c>
      <c r="B1015" s="2">
        <v>45661</v>
      </c>
      <c r="C1015" s="1" t="s">
        <v>2026</v>
      </c>
      <c r="D1015" s="1" t="s">
        <v>2037</v>
      </c>
      <c r="E1015" s="1" t="s">
        <v>2048</v>
      </c>
      <c r="F1015" s="1" t="s">
        <v>2051</v>
      </c>
      <c r="G1015" s="1" t="s">
        <v>2069</v>
      </c>
      <c r="H1015" s="1" t="s">
        <v>2086</v>
      </c>
      <c r="I1015" s="1">
        <v>6</v>
      </c>
      <c r="J1015" s="1">
        <v>16689.490000000002</v>
      </c>
      <c r="K1015" s="1">
        <v>23.5</v>
      </c>
      <c r="L1015" s="1">
        <v>76604.759999999995</v>
      </c>
      <c r="M1015" s="1">
        <v>22268.71</v>
      </c>
      <c r="N1015" s="1" t="s">
        <v>2091</v>
      </c>
    </row>
    <row r="1016" spans="1:14">
      <c r="A1016" s="1" t="s">
        <v>1028</v>
      </c>
      <c r="B1016" s="2">
        <v>45662</v>
      </c>
      <c r="C1016" s="1" t="s">
        <v>2019</v>
      </c>
      <c r="D1016" s="1" t="s">
        <v>2038</v>
      </c>
      <c r="E1016" s="1" t="s">
        <v>2044</v>
      </c>
      <c r="F1016" s="1" t="s">
        <v>2054</v>
      </c>
      <c r="G1016" s="1" t="s">
        <v>2063</v>
      </c>
      <c r="H1016" s="1" t="s">
        <v>2085</v>
      </c>
      <c r="I1016" s="1">
        <v>7</v>
      </c>
      <c r="J1016" s="1">
        <v>2050.46</v>
      </c>
      <c r="K1016" s="1">
        <v>24.17</v>
      </c>
      <c r="L1016" s="1">
        <v>10884.05</v>
      </c>
      <c r="M1016" s="1">
        <v>838.53</v>
      </c>
      <c r="N1016" s="1" t="s">
        <v>2088</v>
      </c>
    </row>
    <row r="1017" spans="1:14">
      <c r="A1017" s="1" t="s">
        <v>1029</v>
      </c>
      <c r="B1017" s="2">
        <v>45662</v>
      </c>
      <c r="C1017" s="1" t="s">
        <v>2018</v>
      </c>
      <c r="D1017" s="1" t="s">
        <v>2039</v>
      </c>
      <c r="E1017" s="1" t="s">
        <v>2048</v>
      </c>
      <c r="F1017" s="1" t="s">
        <v>2049</v>
      </c>
      <c r="G1017" s="1" t="s">
        <v>2082</v>
      </c>
      <c r="H1017" s="1" t="s">
        <v>2085</v>
      </c>
      <c r="I1017" s="1">
        <v>10</v>
      </c>
      <c r="J1017" s="1">
        <v>1484.86</v>
      </c>
      <c r="K1017" s="1">
        <v>8.9499999999999993</v>
      </c>
      <c r="L1017" s="1">
        <v>13519.65</v>
      </c>
      <c r="M1017" s="1">
        <v>2832.68</v>
      </c>
      <c r="N1017" s="1" t="s">
        <v>2089</v>
      </c>
    </row>
    <row r="1018" spans="1:14">
      <c r="A1018" s="1" t="s">
        <v>1030</v>
      </c>
      <c r="B1018" s="2">
        <v>45663</v>
      </c>
      <c r="C1018" s="1" t="s">
        <v>2020</v>
      </c>
      <c r="D1018" s="1" t="s">
        <v>2040</v>
      </c>
      <c r="E1018" s="1" t="s">
        <v>2045</v>
      </c>
      <c r="F1018" s="1" t="s">
        <v>2050</v>
      </c>
      <c r="G1018" s="1" t="s">
        <v>2056</v>
      </c>
      <c r="H1018" s="1" t="s">
        <v>2085</v>
      </c>
      <c r="I1018" s="1">
        <v>8</v>
      </c>
      <c r="J1018" s="1">
        <v>1029.72</v>
      </c>
      <c r="K1018" s="1">
        <v>0.2</v>
      </c>
      <c r="L1018" s="1">
        <v>8221.2800000000007</v>
      </c>
      <c r="M1018" s="1">
        <v>725.41</v>
      </c>
      <c r="N1018" s="1" t="s">
        <v>2092</v>
      </c>
    </row>
    <row r="1019" spans="1:14">
      <c r="A1019" s="1" t="s">
        <v>1031</v>
      </c>
      <c r="B1019" s="2">
        <v>45663</v>
      </c>
      <c r="C1019" s="1" t="s">
        <v>2027</v>
      </c>
      <c r="D1019" s="1" t="s">
        <v>2041</v>
      </c>
      <c r="E1019" s="1" t="s">
        <v>2046</v>
      </c>
      <c r="F1019" s="1" t="s">
        <v>2049</v>
      </c>
      <c r="G1019" s="1" t="s">
        <v>2071</v>
      </c>
      <c r="H1019" s="1" t="s">
        <v>2087</v>
      </c>
      <c r="I1019" s="1">
        <v>8</v>
      </c>
      <c r="J1019" s="1">
        <v>760.94</v>
      </c>
      <c r="K1019" s="1">
        <v>28.08</v>
      </c>
      <c r="L1019" s="1">
        <v>4378.1400000000003</v>
      </c>
      <c r="M1019" s="1">
        <v>788.24</v>
      </c>
      <c r="N1019" s="1" t="s">
        <v>2091</v>
      </c>
    </row>
    <row r="1020" spans="1:14">
      <c r="A1020" s="1" t="s">
        <v>1032</v>
      </c>
      <c r="B1020" s="2">
        <v>45663</v>
      </c>
      <c r="C1020" s="1" t="s">
        <v>2022</v>
      </c>
      <c r="D1020" s="1" t="s">
        <v>2042</v>
      </c>
      <c r="E1020" s="1" t="s">
        <v>2045</v>
      </c>
      <c r="F1020" s="1" t="s">
        <v>2051</v>
      </c>
      <c r="G1020" s="1" t="s">
        <v>2057</v>
      </c>
      <c r="H1020" s="1" t="s">
        <v>2085</v>
      </c>
      <c r="I1020" s="1">
        <v>2</v>
      </c>
      <c r="J1020" s="1">
        <v>9084.02</v>
      </c>
      <c r="K1020" s="1">
        <v>11.33</v>
      </c>
      <c r="L1020" s="1">
        <v>16109.6</v>
      </c>
      <c r="M1020" s="1">
        <v>2080.89</v>
      </c>
      <c r="N1020" s="1" t="s">
        <v>2089</v>
      </c>
    </row>
    <row r="1021" spans="1:14">
      <c r="A1021" s="1" t="s">
        <v>1033</v>
      </c>
      <c r="B1021" s="2">
        <v>45664</v>
      </c>
      <c r="C1021" s="1" t="s">
        <v>2027</v>
      </c>
      <c r="D1021" s="1" t="s">
        <v>2043</v>
      </c>
      <c r="E1021" s="1" t="s">
        <v>2048</v>
      </c>
      <c r="F1021" s="1" t="s">
        <v>2052</v>
      </c>
      <c r="G1021" s="1" t="s">
        <v>2072</v>
      </c>
      <c r="H1021" s="1" t="s">
        <v>2085</v>
      </c>
      <c r="I1021" s="1">
        <v>3</v>
      </c>
      <c r="J1021" s="1">
        <v>9322.7999999999993</v>
      </c>
      <c r="K1021" s="1">
        <v>3.33</v>
      </c>
      <c r="L1021" s="1">
        <v>27037.05</v>
      </c>
      <c r="M1021" s="1">
        <v>4097.8</v>
      </c>
      <c r="N1021" s="1" t="s">
        <v>2091</v>
      </c>
    </row>
    <row r="1022" spans="1:14">
      <c r="A1022" s="1" t="s">
        <v>1034</v>
      </c>
      <c r="B1022" s="2">
        <v>45664</v>
      </c>
      <c r="C1022" s="1" t="s">
        <v>2015</v>
      </c>
      <c r="D1022" s="1" t="s">
        <v>2029</v>
      </c>
      <c r="E1022" s="1" t="s">
        <v>2048</v>
      </c>
      <c r="F1022" s="1" t="s">
        <v>2051</v>
      </c>
      <c r="G1022" s="1" t="s">
        <v>2061</v>
      </c>
      <c r="H1022" s="1" t="s">
        <v>2087</v>
      </c>
      <c r="I1022" s="1">
        <v>4</v>
      </c>
      <c r="J1022" s="1">
        <v>39258.47</v>
      </c>
      <c r="K1022" s="1">
        <v>27.8</v>
      </c>
      <c r="L1022" s="1">
        <v>113378.46</v>
      </c>
      <c r="M1022" s="1">
        <v>31125.9</v>
      </c>
      <c r="N1022" s="1" t="s">
        <v>2089</v>
      </c>
    </row>
    <row r="1023" spans="1:14">
      <c r="A1023" s="1" t="s">
        <v>1035</v>
      </c>
      <c r="B1023" s="2">
        <v>45664</v>
      </c>
      <c r="C1023" s="1" t="s">
        <v>2016</v>
      </c>
      <c r="D1023" s="1" t="s">
        <v>2030</v>
      </c>
      <c r="E1023" s="1" t="s">
        <v>2045</v>
      </c>
      <c r="F1023" s="1" t="s">
        <v>2051</v>
      </c>
      <c r="G1023" s="1" t="s">
        <v>2069</v>
      </c>
      <c r="H1023" s="1" t="s">
        <v>2086</v>
      </c>
      <c r="I1023" s="1">
        <v>5</v>
      </c>
      <c r="J1023" s="1">
        <v>29602.67</v>
      </c>
      <c r="K1023" s="1">
        <v>26.14</v>
      </c>
      <c r="L1023" s="1">
        <v>109322.66</v>
      </c>
      <c r="M1023" s="1">
        <v>10729.52</v>
      </c>
      <c r="N1023" s="1" t="s">
        <v>2091</v>
      </c>
    </row>
    <row r="1024" spans="1:14">
      <c r="A1024" s="1" t="s">
        <v>1036</v>
      </c>
      <c r="B1024" s="2">
        <v>45665</v>
      </c>
      <c r="C1024" s="1" t="s">
        <v>2018</v>
      </c>
      <c r="D1024" s="1" t="s">
        <v>2031</v>
      </c>
      <c r="E1024" s="1" t="s">
        <v>2046</v>
      </c>
      <c r="F1024" s="1" t="s">
        <v>2051</v>
      </c>
      <c r="G1024" s="1" t="s">
        <v>2080</v>
      </c>
      <c r="H1024" s="1" t="s">
        <v>2086</v>
      </c>
      <c r="I1024" s="1">
        <v>9</v>
      </c>
      <c r="J1024" s="1">
        <v>15022.18</v>
      </c>
      <c r="K1024" s="1">
        <v>3.77</v>
      </c>
      <c r="L1024" s="1">
        <v>130102.59</v>
      </c>
      <c r="M1024" s="1">
        <v>25673.52</v>
      </c>
      <c r="N1024" s="1" t="s">
        <v>2090</v>
      </c>
    </row>
    <row r="1025" spans="1:14">
      <c r="A1025" s="1" t="s">
        <v>1037</v>
      </c>
      <c r="B1025" s="2">
        <v>45665</v>
      </c>
      <c r="C1025" s="1" t="s">
        <v>2026</v>
      </c>
      <c r="D1025" s="1" t="s">
        <v>2032</v>
      </c>
      <c r="E1025" s="1" t="s">
        <v>2044</v>
      </c>
      <c r="F1025" s="1" t="s">
        <v>2054</v>
      </c>
      <c r="G1025" s="1" t="s">
        <v>2066</v>
      </c>
      <c r="H1025" s="1" t="s">
        <v>2085</v>
      </c>
      <c r="I1025" s="1">
        <v>5</v>
      </c>
      <c r="J1025" s="1">
        <v>56367.69</v>
      </c>
      <c r="K1025" s="1">
        <v>23.78</v>
      </c>
      <c r="L1025" s="1">
        <v>214817.27</v>
      </c>
      <c r="M1025" s="1">
        <v>44527.19</v>
      </c>
      <c r="N1025" s="1" t="s">
        <v>2092</v>
      </c>
    </row>
    <row r="1026" spans="1:14">
      <c r="A1026" s="1" t="s">
        <v>1038</v>
      </c>
      <c r="B1026" s="2">
        <v>45665</v>
      </c>
      <c r="C1026" s="1" t="s">
        <v>2020</v>
      </c>
      <c r="D1026" s="1" t="s">
        <v>2033</v>
      </c>
      <c r="E1026" s="1" t="s">
        <v>2044</v>
      </c>
      <c r="F1026" s="1" t="s">
        <v>2051</v>
      </c>
      <c r="G1026" s="1" t="s">
        <v>2061</v>
      </c>
      <c r="H1026" s="1" t="s">
        <v>2086</v>
      </c>
      <c r="I1026" s="1">
        <v>6</v>
      </c>
      <c r="J1026" s="1">
        <v>27688.82</v>
      </c>
      <c r="K1026" s="1">
        <v>10.8</v>
      </c>
      <c r="L1026" s="1">
        <v>148190.56</v>
      </c>
      <c r="M1026" s="1">
        <v>32150.17</v>
      </c>
      <c r="N1026" s="1" t="s">
        <v>2088</v>
      </c>
    </row>
    <row r="1027" spans="1:14">
      <c r="A1027" s="1" t="s">
        <v>1039</v>
      </c>
      <c r="B1027" s="2">
        <v>45666</v>
      </c>
      <c r="C1027" s="1" t="s">
        <v>2022</v>
      </c>
      <c r="D1027" s="1" t="s">
        <v>2034</v>
      </c>
      <c r="E1027" s="1" t="s">
        <v>2048</v>
      </c>
      <c r="F1027" s="1" t="s">
        <v>2049</v>
      </c>
      <c r="G1027" s="1" t="s">
        <v>2058</v>
      </c>
      <c r="H1027" s="1" t="s">
        <v>2086</v>
      </c>
      <c r="I1027" s="1">
        <v>2</v>
      </c>
      <c r="J1027" s="1">
        <v>652.5</v>
      </c>
      <c r="K1027" s="1">
        <v>7.42</v>
      </c>
      <c r="L1027" s="1">
        <v>1208.17</v>
      </c>
      <c r="M1027" s="1">
        <v>361.27</v>
      </c>
      <c r="N1027" s="1" t="s">
        <v>2091</v>
      </c>
    </row>
    <row r="1028" spans="1:14">
      <c r="A1028" s="1" t="s">
        <v>1040</v>
      </c>
      <c r="B1028" s="2">
        <v>45666</v>
      </c>
      <c r="C1028" s="1" t="s">
        <v>2027</v>
      </c>
      <c r="D1028" s="1" t="s">
        <v>2035</v>
      </c>
      <c r="E1028" s="1" t="s">
        <v>2046</v>
      </c>
      <c r="F1028" s="1" t="s">
        <v>2053</v>
      </c>
      <c r="G1028" s="1" t="s">
        <v>2060</v>
      </c>
      <c r="H1028" s="1" t="s">
        <v>2085</v>
      </c>
      <c r="I1028" s="1">
        <v>10</v>
      </c>
      <c r="J1028" s="1">
        <v>2263.61</v>
      </c>
      <c r="K1028" s="1">
        <v>1.04</v>
      </c>
      <c r="L1028" s="1">
        <v>22400.68</v>
      </c>
      <c r="M1028" s="1">
        <v>2911.41</v>
      </c>
      <c r="N1028" s="1" t="s">
        <v>2091</v>
      </c>
    </row>
    <row r="1029" spans="1:14">
      <c r="A1029" s="1" t="s">
        <v>1041</v>
      </c>
      <c r="B1029" s="2">
        <v>45667</v>
      </c>
      <c r="C1029" s="1" t="s">
        <v>2027</v>
      </c>
      <c r="D1029" s="1" t="s">
        <v>2036</v>
      </c>
      <c r="E1029" s="1" t="s">
        <v>2044</v>
      </c>
      <c r="F1029" s="1" t="s">
        <v>2049</v>
      </c>
      <c r="G1029" s="1" t="s">
        <v>2082</v>
      </c>
      <c r="H1029" s="1" t="s">
        <v>2086</v>
      </c>
      <c r="I1029" s="1">
        <v>7</v>
      </c>
      <c r="J1029" s="1">
        <v>444.59</v>
      </c>
      <c r="K1029" s="1">
        <v>26.57</v>
      </c>
      <c r="L1029" s="1">
        <v>2285.2399999999998</v>
      </c>
      <c r="M1029" s="1">
        <v>485.17</v>
      </c>
      <c r="N1029" s="1" t="s">
        <v>2091</v>
      </c>
    </row>
    <row r="1030" spans="1:14">
      <c r="A1030" s="1" t="s">
        <v>1042</v>
      </c>
      <c r="B1030" s="2">
        <v>45667</v>
      </c>
      <c r="C1030" s="1" t="s">
        <v>2020</v>
      </c>
      <c r="D1030" s="1" t="s">
        <v>2037</v>
      </c>
      <c r="E1030" s="1" t="s">
        <v>2047</v>
      </c>
      <c r="F1030" s="1" t="s">
        <v>2054</v>
      </c>
      <c r="G1030" s="1" t="s">
        <v>2066</v>
      </c>
      <c r="H1030" s="1" t="s">
        <v>2086</v>
      </c>
      <c r="I1030" s="1">
        <v>1</v>
      </c>
      <c r="J1030" s="1">
        <v>14754.05</v>
      </c>
      <c r="K1030" s="1">
        <v>6.77</v>
      </c>
      <c r="L1030" s="1">
        <v>13755.2</v>
      </c>
      <c r="M1030" s="1">
        <v>774.21</v>
      </c>
      <c r="N1030" s="1" t="s">
        <v>2089</v>
      </c>
    </row>
    <row r="1031" spans="1:14">
      <c r="A1031" s="1" t="s">
        <v>1043</v>
      </c>
      <c r="B1031" s="2">
        <v>45667</v>
      </c>
      <c r="C1031" s="1" t="s">
        <v>2025</v>
      </c>
      <c r="D1031" s="1" t="s">
        <v>2038</v>
      </c>
      <c r="E1031" s="1" t="s">
        <v>2047</v>
      </c>
      <c r="F1031" s="1" t="s">
        <v>2053</v>
      </c>
      <c r="G1031" s="1" t="s">
        <v>2067</v>
      </c>
      <c r="H1031" s="1" t="s">
        <v>2085</v>
      </c>
      <c r="I1031" s="1">
        <v>10</v>
      </c>
      <c r="J1031" s="1">
        <v>1713.47</v>
      </c>
      <c r="K1031" s="1">
        <v>26.93</v>
      </c>
      <c r="L1031" s="1">
        <v>12520.33</v>
      </c>
      <c r="M1031" s="1">
        <v>2025.67</v>
      </c>
      <c r="N1031" s="1" t="s">
        <v>2090</v>
      </c>
    </row>
    <row r="1032" spans="1:14">
      <c r="A1032" s="1" t="s">
        <v>1044</v>
      </c>
      <c r="B1032" s="2">
        <v>45668</v>
      </c>
      <c r="C1032" s="1" t="s">
        <v>2028</v>
      </c>
      <c r="D1032" s="1" t="s">
        <v>2039</v>
      </c>
      <c r="E1032" s="1" t="s">
        <v>2045</v>
      </c>
      <c r="F1032" s="1" t="s">
        <v>2053</v>
      </c>
      <c r="G1032" s="1" t="s">
        <v>2067</v>
      </c>
      <c r="H1032" s="1" t="s">
        <v>2086</v>
      </c>
      <c r="I1032" s="1">
        <v>10</v>
      </c>
      <c r="J1032" s="1">
        <v>1582.47</v>
      </c>
      <c r="K1032" s="1">
        <v>19.329999999999998</v>
      </c>
      <c r="L1032" s="1">
        <v>12765.79</v>
      </c>
      <c r="M1032" s="1">
        <v>728.73</v>
      </c>
      <c r="N1032" s="1" t="s">
        <v>2092</v>
      </c>
    </row>
    <row r="1033" spans="1:14">
      <c r="A1033" s="1" t="s">
        <v>1045</v>
      </c>
      <c r="B1033" s="2">
        <v>45668</v>
      </c>
      <c r="C1033" s="1" t="s">
        <v>2017</v>
      </c>
      <c r="D1033" s="1" t="s">
        <v>2040</v>
      </c>
      <c r="E1033" s="1" t="s">
        <v>2044</v>
      </c>
      <c r="F1033" s="1" t="s">
        <v>2054</v>
      </c>
      <c r="G1033" s="1" t="s">
        <v>2066</v>
      </c>
      <c r="H1033" s="1" t="s">
        <v>2086</v>
      </c>
      <c r="I1033" s="1">
        <v>1</v>
      </c>
      <c r="J1033" s="1">
        <v>16490.36</v>
      </c>
      <c r="K1033" s="1">
        <v>5.36</v>
      </c>
      <c r="L1033" s="1">
        <v>15606.48</v>
      </c>
      <c r="M1033" s="1">
        <v>2098.09</v>
      </c>
      <c r="N1033" s="1" t="s">
        <v>2092</v>
      </c>
    </row>
    <row r="1034" spans="1:14">
      <c r="A1034" s="1" t="s">
        <v>1046</v>
      </c>
      <c r="B1034" s="2">
        <v>45668</v>
      </c>
      <c r="C1034" s="1" t="s">
        <v>2016</v>
      </c>
      <c r="D1034" s="1" t="s">
        <v>2041</v>
      </c>
      <c r="E1034" s="1" t="s">
        <v>2044</v>
      </c>
      <c r="F1034" s="1" t="s">
        <v>2050</v>
      </c>
      <c r="G1034" s="1" t="s">
        <v>2075</v>
      </c>
      <c r="H1034" s="1" t="s">
        <v>2086</v>
      </c>
      <c r="I1034" s="1">
        <v>10</v>
      </c>
      <c r="J1034" s="1">
        <v>524.61</v>
      </c>
      <c r="K1034" s="1">
        <v>18.149999999999999</v>
      </c>
      <c r="L1034" s="1">
        <v>4293.93</v>
      </c>
      <c r="M1034" s="1">
        <v>639.52</v>
      </c>
      <c r="N1034" s="1" t="s">
        <v>2091</v>
      </c>
    </row>
    <row r="1035" spans="1:14">
      <c r="A1035" s="1" t="s">
        <v>1047</v>
      </c>
      <c r="B1035" s="2">
        <v>45669</v>
      </c>
      <c r="C1035" s="1" t="s">
        <v>2024</v>
      </c>
      <c r="D1035" s="1" t="s">
        <v>2042</v>
      </c>
      <c r="E1035" s="1" t="s">
        <v>2045</v>
      </c>
      <c r="F1035" s="1" t="s">
        <v>2050</v>
      </c>
      <c r="G1035" s="1" t="s">
        <v>2075</v>
      </c>
      <c r="H1035" s="1" t="s">
        <v>2087</v>
      </c>
      <c r="I1035" s="1">
        <v>4</v>
      </c>
      <c r="J1035" s="1">
        <v>1308.17</v>
      </c>
      <c r="K1035" s="1">
        <v>20.89</v>
      </c>
      <c r="L1035" s="1">
        <v>4139.57</v>
      </c>
      <c r="M1035" s="1">
        <v>420.24</v>
      </c>
      <c r="N1035" s="1" t="s">
        <v>2090</v>
      </c>
    </row>
    <row r="1036" spans="1:14">
      <c r="A1036" s="1" t="s">
        <v>1048</v>
      </c>
      <c r="B1036" s="2">
        <v>45669</v>
      </c>
      <c r="C1036" s="1" t="s">
        <v>2024</v>
      </c>
      <c r="D1036" s="1" t="s">
        <v>2043</v>
      </c>
      <c r="E1036" s="1" t="s">
        <v>2045</v>
      </c>
      <c r="F1036" s="1" t="s">
        <v>2050</v>
      </c>
      <c r="G1036" s="1" t="s">
        <v>2056</v>
      </c>
      <c r="H1036" s="1" t="s">
        <v>2087</v>
      </c>
      <c r="I1036" s="1">
        <v>8</v>
      </c>
      <c r="J1036" s="1">
        <v>7253.85</v>
      </c>
      <c r="K1036" s="1">
        <v>25.93</v>
      </c>
      <c r="L1036" s="1">
        <v>42983.41</v>
      </c>
      <c r="M1036" s="1">
        <v>7141.51</v>
      </c>
      <c r="N1036" s="1" t="s">
        <v>2090</v>
      </c>
    </row>
    <row r="1037" spans="1:14">
      <c r="A1037" s="1" t="s">
        <v>1049</v>
      </c>
      <c r="B1037" s="2">
        <v>45669</v>
      </c>
      <c r="C1037" s="1" t="s">
        <v>2023</v>
      </c>
      <c r="D1037" s="1" t="s">
        <v>2029</v>
      </c>
      <c r="E1037" s="1" t="s">
        <v>2047</v>
      </c>
      <c r="F1037" s="1" t="s">
        <v>2053</v>
      </c>
      <c r="G1037" s="1" t="s">
        <v>2062</v>
      </c>
      <c r="H1037" s="1" t="s">
        <v>2085</v>
      </c>
      <c r="I1037" s="1">
        <v>2</v>
      </c>
      <c r="J1037" s="1">
        <v>1056.1600000000001</v>
      </c>
      <c r="K1037" s="1">
        <v>8.5399999999999991</v>
      </c>
      <c r="L1037" s="1">
        <v>1931.93</v>
      </c>
      <c r="M1037" s="1">
        <v>178.7</v>
      </c>
      <c r="N1037" s="1" t="s">
        <v>2091</v>
      </c>
    </row>
    <row r="1038" spans="1:14">
      <c r="A1038" s="1" t="s">
        <v>1050</v>
      </c>
      <c r="B1038" s="2">
        <v>45670</v>
      </c>
      <c r="C1038" s="1" t="s">
        <v>2018</v>
      </c>
      <c r="D1038" s="1" t="s">
        <v>2030</v>
      </c>
      <c r="E1038" s="1" t="s">
        <v>2046</v>
      </c>
      <c r="F1038" s="1" t="s">
        <v>2051</v>
      </c>
      <c r="G1038" s="1" t="s">
        <v>2080</v>
      </c>
      <c r="H1038" s="1" t="s">
        <v>2086</v>
      </c>
      <c r="I1038" s="1">
        <v>7</v>
      </c>
      <c r="J1038" s="1">
        <v>1484.6</v>
      </c>
      <c r="K1038" s="1">
        <v>26.39</v>
      </c>
      <c r="L1038" s="1">
        <v>7649.7</v>
      </c>
      <c r="M1038" s="1">
        <v>468.71</v>
      </c>
      <c r="N1038" s="1" t="s">
        <v>2092</v>
      </c>
    </row>
    <row r="1039" spans="1:14">
      <c r="A1039" s="1" t="s">
        <v>1051</v>
      </c>
      <c r="B1039" s="2">
        <v>45670</v>
      </c>
      <c r="C1039" s="1" t="s">
        <v>2018</v>
      </c>
      <c r="D1039" s="1" t="s">
        <v>2031</v>
      </c>
      <c r="E1039" s="1" t="s">
        <v>2044</v>
      </c>
      <c r="F1039" s="1" t="s">
        <v>2049</v>
      </c>
      <c r="G1039" s="1" t="s">
        <v>2055</v>
      </c>
      <c r="H1039" s="1" t="s">
        <v>2086</v>
      </c>
      <c r="I1039" s="1">
        <v>4</v>
      </c>
      <c r="J1039" s="1">
        <v>2564.69</v>
      </c>
      <c r="K1039" s="1">
        <v>16.45</v>
      </c>
      <c r="L1039" s="1">
        <v>8571.19</v>
      </c>
      <c r="M1039" s="1">
        <v>851.36</v>
      </c>
      <c r="N1039" s="1" t="s">
        <v>2091</v>
      </c>
    </row>
    <row r="1040" spans="1:14">
      <c r="A1040" s="1" t="s">
        <v>1052</v>
      </c>
      <c r="B1040" s="2">
        <v>45671</v>
      </c>
      <c r="C1040" s="1" t="s">
        <v>2025</v>
      </c>
      <c r="D1040" s="1" t="s">
        <v>2032</v>
      </c>
      <c r="E1040" s="1" t="s">
        <v>2045</v>
      </c>
      <c r="F1040" s="1" t="s">
        <v>2053</v>
      </c>
      <c r="G1040" s="1" t="s">
        <v>2076</v>
      </c>
      <c r="H1040" s="1" t="s">
        <v>2085</v>
      </c>
      <c r="I1040" s="1">
        <v>6</v>
      </c>
      <c r="J1040" s="1">
        <v>1366.74</v>
      </c>
      <c r="K1040" s="1">
        <v>29.99</v>
      </c>
      <c r="L1040" s="1">
        <v>5741.13</v>
      </c>
      <c r="M1040" s="1">
        <v>1497.43</v>
      </c>
      <c r="N1040" s="1" t="s">
        <v>2088</v>
      </c>
    </row>
    <row r="1041" spans="1:14">
      <c r="A1041" s="1" t="s">
        <v>1053</v>
      </c>
      <c r="B1041" s="2">
        <v>45671</v>
      </c>
      <c r="C1041" s="1" t="s">
        <v>2020</v>
      </c>
      <c r="D1041" s="1" t="s">
        <v>2033</v>
      </c>
      <c r="E1041" s="1" t="s">
        <v>2048</v>
      </c>
      <c r="F1041" s="1" t="s">
        <v>2051</v>
      </c>
      <c r="G1041" s="1" t="s">
        <v>2069</v>
      </c>
      <c r="H1041" s="1" t="s">
        <v>2085</v>
      </c>
      <c r="I1041" s="1">
        <v>6</v>
      </c>
      <c r="J1041" s="1">
        <v>38746.629999999997</v>
      </c>
      <c r="K1041" s="1">
        <v>25.89</v>
      </c>
      <c r="L1041" s="1">
        <v>172290.76</v>
      </c>
      <c r="M1041" s="1">
        <v>27946.93</v>
      </c>
      <c r="N1041" s="1" t="s">
        <v>2088</v>
      </c>
    </row>
    <row r="1042" spans="1:14">
      <c r="A1042" s="1" t="s">
        <v>1054</v>
      </c>
      <c r="B1042" s="2">
        <v>45671</v>
      </c>
      <c r="C1042" s="1" t="s">
        <v>2014</v>
      </c>
      <c r="D1042" s="1" t="s">
        <v>2034</v>
      </c>
      <c r="E1042" s="1" t="s">
        <v>2044</v>
      </c>
      <c r="F1042" s="1" t="s">
        <v>2052</v>
      </c>
      <c r="G1042" s="1" t="s">
        <v>2083</v>
      </c>
      <c r="H1042" s="1" t="s">
        <v>2086</v>
      </c>
      <c r="I1042" s="1">
        <v>2</v>
      </c>
      <c r="J1042" s="1">
        <v>5891.22</v>
      </c>
      <c r="K1042" s="1">
        <v>11.64</v>
      </c>
      <c r="L1042" s="1">
        <v>10410.959999999999</v>
      </c>
      <c r="M1042" s="1">
        <v>964.99</v>
      </c>
      <c r="N1042" s="1" t="s">
        <v>2089</v>
      </c>
    </row>
    <row r="1043" spans="1:14">
      <c r="A1043" s="1" t="s">
        <v>1055</v>
      </c>
      <c r="B1043" s="2">
        <v>45672</v>
      </c>
      <c r="C1043" s="1" t="s">
        <v>2015</v>
      </c>
      <c r="D1043" s="1" t="s">
        <v>2035</v>
      </c>
      <c r="E1043" s="1" t="s">
        <v>2046</v>
      </c>
      <c r="F1043" s="1" t="s">
        <v>2051</v>
      </c>
      <c r="G1043" s="1" t="s">
        <v>2057</v>
      </c>
      <c r="H1043" s="1" t="s">
        <v>2085</v>
      </c>
      <c r="I1043" s="1">
        <v>8</v>
      </c>
      <c r="J1043" s="1">
        <v>26853.34</v>
      </c>
      <c r="K1043" s="1">
        <v>25.58</v>
      </c>
      <c r="L1043" s="1">
        <v>159874.04999999999</v>
      </c>
      <c r="M1043" s="1">
        <v>18303.16</v>
      </c>
      <c r="N1043" s="1" t="s">
        <v>2091</v>
      </c>
    </row>
    <row r="1044" spans="1:14">
      <c r="A1044" s="1" t="s">
        <v>1056</v>
      </c>
      <c r="B1044" s="2">
        <v>45672</v>
      </c>
      <c r="C1044" s="1" t="s">
        <v>2020</v>
      </c>
      <c r="D1044" s="1" t="s">
        <v>2036</v>
      </c>
      <c r="E1044" s="1" t="s">
        <v>2048</v>
      </c>
      <c r="F1044" s="1" t="s">
        <v>2049</v>
      </c>
      <c r="G1044" s="1" t="s">
        <v>2074</v>
      </c>
      <c r="H1044" s="1" t="s">
        <v>2086</v>
      </c>
      <c r="I1044" s="1">
        <v>7</v>
      </c>
      <c r="J1044" s="1">
        <v>2311.7800000000002</v>
      </c>
      <c r="K1044" s="1">
        <v>29.09</v>
      </c>
      <c r="L1044" s="1">
        <v>11474.98</v>
      </c>
      <c r="M1044" s="1">
        <v>2714.56</v>
      </c>
      <c r="N1044" s="1" t="s">
        <v>2088</v>
      </c>
    </row>
    <row r="1045" spans="1:14">
      <c r="A1045" s="1" t="s">
        <v>1057</v>
      </c>
      <c r="B1045" s="2">
        <v>45672</v>
      </c>
      <c r="C1045" s="1" t="s">
        <v>2016</v>
      </c>
      <c r="D1045" s="1" t="s">
        <v>2037</v>
      </c>
      <c r="E1045" s="1" t="s">
        <v>2045</v>
      </c>
      <c r="F1045" s="1" t="s">
        <v>2052</v>
      </c>
      <c r="G1045" s="1" t="s">
        <v>2072</v>
      </c>
      <c r="H1045" s="1" t="s">
        <v>2085</v>
      </c>
      <c r="I1045" s="1">
        <v>8</v>
      </c>
      <c r="J1045" s="1">
        <v>8110.67</v>
      </c>
      <c r="K1045" s="1">
        <v>11.01</v>
      </c>
      <c r="L1045" s="1">
        <v>57741.48</v>
      </c>
      <c r="M1045" s="1">
        <v>7463.1</v>
      </c>
      <c r="N1045" s="1" t="s">
        <v>2092</v>
      </c>
    </row>
    <row r="1046" spans="1:14">
      <c r="A1046" s="1" t="s">
        <v>1058</v>
      </c>
      <c r="B1046" s="2">
        <v>45673</v>
      </c>
      <c r="C1046" s="1" t="s">
        <v>2015</v>
      </c>
      <c r="D1046" s="1" t="s">
        <v>2038</v>
      </c>
      <c r="E1046" s="1" t="s">
        <v>2044</v>
      </c>
      <c r="F1046" s="1" t="s">
        <v>2052</v>
      </c>
      <c r="G1046" s="1" t="s">
        <v>2065</v>
      </c>
      <c r="H1046" s="1" t="s">
        <v>2085</v>
      </c>
      <c r="I1046" s="1">
        <v>4</v>
      </c>
      <c r="J1046" s="1">
        <v>8537.6299999999992</v>
      </c>
      <c r="K1046" s="1">
        <v>12.72</v>
      </c>
      <c r="L1046" s="1">
        <v>29806.57</v>
      </c>
      <c r="M1046" s="1">
        <v>1985.66</v>
      </c>
      <c r="N1046" s="1" t="s">
        <v>2088</v>
      </c>
    </row>
    <row r="1047" spans="1:14">
      <c r="A1047" s="1" t="s">
        <v>1059</v>
      </c>
      <c r="B1047" s="2">
        <v>45673</v>
      </c>
      <c r="C1047" s="1" t="s">
        <v>2015</v>
      </c>
      <c r="D1047" s="1" t="s">
        <v>2039</v>
      </c>
      <c r="E1047" s="1" t="s">
        <v>2044</v>
      </c>
      <c r="F1047" s="1" t="s">
        <v>2050</v>
      </c>
      <c r="G1047" s="1" t="s">
        <v>2070</v>
      </c>
      <c r="H1047" s="1" t="s">
        <v>2085</v>
      </c>
      <c r="I1047" s="1">
        <v>3</v>
      </c>
      <c r="J1047" s="1">
        <v>3781.81</v>
      </c>
      <c r="K1047" s="1">
        <v>4.01</v>
      </c>
      <c r="L1047" s="1">
        <v>10890.48</v>
      </c>
      <c r="M1047" s="1">
        <v>675.09</v>
      </c>
      <c r="N1047" s="1" t="s">
        <v>2089</v>
      </c>
    </row>
    <row r="1048" spans="1:14">
      <c r="A1048" s="1" t="s">
        <v>1060</v>
      </c>
      <c r="B1048" s="2">
        <v>45673</v>
      </c>
      <c r="C1048" s="1" t="s">
        <v>2020</v>
      </c>
      <c r="D1048" s="1" t="s">
        <v>2040</v>
      </c>
      <c r="E1048" s="1" t="s">
        <v>2044</v>
      </c>
      <c r="F1048" s="1" t="s">
        <v>2053</v>
      </c>
      <c r="G1048" s="1" t="s">
        <v>2067</v>
      </c>
      <c r="H1048" s="1" t="s">
        <v>2085</v>
      </c>
      <c r="I1048" s="1">
        <v>10</v>
      </c>
      <c r="J1048" s="1">
        <v>127.66</v>
      </c>
      <c r="K1048" s="1">
        <v>3.91</v>
      </c>
      <c r="L1048" s="1">
        <v>1226.68</v>
      </c>
      <c r="M1048" s="1">
        <v>156.18</v>
      </c>
      <c r="N1048" s="1" t="s">
        <v>2090</v>
      </c>
    </row>
    <row r="1049" spans="1:14">
      <c r="A1049" s="1" t="s">
        <v>1061</v>
      </c>
      <c r="B1049" s="2">
        <v>45674</v>
      </c>
      <c r="C1049" s="1" t="s">
        <v>2022</v>
      </c>
      <c r="D1049" s="1" t="s">
        <v>2041</v>
      </c>
      <c r="E1049" s="1" t="s">
        <v>2046</v>
      </c>
      <c r="F1049" s="1" t="s">
        <v>2054</v>
      </c>
      <c r="G1049" s="1" t="s">
        <v>2066</v>
      </c>
      <c r="H1049" s="1" t="s">
        <v>2087</v>
      </c>
      <c r="I1049" s="1">
        <v>6</v>
      </c>
      <c r="J1049" s="1">
        <v>47222.41</v>
      </c>
      <c r="K1049" s="1">
        <v>1.92</v>
      </c>
      <c r="L1049" s="1">
        <v>277894.44</v>
      </c>
      <c r="M1049" s="1">
        <v>73811.13</v>
      </c>
      <c r="N1049" s="1" t="s">
        <v>2090</v>
      </c>
    </row>
    <row r="1050" spans="1:14">
      <c r="A1050" s="1" t="s">
        <v>1062</v>
      </c>
      <c r="B1050" s="2">
        <v>45674</v>
      </c>
      <c r="C1050" s="1" t="s">
        <v>2028</v>
      </c>
      <c r="D1050" s="1" t="s">
        <v>2042</v>
      </c>
      <c r="E1050" s="1" t="s">
        <v>2046</v>
      </c>
      <c r="F1050" s="1" t="s">
        <v>2050</v>
      </c>
      <c r="G1050" s="1" t="s">
        <v>2070</v>
      </c>
      <c r="H1050" s="1" t="s">
        <v>2085</v>
      </c>
      <c r="I1050" s="1">
        <v>4</v>
      </c>
      <c r="J1050" s="1">
        <v>3487.23</v>
      </c>
      <c r="K1050" s="1">
        <v>8.1</v>
      </c>
      <c r="L1050" s="1">
        <v>12819.06</v>
      </c>
      <c r="M1050" s="1">
        <v>1303.82</v>
      </c>
      <c r="N1050" s="1" t="s">
        <v>2092</v>
      </c>
    </row>
    <row r="1051" spans="1:14">
      <c r="A1051" s="1" t="s">
        <v>1063</v>
      </c>
      <c r="B1051" s="2">
        <v>45675</v>
      </c>
      <c r="C1051" s="1" t="s">
        <v>2026</v>
      </c>
      <c r="D1051" s="1" t="s">
        <v>2043</v>
      </c>
      <c r="E1051" s="1" t="s">
        <v>2048</v>
      </c>
      <c r="F1051" s="1" t="s">
        <v>2053</v>
      </c>
      <c r="G1051" s="1" t="s">
        <v>2067</v>
      </c>
      <c r="H1051" s="1" t="s">
        <v>2086</v>
      </c>
      <c r="I1051" s="1">
        <v>1</v>
      </c>
      <c r="J1051" s="1">
        <v>1456.17</v>
      </c>
      <c r="K1051" s="1">
        <v>25.76</v>
      </c>
      <c r="L1051" s="1">
        <v>1081.06</v>
      </c>
      <c r="M1051" s="1">
        <v>85.8</v>
      </c>
      <c r="N1051" s="1" t="s">
        <v>2089</v>
      </c>
    </row>
    <row r="1052" spans="1:14">
      <c r="A1052" s="1" t="s">
        <v>1064</v>
      </c>
      <c r="B1052" s="2">
        <v>45675</v>
      </c>
      <c r="C1052" s="1" t="s">
        <v>2023</v>
      </c>
      <c r="D1052" s="1" t="s">
        <v>2029</v>
      </c>
      <c r="E1052" s="1" t="s">
        <v>2045</v>
      </c>
      <c r="F1052" s="1" t="s">
        <v>2053</v>
      </c>
      <c r="G1052" s="1" t="s">
        <v>2073</v>
      </c>
      <c r="H1052" s="1" t="s">
        <v>2086</v>
      </c>
      <c r="I1052" s="1">
        <v>8</v>
      </c>
      <c r="J1052" s="1">
        <v>439.87</v>
      </c>
      <c r="K1052" s="1">
        <v>19.29</v>
      </c>
      <c r="L1052" s="1">
        <v>2840.15</v>
      </c>
      <c r="M1052" s="1">
        <v>413.23</v>
      </c>
      <c r="N1052" s="1" t="s">
        <v>2090</v>
      </c>
    </row>
    <row r="1053" spans="1:14">
      <c r="A1053" s="1" t="s">
        <v>1065</v>
      </c>
      <c r="B1053" s="2">
        <v>45675</v>
      </c>
      <c r="C1053" s="1" t="s">
        <v>2020</v>
      </c>
      <c r="D1053" s="1" t="s">
        <v>2030</v>
      </c>
      <c r="E1053" s="1" t="s">
        <v>2048</v>
      </c>
      <c r="F1053" s="1" t="s">
        <v>2054</v>
      </c>
      <c r="G1053" s="1" t="s">
        <v>2068</v>
      </c>
      <c r="H1053" s="1" t="s">
        <v>2087</v>
      </c>
      <c r="I1053" s="1">
        <v>5</v>
      </c>
      <c r="J1053" s="1">
        <v>20586.71</v>
      </c>
      <c r="K1053" s="1">
        <v>13.1</v>
      </c>
      <c r="L1053" s="1">
        <v>89449.25</v>
      </c>
      <c r="M1053" s="1">
        <v>16104.91</v>
      </c>
      <c r="N1053" s="1" t="s">
        <v>2088</v>
      </c>
    </row>
    <row r="1054" spans="1:14">
      <c r="A1054" s="1" t="s">
        <v>1066</v>
      </c>
      <c r="B1054" s="2">
        <v>45676</v>
      </c>
      <c r="C1054" s="1" t="s">
        <v>2027</v>
      </c>
      <c r="D1054" s="1" t="s">
        <v>2031</v>
      </c>
      <c r="E1054" s="1" t="s">
        <v>2045</v>
      </c>
      <c r="F1054" s="1" t="s">
        <v>2049</v>
      </c>
      <c r="G1054" s="1" t="s">
        <v>2055</v>
      </c>
      <c r="H1054" s="1" t="s">
        <v>2086</v>
      </c>
      <c r="I1054" s="1">
        <v>8</v>
      </c>
      <c r="J1054" s="1">
        <v>2177.71</v>
      </c>
      <c r="K1054" s="1">
        <v>20.309999999999999</v>
      </c>
      <c r="L1054" s="1">
        <v>13883.34</v>
      </c>
      <c r="M1054" s="1">
        <v>2507.9299999999998</v>
      </c>
      <c r="N1054" s="1" t="s">
        <v>2090</v>
      </c>
    </row>
    <row r="1055" spans="1:14">
      <c r="A1055" s="1" t="s">
        <v>1067</v>
      </c>
      <c r="B1055" s="2">
        <v>45676</v>
      </c>
      <c r="C1055" s="1" t="s">
        <v>2021</v>
      </c>
      <c r="D1055" s="1" t="s">
        <v>2032</v>
      </c>
      <c r="E1055" s="1" t="s">
        <v>2045</v>
      </c>
      <c r="F1055" s="1" t="s">
        <v>2052</v>
      </c>
      <c r="G1055" s="1" t="s">
        <v>2065</v>
      </c>
      <c r="H1055" s="1" t="s">
        <v>2085</v>
      </c>
      <c r="I1055" s="1">
        <v>9</v>
      </c>
      <c r="J1055" s="1">
        <v>4311.2299999999996</v>
      </c>
      <c r="K1055" s="1">
        <v>9.5</v>
      </c>
      <c r="L1055" s="1">
        <v>35114.97</v>
      </c>
      <c r="M1055" s="1">
        <v>2068.11</v>
      </c>
      <c r="N1055" s="1" t="s">
        <v>2092</v>
      </c>
    </row>
    <row r="1056" spans="1:14">
      <c r="A1056" s="1" t="s">
        <v>1068</v>
      </c>
      <c r="B1056" s="2">
        <v>45676</v>
      </c>
      <c r="C1056" s="1" t="s">
        <v>2024</v>
      </c>
      <c r="D1056" s="1" t="s">
        <v>2033</v>
      </c>
      <c r="E1056" s="1" t="s">
        <v>2044</v>
      </c>
      <c r="F1056" s="1" t="s">
        <v>2049</v>
      </c>
      <c r="G1056" s="1" t="s">
        <v>2058</v>
      </c>
      <c r="H1056" s="1" t="s">
        <v>2085</v>
      </c>
      <c r="I1056" s="1">
        <v>4</v>
      </c>
      <c r="J1056" s="1">
        <v>2407.75</v>
      </c>
      <c r="K1056" s="1">
        <v>26.96</v>
      </c>
      <c r="L1056" s="1">
        <v>7034.48</v>
      </c>
      <c r="M1056" s="1">
        <v>2006.82</v>
      </c>
      <c r="N1056" s="1" t="s">
        <v>2088</v>
      </c>
    </row>
    <row r="1057" spans="1:14">
      <c r="A1057" s="1" t="s">
        <v>1069</v>
      </c>
      <c r="B1057" s="2">
        <v>45677</v>
      </c>
      <c r="C1057" s="1" t="s">
        <v>2015</v>
      </c>
      <c r="D1057" s="1" t="s">
        <v>2034</v>
      </c>
      <c r="E1057" s="1" t="s">
        <v>2044</v>
      </c>
      <c r="F1057" s="1" t="s">
        <v>2051</v>
      </c>
      <c r="G1057" s="1" t="s">
        <v>2069</v>
      </c>
      <c r="H1057" s="1" t="s">
        <v>2086</v>
      </c>
      <c r="I1057" s="1">
        <v>8</v>
      </c>
      <c r="J1057" s="1">
        <v>22669.07</v>
      </c>
      <c r="K1057" s="1">
        <v>5.0999999999999996</v>
      </c>
      <c r="L1057" s="1">
        <v>172103.58</v>
      </c>
      <c r="M1057" s="1">
        <v>22205.87</v>
      </c>
      <c r="N1057" s="1" t="s">
        <v>2092</v>
      </c>
    </row>
    <row r="1058" spans="1:14">
      <c r="A1058" s="1" t="s">
        <v>1070</v>
      </c>
      <c r="B1058" s="2">
        <v>45677</v>
      </c>
      <c r="C1058" s="1" t="s">
        <v>2019</v>
      </c>
      <c r="D1058" s="1" t="s">
        <v>2035</v>
      </c>
      <c r="E1058" s="1" t="s">
        <v>2048</v>
      </c>
      <c r="F1058" s="1" t="s">
        <v>2052</v>
      </c>
      <c r="G1058" s="1" t="s">
        <v>2065</v>
      </c>
      <c r="H1058" s="1" t="s">
        <v>2085</v>
      </c>
      <c r="I1058" s="1">
        <v>6</v>
      </c>
      <c r="J1058" s="1">
        <v>204.02</v>
      </c>
      <c r="K1058" s="1">
        <v>17.89</v>
      </c>
      <c r="L1058" s="1">
        <v>1005.12</v>
      </c>
      <c r="M1058" s="1">
        <v>280.41000000000003</v>
      </c>
      <c r="N1058" s="1" t="s">
        <v>2089</v>
      </c>
    </row>
    <row r="1059" spans="1:14">
      <c r="A1059" s="1" t="s">
        <v>1071</v>
      </c>
      <c r="B1059" s="2">
        <v>45677</v>
      </c>
      <c r="C1059" s="1" t="s">
        <v>2019</v>
      </c>
      <c r="D1059" s="1" t="s">
        <v>2036</v>
      </c>
      <c r="E1059" s="1" t="s">
        <v>2048</v>
      </c>
      <c r="F1059" s="1" t="s">
        <v>2051</v>
      </c>
      <c r="G1059" s="1" t="s">
        <v>2080</v>
      </c>
      <c r="H1059" s="1" t="s">
        <v>2085</v>
      </c>
      <c r="I1059" s="1">
        <v>8</v>
      </c>
      <c r="J1059" s="1">
        <v>34430.53</v>
      </c>
      <c r="K1059" s="1">
        <v>1.45</v>
      </c>
      <c r="L1059" s="1">
        <v>271450.3</v>
      </c>
      <c r="M1059" s="1">
        <v>23651.29</v>
      </c>
      <c r="N1059" s="1" t="s">
        <v>2092</v>
      </c>
    </row>
    <row r="1060" spans="1:14">
      <c r="A1060" s="1" t="s">
        <v>1072</v>
      </c>
      <c r="B1060" s="2">
        <v>45678</v>
      </c>
      <c r="C1060" s="1" t="s">
        <v>2021</v>
      </c>
      <c r="D1060" s="1" t="s">
        <v>2037</v>
      </c>
      <c r="E1060" s="1" t="s">
        <v>2047</v>
      </c>
      <c r="F1060" s="1" t="s">
        <v>2050</v>
      </c>
      <c r="G1060" s="1" t="s">
        <v>2070</v>
      </c>
      <c r="H1060" s="1" t="s">
        <v>2087</v>
      </c>
      <c r="I1060" s="1">
        <v>5</v>
      </c>
      <c r="J1060" s="1">
        <v>1553.38</v>
      </c>
      <c r="K1060" s="1">
        <v>14.67</v>
      </c>
      <c r="L1060" s="1">
        <v>6627.5</v>
      </c>
      <c r="M1060" s="1">
        <v>1646.67</v>
      </c>
      <c r="N1060" s="1" t="s">
        <v>2091</v>
      </c>
    </row>
    <row r="1061" spans="1:14">
      <c r="A1061" s="1" t="s">
        <v>1073</v>
      </c>
      <c r="B1061" s="2">
        <v>45678</v>
      </c>
      <c r="C1061" s="1" t="s">
        <v>2021</v>
      </c>
      <c r="D1061" s="1" t="s">
        <v>2038</v>
      </c>
      <c r="E1061" s="1" t="s">
        <v>2044</v>
      </c>
      <c r="F1061" s="1" t="s">
        <v>2050</v>
      </c>
      <c r="G1061" s="1" t="s">
        <v>2070</v>
      </c>
      <c r="H1061" s="1" t="s">
        <v>2085</v>
      </c>
      <c r="I1061" s="1">
        <v>5</v>
      </c>
      <c r="J1061" s="1">
        <v>5536.35</v>
      </c>
      <c r="K1061" s="1">
        <v>19.05</v>
      </c>
      <c r="L1061" s="1">
        <v>22408.38</v>
      </c>
      <c r="M1061" s="1">
        <v>6215.83</v>
      </c>
      <c r="N1061" s="1" t="s">
        <v>2089</v>
      </c>
    </row>
    <row r="1062" spans="1:14">
      <c r="A1062" s="1" t="s">
        <v>1074</v>
      </c>
      <c r="B1062" s="2">
        <v>45679</v>
      </c>
      <c r="C1062" s="1" t="s">
        <v>2021</v>
      </c>
      <c r="D1062" s="1" t="s">
        <v>2039</v>
      </c>
      <c r="E1062" s="1" t="s">
        <v>2046</v>
      </c>
      <c r="F1062" s="1" t="s">
        <v>2054</v>
      </c>
      <c r="G1062" s="1" t="s">
        <v>2066</v>
      </c>
      <c r="H1062" s="1" t="s">
        <v>2087</v>
      </c>
      <c r="I1062" s="1">
        <v>9</v>
      </c>
      <c r="J1062" s="1">
        <v>12597.88</v>
      </c>
      <c r="K1062" s="1">
        <v>5.3</v>
      </c>
      <c r="L1062" s="1">
        <v>107371.73</v>
      </c>
      <c r="M1062" s="1">
        <v>13028.52</v>
      </c>
      <c r="N1062" s="1" t="s">
        <v>2088</v>
      </c>
    </row>
    <row r="1063" spans="1:14">
      <c r="A1063" s="1" t="s">
        <v>1075</v>
      </c>
      <c r="B1063" s="2">
        <v>45679</v>
      </c>
      <c r="C1063" s="1" t="s">
        <v>2025</v>
      </c>
      <c r="D1063" s="1" t="s">
        <v>2040</v>
      </c>
      <c r="E1063" s="1" t="s">
        <v>2046</v>
      </c>
      <c r="F1063" s="1" t="s">
        <v>2054</v>
      </c>
      <c r="G1063" s="1" t="s">
        <v>2079</v>
      </c>
      <c r="H1063" s="1" t="s">
        <v>2086</v>
      </c>
      <c r="I1063" s="1">
        <v>5</v>
      </c>
      <c r="J1063" s="1">
        <v>10642.33</v>
      </c>
      <c r="K1063" s="1">
        <v>25.78</v>
      </c>
      <c r="L1063" s="1">
        <v>39493.69</v>
      </c>
      <c r="M1063" s="1">
        <v>7847.72</v>
      </c>
      <c r="N1063" s="1" t="s">
        <v>2088</v>
      </c>
    </row>
    <row r="1064" spans="1:14">
      <c r="A1064" s="1" t="s">
        <v>1076</v>
      </c>
      <c r="B1064" s="2">
        <v>45679</v>
      </c>
      <c r="C1064" s="1" t="s">
        <v>2017</v>
      </c>
      <c r="D1064" s="1" t="s">
        <v>2041</v>
      </c>
      <c r="E1064" s="1" t="s">
        <v>2047</v>
      </c>
      <c r="F1064" s="1" t="s">
        <v>2053</v>
      </c>
      <c r="G1064" s="1" t="s">
        <v>2067</v>
      </c>
      <c r="H1064" s="1" t="s">
        <v>2086</v>
      </c>
      <c r="I1064" s="1">
        <v>1</v>
      </c>
      <c r="J1064" s="1">
        <v>1091.67</v>
      </c>
      <c r="K1064" s="1">
        <v>12.17</v>
      </c>
      <c r="L1064" s="1">
        <v>958.81</v>
      </c>
      <c r="M1064" s="1">
        <v>210.83</v>
      </c>
      <c r="N1064" s="1" t="s">
        <v>2088</v>
      </c>
    </row>
    <row r="1065" spans="1:14">
      <c r="A1065" s="1" t="s">
        <v>1077</v>
      </c>
      <c r="B1065" s="2">
        <v>45680</v>
      </c>
      <c r="C1065" s="1" t="s">
        <v>2022</v>
      </c>
      <c r="D1065" s="1" t="s">
        <v>2042</v>
      </c>
      <c r="E1065" s="1" t="s">
        <v>2046</v>
      </c>
      <c r="F1065" s="1" t="s">
        <v>2050</v>
      </c>
      <c r="G1065" s="1" t="s">
        <v>2056</v>
      </c>
      <c r="H1065" s="1" t="s">
        <v>2086</v>
      </c>
      <c r="I1065" s="1">
        <v>9</v>
      </c>
      <c r="J1065" s="1">
        <v>1613.08</v>
      </c>
      <c r="K1065" s="1">
        <v>26.92</v>
      </c>
      <c r="L1065" s="1">
        <v>10609.55</v>
      </c>
      <c r="M1065" s="1">
        <v>2270.83</v>
      </c>
      <c r="N1065" s="1" t="s">
        <v>2089</v>
      </c>
    </row>
    <row r="1066" spans="1:14">
      <c r="A1066" s="1" t="s">
        <v>1078</v>
      </c>
      <c r="B1066" s="2">
        <v>45680</v>
      </c>
      <c r="C1066" s="1" t="s">
        <v>2028</v>
      </c>
      <c r="D1066" s="1" t="s">
        <v>2043</v>
      </c>
      <c r="E1066" s="1" t="s">
        <v>2046</v>
      </c>
      <c r="F1066" s="1" t="s">
        <v>2053</v>
      </c>
      <c r="G1066" s="1" t="s">
        <v>2062</v>
      </c>
      <c r="H1066" s="1" t="s">
        <v>2086</v>
      </c>
      <c r="I1066" s="1">
        <v>4</v>
      </c>
      <c r="J1066" s="1">
        <v>2259.7800000000002</v>
      </c>
      <c r="K1066" s="1">
        <v>13.44</v>
      </c>
      <c r="L1066" s="1">
        <v>7824.26</v>
      </c>
      <c r="M1066" s="1">
        <v>927.98</v>
      </c>
      <c r="N1066" s="1" t="s">
        <v>2092</v>
      </c>
    </row>
    <row r="1067" spans="1:14">
      <c r="A1067" s="1" t="s">
        <v>1079</v>
      </c>
      <c r="B1067" s="2">
        <v>45680</v>
      </c>
      <c r="C1067" s="1" t="s">
        <v>2021</v>
      </c>
      <c r="D1067" s="1" t="s">
        <v>2029</v>
      </c>
      <c r="E1067" s="1" t="s">
        <v>2048</v>
      </c>
      <c r="F1067" s="1" t="s">
        <v>2052</v>
      </c>
      <c r="G1067" s="1" t="s">
        <v>2072</v>
      </c>
      <c r="H1067" s="1" t="s">
        <v>2087</v>
      </c>
      <c r="I1067" s="1">
        <v>2</v>
      </c>
      <c r="J1067" s="1">
        <v>884.65</v>
      </c>
      <c r="K1067" s="1">
        <v>20.329999999999998</v>
      </c>
      <c r="L1067" s="1">
        <v>1409.6</v>
      </c>
      <c r="M1067" s="1">
        <v>131.38</v>
      </c>
      <c r="N1067" s="1" t="s">
        <v>2092</v>
      </c>
    </row>
    <row r="1068" spans="1:14">
      <c r="A1068" s="1" t="s">
        <v>1080</v>
      </c>
      <c r="B1068" s="2">
        <v>45681</v>
      </c>
      <c r="C1068" s="1" t="s">
        <v>2016</v>
      </c>
      <c r="D1068" s="1" t="s">
        <v>2030</v>
      </c>
      <c r="E1068" s="1" t="s">
        <v>2047</v>
      </c>
      <c r="F1068" s="1" t="s">
        <v>2050</v>
      </c>
      <c r="G1068" s="1" t="s">
        <v>2064</v>
      </c>
      <c r="H1068" s="1" t="s">
        <v>2085</v>
      </c>
      <c r="I1068" s="1">
        <v>9</v>
      </c>
      <c r="J1068" s="1">
        <v>1115.55</v>
      </c>
      <c r="K1068" s="1">
        <v>0.56000000000000005</v>
      </c>
      <c r="L1068" s="1">
        <v>9983.73</v>
      </c>
      <c r="M1068" s="1">
        <v>2507.52</v>
      </c>
      <c r="N1068" s="1" t="s">
        <v>2091</v>
      </c>
    </row>
    <row r="1069" spans="1:14">
      <c r="A1069" s="1" t="s">
        <v>1081</v>
      </c>
      <c r="B1069" s="2">
        <v>45681</v>
      </c>
      <c r="C1069" s="1" t="s">
        <v>2019</v>
      </c>
      <c r="D1069" s="1" t="s">
        <v>2031</v>
      </c>
      <c r="E1069" s="1" t="s">
        <v>2044</v>
      </c>
      <c r="F1069" s="1" t="s">
        <v>2053</v>
      </c>
      <c r="G1069" s="1" t="s">
        <v>2060</v>
      </c>
      <c r="H1069" s="1" t="s">
        <v>2085</v>
      </c>
      <c r="I1069" s="1">
        <v>3</v>
      </c>
      <c r="J1069" s="1">
        <v>448.08</v>
      </c>
      <c r="K1069" s="1">
        <v>22.1</v>
      </c>
      <c r="L1069" s="1">
        <v>1047.1600000000001</v>
      </c>
      <c r="M1069" s="1">
        <v>209.8</v>
      </c>
      <c r="N1069" s="1" t="s">
        <v>2089</v>
      </c>
    </row>
    <row r="1070" spans="1:14">
      <c r="A1070" s="1" t="s">
        <v>1082</v>
      </c>
      <c r="B1070" s="2">
        <v>45682</v>
      </c>
      <c r="C1070" s="1" t="s">
        <v>2027</v>
      </c>
      <c r="D1070" s="1" t="s">
        <v>2032</v>
      </c>
      <c r="E1070" s="1" t="s">
        <v>2045</v>
      </c>
      <c r="F1070" s="1" t="s">
        <v>2050</v>
      </c>
      <c r="G1070" s="1" t="s">
        <v>2056</v>
      </c>
      <c r="H1070" s="1" t="s">
        <v>2086</v>
      </c>
      <c r="I1070" s="1">
        <v>1</v>
      </c>
      <c r="J1070" s="1">
        <v>2977.83</v>
      </c>
      <c r="K1070" s="1">
        <v>15.62</v>
      </c>
      <c r="L1070" s="1">
        <v>2512.69</v>
      </c>
      <c r="M1070" s="1">
        <v>537.33000000000004</v>
      </c>
      <c r="N1070" s="1" t="s">
        <v>2092</v>
      </c>
    </row>
    <row r="1071" spans="1:14">
      <c r="A1071" s="1" t="s">
        <v>1083</v>
      </c>
      <c r="B1071" s="2">
        <v>45682</v>
      </c>
      <c r="C1071" s="1" t="s">
        <v>2028</v>
      </c>
      <c r="D1071" s="1" t="s">
        <v>2033</v>
      </c>
      <c r="E1071" s="1" t="s">
        <v>2048</v>
      </c>
      <c r="F1071" s="1" t="s">
        <v>2052</v>
      </c>
      <c r="G1071" s="1" t="s">
        <v>2059</v>
      </c>
      <c r="H1071" s="1" t="s">
        <v>2087</v>
      </c>
      <c r="I1071" s="1">
        <v>8</v>
      </c>
      <c r="J1071" s="1">
        <v>4625.16</v>
      </c>
      <c r="K1071" s="1">
        <v>12.24</v>
      </c>
      <c r="L1071" s="1">
        <v>32472.32</v>
      </c>
      <c r="M1071" s="1">
        <v>7204.51</v>
      </c>
      <c r="N1071" s="1" t="s">
        <v>2088</v>
      </c>
    </row>
    <row r="1072" spans="1:14">
      <c r="A1072" s="1" t="s">
        <v>1084</v>
      </c>
      <c r="B1072" s="2">
        <v>45682</v>
      </c>
      <c r="C1072" s="1" t="s">
        <v>2022</v>
      </c>
      <c r="D1072" s="1" t="s">
        <v>2034</v>
      </c>
      <c r="E1072" s="1" t="s">
        <v>2046</v>
      </c>
      <c r="F1072" s="1" t="s">
        <v>2054</v>
      </c>
      <c r="G1072" s="1" t="s">
        <v>2066</v>
      </c>
      <c r="H1072" s="1" t="s">
        <v>2087</v>
      </c>
      <c r="I1072" s="1">
        <v>5</v>
      </c>
      <c r="J1072" s="1">
        <v>79456.52</v>
      </c>
      <c r="K1072" s="1">
        <v>3.18</v>
      </c>
      <c r="L1072" s="1">
        <v>384649.01</v>
      </c>
      <c r="M1072" s="1">
        <v>41643.370000000003</v>
      </c>
      <c r="N1072" s="1" t="s">
        <v>2089</v>
      </c>
    </row>
    <row r="1073" spans="1:14">
      <c r="A1073" s="1" t="s">
        <v>1085</v>
      </c>
      <c r="B1073" s="2">
        <v>45683</v>
      </c>
      <c r="C1073" s="1" t="s">
        <v>2026</v>
      </c>
      <c r="D1073" s="1" t="s">
        <v>2035</v>
      </c>
      <c r="E1073" s="1" t="s">
        <v>2046</v>
      </c>
      <c r="F1073" s="1" t="s">
        <v>2053</v>
      </c>
      <c r="G1073" s="1" t="s">
        <v>2076</v>
      </c>
      <c r="H1073" s="1" t="s">
        <v>2087</v>
      </c>
      <c r="I1073" s="1">
        <v>1</v>
      </c>
      <c r="J1073" s="1">
        <v>2126.85</v>
      </c>
      <c r="K1073" s="1">
        <v>17.47</v>
      </c>
      <c r="L1073" s="1">
        <v>1755.29</v>
      </c>
      <c r="M1073" s="1">
        <v>520.47</v>
      </c>
      <c r="N1073" s="1" t="s">
        <v>2090</v>
      </c>
    </row>
    <row r="1074" spans="1:14">
      <c r="A1074" s="1" t="s">
        <v>1086</v>
      </c>
      <c r="B1074" s="2">
        <v>45683</v>
      </c>
      <c r="C1074" s="1" t="s">
        <v>2018</v>
      </c>
      <c r="D1074" s="1" t="s">
        <v>2036</v>
      </c>
      <c r="E1074" s="1" t="s">
        <v>2045</v>
      </c>
      <c r="F1074" s="1" t="s">
        <v>2054</v>
      </c>
      <c r="G1074" s="1" t="s">
        <v>2079</v>
      </c>
      <c r="H1074" s="1" t="s">
        <v>2085</v>
      </c>
      <c r="I1074" s="1">
        <v>10</v>
      </c>
      <c r="J1074" s="1">
        <v>23035.16</v>
      </c>
      <c r="K1074" s="1">
        <v>20.6</v>
      </c>
      <c r="L1074" s="1">
        <v>182899.17</v>
      </c>
      <c r="M1074" s="1">
        <v>39973.51</v>
      </c>
      <c r="N1074" s="1" t="s">
        <v>2090</v>
      </c>
    </row>
    <row r="1075" spans="1:14">
      <c r="A1075" s="1" t="s">
        <v>1087</v>
      </c>
      <c r="B1075" s="2">
        <v>45683</v>
      </c>
      <c r="C1075" s="1" t="s">
        <v>2027</v>
      </c>
      <c r="D1075" s="1" t="s">
        <v>2037</v>
      </c>
      <c r="E1075" s="1" t="s">
        <v>2044</v>
      </c>
      <c r="F1075" s="1" t="s">
        <v>2052</v>
      </c>
      <c r="G1075" s="1" t="s">
        <v>2072</v>
      </c>
      <c r="H1075" s="1" t="s">
        <v>2085</v>
      </c>
      <c r="I1075" s="1">
        <v>3</v>
      </c>
      <c r="J1075" s="1">
        <v>9480.99</v>
      </c>
      <c r="K1075" s="1">
        <v>15.15</v>
      </c>
      <c r="L1075" s="1">
        <v>24133.86</v>
      </c>
      <c r="M1075" s="1">
        <v>6559.02</v>
      </c>
      <c r="N1075" s="1" t="s">
        <v>2090</v>
      </c>
    </row>
    <row r="1076" spans="1:14">
      <c r="A1076" s="1" t="s">
        <v>1088</v>
      </c>
      <c r="B1076" s="2">
        <v>45684</v>
      </c>
      <c r="C1076" s="1" t="s">
        <v>2016</v>
      </c>
      <c r="D1076" s="1" t="s">
        <v>2038</v>
      </c>
      <c r="E1076" s="1" t="s">
        <v>2048</v>
      </c>
      <c r="F1076" s="1" t="s">
        <v>2049</v>
      </c>
      <c r="G1076" s="1" t="s">
        <v>2055</v>
      </c>
      <c r="H1076" s="1" t="s">
        <v>2087</v>
      </c>
      <c r="I1076" s="1">
        <v>9</v>
      </c>
      <c r="J1076" s="1">
        <v>1631.77</v>
      </c>
      <c r="K1076" s="1">
        <v>13.47</v>
      </c>
      <c r="L1076" s="1">
        <v>12707.74</v>
      </c>
      <c r="M1076" s="1">
        <v>2033.62</v>
      </c>
      <c r="N1076" s="1" t="s">
        <v>2088</v>
      </c>
    </row>
    <row r="1077" spans="1:14">
      <c r="A1077" s="1" t="s">
        <v>1089</v>
      </c>
      <c r="B1077" s="2">
        <v>45684</v>
      </c>
      <c r="C1077" s="1" t="s">
        <v>2028</v>
      </c>
      <c r="D1077" s="1" t="s">
        <v>2039</v>
      </c>
      <c r="E1077" s="1" t="s">
        <v>2045</v>
      </c>
      <c r="F1077" s="1" t="s">
        <v>2053</v>
      </c>
      <c r="G1077" s="1" t="s">
        <v>2060</v>
      </c>
      <c r="H1077" s="1" t="s">
        <v>2086</v>
      </c>
      <c r="I1077" s="1">
        <v>3</v>
      </c>
      <c r="J1077" s="1">
        <v>2405.75</v>
      </c>
      <c r="K1077" s="1">
        <v>14.99</v>
      </c>
      <c r="L1077" s="1">
        <v>6135.38</v>
      </c>
      <c r="M1077" s="1">
        <v>478.71</v>
      </c>
      <c r="N1077" s="1" t="s">
        <v>2092</v>
      </c>
    </row>
    <row r="1078" spans="1:14">
      <c r="A1078" s="1" t="s">
        <v>1090</v>
      </c>
      <c r="B1078" s="2">
        <v>45684</v>
      </c>
      <c r="C1078" s="1" t="s">
        <v>2025</v>
      </c>
      <c r="D1078" s="1" t="s">
        <v>2040</v>
      </c>
      <c r="E1078" s="1" t="s">
        <v>2044</v>
      </c>
      <c r="F1078" s="1" t="s">
        <v>2051</v>
      </c>
      <c r="G1078" s="1" t="s">
        <v>2057</v>
      </c>
      <c r="H1078" s="1" t="s">
        <v>2087</v>
      </c>
      <c r="I1078" s="1">
        <v>2</v>
      </c>
      <c r="J1078" s="1">
        <v>17915.22</v>
      </c>
      <c r="K1078" s="1">
        <v>12.36</v>
      </c>
      <c r="L1078" s="1">
        <v>31401.8</v>
      </c>
      <c r="M1078" s="1">
        <v>1849.66</v>
      </c>
      <c r="N1078" s="1" t="s">
        <v>2092</v>
      </c>
    </row>
    <row r="1079" spans="1:14">
      <c r="A1079" s="1" t="s">
        <v>1091</v>
      </c>
      <c r="B1079" s="2">
        <v>45685</v>
      </c>
      <c r="C1079" s="1" t="s">
        <v>2027</v>
      </c>
      <c r="D1079" s="1" t="s">
        <v>2041</v>
      </c>
      <c r="E1079" s="1" t="s">
        <v>2046</v>
      </c>
      <c r="F1079" s="1" t="s">
        <v>2050</v>
      </c>
      <c r="G1079" s="1" t="s">
        <v>2056</v>
      </c>
      <c r="H1079" s="1" t="s">
        <v>2086</v>
      </c>
      <c r="I1079" s="1">
        <v>7</v>
      </c>
      <c r="J1079" s="1">
        <v>2242.12</v>
      </c>
      <c r="K1079" s="1">
        <v>24.32</v>
      </c>
      <c r="L1079" s="1">
        <v>11877.85</v>
      </c>
      <c r="M1079" s="1">
        <v>3406.48</v>
      </c>
      <c r="N1079" s="1" t="s">
        <v>2092</v>
      </c>
    </row>
    <row r="1080" spans="1:14">
      <c r="A1080" s="1" t="s">
        <v>1092</v>
      </c>
      <c r="B1080" s="2">
        <v>45685</v>
      </c>
      <c r="C1080" s="1" t="s">
        <v>2025</v>
      </c>
      <c r="D1080" s="1" t="s">
        <v>2042</v>
      </c>
      <c r="E1080" s="1" t="s">
        <v>2045</v>
      </c>
      <c r="F1080" s="1" t="s">
        <v>2050</v>
      </c>
      <c r="G1080" s="1" t="s">
        <v>2075</v>
      </c>
      <c r="H1080" s="1" t="s">
        <v>2085</v>
      </c>
      <c r="I1080" s="1">
        <v>3</v>
      </c>
      <c r="J1080" s="1">
        <v>5766.48</v>
      </c>
      <c r="K1080" s="1">
        <v>16.010000000000002</v>
      </c>
      <c r="L1080" s="1">
        <v>14529.8</v>
      </c>
      <c r="M1080" s="1">
        <v>1248.96</v>
      </c>
      <c r="N1080" s="1" t="s">
        <v>2089</v>
      </c>
    </row>
    <row r="1081" spans="1:14">
      <c r="A1081" s="1" t="s">
        <v>1093</v>
      </c>
      <c r="B1081" s="2">
        <v>45686</v>
      </c>
      <c r="C1081" s="1" t="s">
        <v>2016</v>
      </c>
      <c r="D1081" s="1" t="s">
        <v>2043</v>
      </c>
      <c r="E1081" s="1" t="s">
        <v>2045</v>
      </c>
      <c r="F1081" s="1" t="s">
        <v>2050</v>
      </c>
      <c r="G1081" s="1" t="s">
        <v>2084</v>
      </c>
      <c r="H1081" s="1" t="s">
        <v>2086</v>
      </c>
      <c r="I1081" s="1">
        <v>6</v>
      </c>
      <c r="J1081" s="1">
        <v>5586.62</v>
      </c>
      <c r="K1081" s="1">
        <v>12.5</v>
      </c>
      <c r="L1081" s="1">
        <v>29329.759999999998</v>
      </c>
      <c r="M1081" s="1">
        <v>6221.77</v>
      </c>
      <c r="N1081" s="1" t="s">
        <v>2092</v>
      </c>
    </row>
    <row r="1082" spans="1:14">
      <c r="A1082" s="1" t="s">
        <v>1094</v>
      </c>
      <c r="B1082" s="2">
        <v>45686</v>
      </c>
      <c r="C1082" s="1" t="s">
        <v>2027</v>
      </c>
      <c r="D1082" s="1" t="s">
        <v>2029</v>
      </c>
      <c r="E1082" s="1" t="s">
        <v>2048</v>
      </c>
      <c r="F1082" s="1" t="s">
        <v>2054</v>
      </c>
      <c r="G1082" s="1" t="s">
        <v>2079</v>
      </c>
      <c r="H1082" s="1" t="s">
        <v>2087</v>
      </c>
      <c r="I1082" s="1">
        <v>10</v>
      </c>
      <c r="J1082" s="1">
        <v>52833.56</v>
      </c>
      <c r="K1082" s="1">
        <v>7.91</v>
      </c>
      <c r="L1082" s="1">
        <v>486544.25</v>
      </c>
      <c r="M1082" s="1">
        <v>25795.35</v>
      </c>
      <c r="N1082" s="1" t="s">
        <v>2089</v>
      </c>
    </row>
    <row r="1083" spans="1:14">
      <c r="A1083" s="1" t="s">
        <v>1095</v>
      </c>
      <c r="B1083" s="2">
        <v>45686</v>
      </c>
      <c r="C1083" s="1" t="s">
        <v>2018</v>
      </c>
      <c r="D1083" s="1" t="s">
        <v>2030</v>
      </c>
      <c r="E1083" s="1" t="s">
        <v>2048</v>
      </c>
      <c r="F1083" s="1" t="s">
        <v>2049</v>
      </c>
      <c r="G1083" s="1" t="s">
        <v>2058</v>
      </c>
      <c r="H1083" s="1" t="s">
        <v>2085</v>
      </c>
      <c r="I1083" s="1">
        <v>3</v>
      </c>
      <c r="J1083" s="1">
        <v>1405.51</v>
      </c>
      <c r="K1083" s="1">
        <v>10.5</v>
      </c>
      <c r="L1083" s="1">
        <v>3773.79</v>
      </c>
      <c r="M1083" s="1">
        <v>780.71</v>
      </c>
      <c r="N1083" s="1" t="s">
        <v>2088</v>
      </c>
    </row>
    <row r="1084" spans="1:14">
      <c r="A1084" s="1" t="s">
        <v>1096</v>
      </c>
      <c r="B1084" s="2">
        <v>45687</v>
      </c>
      <c r="C1084" s="1" t="s">
        <v>2015</v>
      </c>
      <c r="D1084" s="1" t="s">
        <v>2031</v>
      </c>
      <c r="E1084" s="1" t="s">
        <v>2047</v>
      </c>
      <c r="F1084" s="1" t="s">
        <v>2053</v>
      </c>
      <c r="G1084" s="1" t="s">
        <v>2076</v>
      </c>
      <c r="H1084" s="1" t="s">
        <v>2087</v>
      </c>
      <c r="I1084" s="1">
        <v>6</v>
      </c>
      <c r="J1084" s="1">
        <v>262.70999999999998</v>
      </c>
      <c r="K1084" s="1">
        <v>21.71</v>
      </c>
      <c r="L1084" s="1">
        <v>1234.05</v>
      </c>
      <c r="M1084" s="1">
        <v>310.35000000000002</v>
      </c>
      <c r="N1084" s="1" t="s">
        <v>2090</v>
      </c>
    </row>
    <row r="1085" spans="1:14">
      <c r="A1085" s="1" t="s">
        <v>1097</v>
      </c>
      <c r="B1085" s="2">
        <v>45687</v>
      </c>
      <c r="C1085" s="1" t="s">
        <v>2021</v>
      </c>
      <c r="D1085" s="1" t="s">
        <v>2032</v>
      </c>
      <c r="E1085" s="1" t="s">
        <v>2048</v>
      </c>
      <c r="F1085" s="1" t="s">
        <v>2050</v>
      </c>
      <c r="G1085" s="1" t="s">
        <v>2075</v>
      </c>
      <c r="H1085" s="1" t="s">
        <v>2085</v>
      </c>
      <c r="I1085" s="1">
        <v>3</v>
      </c>
      <c r="J1085" s="1">
        <v>6808.24</v>
      </c>
      <c r="K1085" s="1">
        <v>15.76</v>
      </c>
      <c r="L1085" s="1">
        <v>17205.78</v>
      </c>
      <c r="M1085" s="1">
        <v>3834.76</v>
      </c>
      <c r="N1085" s="1" t="s">
        <v>2090</v>
      </c>
    </row>
    <row r="1086" spans="1:14">
      <c r="A1086" s="1" t="s">
        <v>1098</v>
      </c>
      <c r="B1086" s="2">
        <v>45687</v>
      </c>
      <c r="C1086" s="1" t="s">
        <v>2023</v>
      </c>
      <c r="D1086" s="1" t="s">
        <v>2033</v>
      </c>
      <c r="E1086" s="1" t="s">
        <v>2046</v>
      </c>
      <c r="F1086" s="1" t="s">
        <v>2051</v>
      </c>
      <c r="G1086" s="1" t="s">
        <v>2069</v>
      </c>
      <c r="H1086" s="1" t="s">
        <v>2087</v>
      </c>
      <c r="I1086" s="1">
        <v>1</v>
      </c>
      <c r="J1086" s="1">
        <v>37761.51</v>
      </c>
      <c r="K1086" s="1">
        <v>24.97</v>
      </c>
      <c r="L1086" s="1">
        <v>28332.46</v>
      </c>
      <c r="M1086" s="1">
        <v>5832.17</v>
      </c>
      <c r="N1086" s="1" t="s">
        <v>2088</v>
      </c>
    </row>
    <row r="1087" spans="1:14">
      <c r="A1087" s="1" t="s">
        <v>1099</v>
      </c>
      <c r="B1087" s="2">
        <v>45688</v>
      </c>
      <c r="C1087" s="1" t="s">
        <v>2028</v>
      </c>
      <c r="D1087" s="1" t="s">
        <v>2034</v>
      </c>
      <c r="E1087" s="1" t="s">
        <v>2046</v>
      </c>
      <c r="F1087" s="1" t="s">
        <v>2050</v>
      </c>
      <c r="G1087" s="1" t="s">
        <v>2056</v>
      </c>
      <c r="H1087" s="1" t="s">
        <v>2087</v>
      </c>
      <c r="I1087" s="1">
        <v>8</v>
      </c>
      <c r="J1087" s="1">
        <v>6509.3</v>
      </c>
      <c r="K1087" s="1">
        <v>15.31</v>
      </c>
      <c r="L1087" s="1">
        <v>44101.81</v>
      </c>
      <c r="M1087" s="1">
        <v>12981.64</v>
      </c>
      <c r="N1087" s="1" t="s">
        <v>2091</v>
      </c>
    </row>
    <row r="1088" spans="1:14">
      <c r="A1088" s="1" t="s">
        <v>1100</v>
      </c>
      <c r="B1088" s="2">
        <v>45688</v>
      </c>
      <c r="C1088" s="1" t="s">
        <v>2017</v>
      </c>
      <c r="D1088" s="1" t="s">
        <v>2035</v>
      </c>
      <c r="E1088" s="1" t="s">
        <v>2047</v>
      </c>
      <c r="F1088" s="1" t="s">
        <v>2050</v>
      </c>
      <c r="G1088" s="1" t="s">
        <v>2056</v>
      </c>
      <c r="H1088" s="1" t="s">
        <v>2085</v>
      </c>
      <c r="I1088" s="1">
        <v>5</v>
      </c>
      <c r="J1088" s="1">
        <v>2514.16</v>
      </c>
      <c r="K1088" s="1">
        <v>4.8099999999999996</v>
      </c>
      <c r="L1088" s="1">
        <v>11966.14</v>
      </c>
      <c r="M1088" s="1">
        <v>1442.39</v>
      </c>
      <c r="N1088" s="1" t="s">
        <v>2089</v>
      </c>
    </row>
    <row r="1089" spans="1:14">
      <c r="A1089" s="1" t="s">
        <v>1101</v>
      </c>
      <c r="B1089" s="2">
        <v>45688</v>
      </c>
      <c r="C1089" s="1" t="s">
        <v>2020</v>
      </c>
      <c r="D1089" s="1" t="s">
        <v>2036</v>
      </c>
      <c r="E1089" s="1" t="s">
        <v>2047</v>
      </c>
      <c r="F1089" s="1" t="s">
        <v>2049</v>
      </c>
      <c r="G1089" s="1" t="s">
        <v>2071</v>
      </c>
      <c r="H1089" s="1" t="s">
        <v>2085</v>
      </c>
      <c r="I1089" s="1">
        <v>4</v>
      </c>
      <c r="J1089" s="1">
        <v>2293.9499999999998</v>
      </c>
      <c r="K1089" s="1">
        <v>14.42</v>
      </c>
      <c r="L1089" s="1">
        <v>7852.65</v>
      </c>
      <c r="M1089" s="1">
        <v>2221.4499999999998</v>
      </c>
      <c r="N1089" s="1" t="s">
        <v>2091</v>
      </c>
    </row>
    <row r="1090" spans="1:14">
      <c r="A1090" s="1" t="s">
        <v>1102</v>
      </c>
      <c r="B1090" s="2">
        <v>45689</v>
      </c>
      <c r="C1090" s="1" t="s">
        <v>2028</v>
      </c>
      <c r="D1090" s="1" t="s">
        <v>2037</v>
      </c>
      <c r="E1090" s="1" t="s">
        <v>2045</v>
      </c>
      <c r="F1090" s="1" t="s">
        <v>2052</v>
      </c>
      <c r="G1090" s="1" t="s">
        <v>2078</v>
      </c>
      <c r="H1090" s="1" t="s">
        <v>2087</v>
      </c>
      <c r="I1090" s="1">
        <v>6</v>
      </c>
      <c r="J1090" s="1">
        <v>8575.25</v>
      </c>
      <c r="K1090" s="1">
        <v>6.91</v>
      </c>
      <c r="L1090" s="1">
        <v>47896.2</v>
      </c>
      <c r="M1090" s="1">
        <v>6317.11</v>
      </c>
      <c r="N1090" s="1" t="s">
        <v>2088</v>
      </c>
    </row>
    <row r="1091" spans="1:14">
      <c r="A1091" s="1" t="s">
        <v>1103</v>
      </c>
      <c r="B1091" s="2">
        <v>45689</v>
      </c>
      <c r="C1091" s="1" t="s">
        <v>2021</v>
      </c>
      <c r="D1091" s="1" t="s">
        <v>2038</v>
      </c>
      <c r="E1091" s="1" t="s">
        <v>2048</v>
      </c>
      <c r="F1091" s="1" t="s">
        <v>2054</v>
      </c>
      <c r="G1091" s="1" t="s">
        <v>2079</v>
      </c>
      <c r="H1091" s="1" t="s">
        <v>2085</v>
      </c>
      <c r="I1091" s="1">
        <v>10</v>
      </c>
      <c r="J1091" s="1">
        <v>47435.29</v>
      </c>
      <c r="K1091" s="1">
        <v>2.1</v>
      </c>
      <c r="L1091" s="1">
        <v>464391.49</v>
      </c>
      <c r="M1091" s="1">
        <v>26272.68</v>
      </c>
      <c r="N1091" s="1" t="s">
        <v>2090</v>
      </c>
    </row>
    <row r="1092" spans="1:14">
      <c r="A1092" s="1" t="s">
        <v>1104</v>
      </c>
      <c r="B1092" s="2">
        <v>45690</v>
      </c>
      <c r="C1092" s="1" t="s">
        <v>2024</v>
      </c>
      <c r="D1092" s="1" t="s">
        <v>2039</v>
      </c>
      <c r="E1092" s="1" t="s">
        <v>2046</v>
      </c>
      <c r="F1092" s="1" t="s">
        <v>2050</v>
      </c>
      <c r="G1092" s="1" t="s">
        <v>2070</v>
      </c>
      <c r="H1092" s="1" t="s">
        <v>2086</v>
      </c>
      <c r="I1092" s="1">
        <v>7</v>
      </c>
      <c r="J1092" s="1">
        <v>5726.93</v>
      </c>
      <c r="K1092" s="1">
        <v>10.17</v>
      </c>
      <c r="L1092" s="1">
        <v>36011.51</v>
      </c>
      <c r="M1092" s="1">
        <v>2800.46</v>
      </c>
      <c r="N1092" s="1" t="s">
        <v>2092</v>
      </c>
    </row>
    <row r="1093" spans="1:14">
      <c r="A1093" s="1" t="s">
        <v>1105</v>
      </c>
      <c r="B1093" s="2">
        <v>45690</v>
      </c>
      <c r="C1093" s="1" t="s">
        <v>2022</v>
      </c>
      <c r="D1093" s="1" t="s">
        <v>2040</v>
      </c>
      <c r="E1093" s="1" t="s">
        <v>2045</v>
      </c>
      <c r="F1093" s="1" t="s">
        <v>2052</v>
      </c>
      <c r="G1093" s="1" t="s">
        <v>2078</v>
      </c>
      <c r="H1093" s="1" t="s">
        <v>2087</v>
      </c>
      <c r="I1093" s="1">
        <v>4</v>
      </c>
      <c r="J1093" s="1">
        <v>3226.84</v>
      </c>
      <c r="K1093" s="1">
        <v>19.77</v>
      </c>
      <c r="L1093" s="1">
        <v>10355.57</v>
      </c>
      <c r="M1093" s="1">
        <v>1984.24</v>
      </c>
      <c r="N1093" s="1" t="s">
        <v>2089</v>
      </c>
    </row>
    <row r="1094" spans="1:14">
      <c r="A1094" s="1" t="s">
        <v>1106</v>
      </c>
      <c r="B1094" s="2">
        <v>45690</v>
      </c>
      <c r="C1094" s="1" t="s">
        <v>2025</v>
      </c>
      <c r="D1094" s="1" t="s">
        <v>2041</v>
      </c>
      <c r="E1094" s="1" t="s">
        <v>2046</v>
      </c>
      <c r="F1094" s="1" t="s">
        <v>2053</v>
      </c>
      <c r="G1094" s="1" t="s">
        <v>2060</v>
      </c>
      <c r="H1094" s="1" t="s">
        <v>2087</v>
      </c>
      <c r="I1094" s="1">
        <v>10</v>
      </c>
      <c r="J1094" s="1">
        <v>2249.9499999999998</v>
      </c>
      <c r="K1094" s="1">
        <v>1.73</v>
      </c>
      <c r="L1094" s="1">
        <v>22110.26</v>
      </c>
      <c r="M1094" s="1">
        <v>1882.98</v>
      </c>
      <c r="N1094" s="1" t="s">
        <v>2088</v>
      </c>
    </row>
    <row r="1095" spans="1:14">
      <c r="A1095" s="1" t="s">
        <v>1107</v>
      </c>
      <c r="B1095" s="2">
        <v>45691</v>
      </c>
      <c r="C1095" s="1" t="s">
        <v>2015</v>
      </c>
      <c r="D1095" s="1" t="s">
        <v>2042</v>
      </c>
      <c r="E1095" s="1" t="s">
        <v>2047</v>
      </c>
      <c r="F1095" s="1" t="s">
        <v>2051</v>
      </c>
      <c r="G1095" s="1" t="s">
        <v>2077</v>
      </c>
      <c r="H1095" s="1" t="s">
        <v>2087</v>
      </c>
      <c r="I1095" s="1">
        <v>10</v>
      </c>
      <c r="J1095" s="1">
        <v>19588.2</v>
      </c>
      <c r="K1095" s="1">
        <v>22.91</v>
      </c>
      <c r="L1095" s="1">
        <v>151005.43</v>
      </c>
      <c r="M1095" s="1">
        <v>17300.099999999999</v>
      </c>
      <c r="N1095" s="1" t="s">
        <v>2088</v>
      </c>
    </row>
    <row r="1096" spans="1:14">
      <c r="A1096" s="1" t="s">
        <v>1108</v>
      </c>
      <c r="B1096" s="2">
        <v>45691</v>
      </c>
      <c r="C1096" s="1" t="s">
        <v>2016</v>
      </c>
      <c r="D1096" s="1" t="s">
        <v>2043</v>
      </c>
      <c r="E1096" s="1" t="s">
        <v>2044</v>
      </c>
      <c r="F1096" s="1" t="s">
        <v>2052</v>
      </c>
      <c r="G1096" s="1" t="s">
        <v>2065</v>
      </c>
      <c r="H1096" s="1" t="s">
        <v>2087</v>
      </c>
      <c r="I1096" s="1">
        <v>9</v>
      </c>
      <c r="J1096" s="1">
        <v>596.99</v>
      </c>
      <c r="K1096" s="1">
        <v>3.69</v>
      </c>
      <c r="L1096" s="1">
        <v>5174.6499999999996</v>
      </c>
      <c r="M1096" s="1">
        <v>521.44000000000005</v>
      </c>
      <c r="N1096" s="1" t="s">
        <v>2088</v>
      </c>
    </row>
    <row r="1097" spans="1:14">
      <c r="A1097" s="1" t="s">
        <v>1109</v>
      </c>
      <c r="B1097" s="2">
        <v>45691</v>
      </c>
      <c r="C1097" s="1" t="s">
        <v>2020</v>
      </c>
      <c r="D1097" s="1" t="s">
        <v>2029</v>
      </c>
      <c r="E1097" s="1" t="s">
        <v>2045</v>
      </c>
      <c r="F1097" s="1" t="s">
        <v>2054</v>
      </c>
      <c r="G1097" s="1" t="s">
        <v>2063</v>
      </c>
      <c r="H1097" s="1" t="s">
        <v>2087</v>
      </c>
      <c r="I1097" s="1">
        <v>4</v>
      </c>
      <c r="J1097" s="1">
        <v>47101.5</v>
      </c>
      <c r="K1097" s="1">
        <v>10.72</v>
      </c>
      <c r="L1097" s="1">
        <v>168208.88</v>
      </c>
      <c r="M1097" s="1">
        <v>32676.82</v>
      </c>
      <c r="N1097" s="1" t="s">
        <v>2092</v>
      </c>
    </row>
    <row r="1098" spans="1:14">
      <c r="A1098" s="1" t="s">
        <v>1110</v>
      </c>
      <c r="B1098" s="2">
        <v>45692</v>
      </c>
      <c r="C1098" s="1" t="s">
        <v>2022</v>
      </c>
      <c r="D1098" s="1" t="s">
        <v>2030</v>
      </c>
      <c r="E1098" s="1" t="s">
        <v>2044</v>
      </c>
      <c r="F1098" s="1" t="s">
        <v>2050</v>
      </c>
      <c r="G1098" s="1" t="s">
        <v>2056</v>
      </c>
      <c r="H1098" s="1" t="s">
        <v>2087</v>
      </c>
      <c r="I1098" s="1">
        <v>6</v>
      </c>
      <c r="J1098" s="1">
        <v>6782.87</v>
      </c>
      <c r="K1098" s="1">
        <v>17.5</v>
      </c>
      <c r="L1098" s="1">
        <v>33575.21</v>
      </c>
      <c r="M1098" s="1">
        <v>2195.46</v>
      </c>
      <c r="N1098" s="1" t="s">
        <v>2092</v>
      </c>
    </row>
    <row r="1099" spans="1:14">
      <c r="A1099" s="1" t="s">
        <v>1111</v>
      </c>
      <c r="B1099" s="2">
        <v>45692</v>
      </c>
      <c r="C1099" s="1" t="s">
        <v>2019</v>
      </c>
      <c r="D1099" s="1" t="s">
        <v>2031</v>
      </c>
      <c r="E1099" s="1" t="s">
        <v>2047</v>
      </c>
      <c r="F1099" s="1" t="s">
        <v>2053</v>
      </c>
      <c r="G1099" s="1" t="s">
        <v>2076</v>
      </c>
      <c r="H1099" s="1" t="s">
        <v>2087</v>
      </c>
      <c r="I1099" s="1">
        <v>5</v>
      </c>
      <c r="J1099" s="1">
        <v>2015.86</v>
      </c>
      <c r="K1099" s="1">
        <v>23.5</v>
      </c>
      <c r="L1099" s="1">
        <v>7710.66</v>
      </c>
      <c r="M1099" s="1">
        <v>1064.6500000000001</v>
      </c>
      <c r="N1099" s="1" t="s">
        <v>2090</v>
      </c>
    </row>
    <row r="1100" spans="1:14">
      <c r="A1100" s="1" t="s">
        <v>1112</v>
      </c>
      <c r="B1100" s="2">
        <v>45692</v>
      </c>
      <c r="C1100" s="1" t="s">
        <v>2028</v>
      </c>
      <c r="D1100" s="1" t="s">
        <v>2032</v>
      </c>
      <c r="E1100" s="1" t="s">
        <v>2045</v>
      </c>
      <c r="F1100" s="1" t="s">
        <v>2054</v>
      </c>
      <c r="G1100" s="1" t="s">
        <v>2081</v>
      </c>
      <c r="H1100" s="1" t="s">
        <v>2087</v>
      </c>
      <c r="I1100" s="1">
        <v>4</v>
      </c>
      <c r="J1100" s="1">
        <v>58730.14</v>
      </c>
      <c r="K1100" s="1">
        <v>27.99</v>
      </c>
      <c r="L1100" s="1">
        <v>169166.3</v>
      </c>
      <c r="M1100" s="1">
        <v>36252.239999999998</v>
      </c>
      <c r="N1100" s="1" t="s">
        <v>2090</v>
      </c>
    </row>
    <row r="1101" spans="1:14">
      <c r="A1101" s="1" t="s">
        <v>1113</v>
      </c>
      <c r="B1101" s="2">
        <v>45693</v>
      </c>
      <c r="C1101" s="1" t="s">
        <v>2022</v>
      </c>
      <c r="D1101" s="1" t="s">
        <v>2033</v>
      </c>
      <c r="E1101" s="1" t="s">
        <v>2045</v>
      </c>
      <c r="F1101" s="1" t="s">
        <v>2054</v>
      </c>
      <c r="G1101" s="1" t="s">
        <v>2066</v>
      </c>
      <c r="H1101" s="1" t="s">
        <v>2086</v>
      </c>
      <c r="I1101" s="1">
        <v>7</v>
      </c>
      <c r="J1101" s="1">
        <v>11961.34</v>
      </c>
      <c r="K1101" s="1">
        <v>27.61</v>
      </c>
      <c r="L1101" s="1">
        <v>60611.7</v>
      </c>
      <c r="M1101" s="1">
        <v>9709.4699999999993</v>
      </c>
      <c r="N1101" s="1" t="s">
        <v>2088</v>
      </c>
    </row>
    <row r="1102" spans="1:14">
      <c r="A1102" s="1" t="s">
        <v>1114</v>
      </c>
      <c r="B1102" s="2">
        <v>45693</v>
      </c>
      <c r="C1102" s="1" t="s">
        <v>2015</v>
      </c>
      <c r="D1102" s="1" t="s">
        <v>2034</v>
      </c>
      <c r="E1102" s="1" t="s">
        <v>2044</v>
      </c>
      <c r="F1102" s="1" t="s">
        <v>2052</v>
      </c>
      <c r="G1102" s="1" t="s">
        <v>2083</v>
      </c>
      <c r="H1102" s="1" t="s">
        <v>2087</v>
      </c>
      <c r="I1102" s="1">
        <v>7</v>
      </c>
      <c r="J1102" s="1">
        <v>2539.91</v>
      </c>
      <c r="K1102" s="1">
        <v>25.07</v>
      </c>
      <c r="L1102" s="1">
        <v>13322.08</v>
      </c>
      <c r="M1102" s="1">
        <v>3276.96</v>
      </c>
      <c r="N1102" s="1" t="s">
        <v>2090</v>
      </c>
    </row>
    <row r="1103" spans="1:14">
      <c r="A1103" s="1" t="s">
        <v>1115</v>
      </c>
      <c r="B1103" s="2">
        <v>45694</v>
      </c>
      <c r="C1103" s="1" t="s">
        <v>2026</v>
      </c>
      <c r="D1103" s="1" t="s">
        <v>2035</v>
      </c>
      <c r="E1103" s="1" t="s">
        <v>2045</v>
      </c>
      <c r="F1103" s="1" t="s">
        <v>2050</v>
      </c>
      <c r="G1103" s="1" t="s">
        <v>2070</v>
      </c>
      <c r="H1103" s="1" t="s">
        <v>2086</v>
      </c>
      <c r="I1103" s="1">
        <v>7</v>
      </c>
      <c r="J1103" s="1">
        <v>5207.92</v>
      </c>
      <c r="K1103" s="1">
        <v>21.49</v>
      </c>
      <c r="L1103" s="1">
        <v>28621.17</v>
      </c>
      <c r="M1103" s="1">
        <v>3035.69</v>
      </c>
      <c r="N1103" s="1" t="s">
        <v>2089</v>
      </c>
    </row>
    <row r="1104" spans="1:14">
      <c r="A1104" s="1" t="s">
        <v>1116</v>
      </c>
      <c r="B1104" s="2">
        <v>45694</v>
      </c>
      <c r="C1104" s="1" t="s">
        <v>2019</v>
      </c>
      <c r="D1104" s="1" t="s">
        <v>2036</v>
      </c>
      <c r="E1104" s="1" t="s">
        <v>2047</v>
      </c>
      <c r="F1104" s="1" t="s">
        <v>2051</v>
      </c>
      <c r="G1104" s="1" t="s">
        <v>2080</v>
      </c>
      <c r="H1104" s="1" t="s">
        <v>2085</v>
      </c>
      <c r="I1104" s="1">
        <v>10</v>
      </c>
      <c r="J1104" s="1">
        <v>36682.269999999997</v>
      </c>
      <c r="K1104" s="1">
        <v>5.09</v>
      </c>
      <c r="L1104" s="1">
        <v>348151.42</v>
      </c>
      <c r="M1104" s="1">
        <v>88553.4</v>
      </c>
      <c r="N1104" s="1" t="s">
        <v>2091</v>
      </c>
    </row>
    <row r="1105" spans="1:14">
      <c r="A1105" s="1" t="s">
        <v>1117</v>
      </c>
      <c r="B1105" s="2">
        <v>45694</v>
      </c>
      <c r="C1105" s="1" t="s">
        <v>2025</v>
      </c>
      <c r="D1105" s="1" t="s">
        <v>2037</v>
      </c>
      <c r="E1105" s="1" t="s">
        <v>2046</v>
      </c>
      <c r="F1105" s="1" t="s">
        <v>2054</v>
      </c>
      <c r="G1105" s="1" t="s">
        <v>2079</v>
      </c>
      <c r="H1105" s="1" t="s">
        <v>2087</v>
      </c>
      <c r="I1105" s="1">
        <v>10</v>
      </c>
      <c r="J1105" s="1">
        <v>1078.19</v>
      </c>
      <c r="K1105" s="1">
        <v>1.83</v>
      </c>
      <c r="L1105" s="1">
        <v>10584.59</v>
      </c>
      <c r="M1105" s="1">
        <v>1664</v>
      </c>
      <c r="N1105" s="1" t="s">
        <v>2092</v>
      </c>
    </row>
    <row r="1106" spans="1:14">
      <c r="A1106" s="1" t="s">
        <v>1118</v>
      </c>
      <c r="B1106" s="2">
        <v>45695</v>
      </c>
      <c r="C1106" s="1" t="s">
        <v>2023</v>
      </c>
      <c r="D1106" s="1" t="s">
        <v>2038</v>
      </c>
      <c r="E1106" s="1" t="s">
        <v>2045</v>
      </c>
      <c r="F1106" s="1" t="s">
        <v>2050</v>
      </c>
      <c r="G1106" s="1" t="s">
        <v>2070</v>
      </c>
      <c r="H1106" s="1" t="s">
        <v>2086</v>
      </c>
      <c r="I1106" s="1">
        <v>7</v>
      </c>
      <c r="J1106" s="1">
        <v>4908.95</v>
      </c>
      <c r="K1106" s="1">
        <v>15.09</v>
      </c>
      <c r="L1106" s="1">
        <v>29177.33</v>
      </c>
      <c r="M1106" s="1">
        <v>1837.31</v>
      </c>
      <c r="N1106" s="1" t="s">
        <v>2088</v>
      </c>
    </row>
    <row r="1107" spans="1:14">
      <c r="A1107" s="1" t="s">
        <v>1119</v>
      </c>
      <c r="B1107" s="2">
        <v>45695</v>
      </c>
      <c r="C1107" s="1" t="s">
        <v>2024</v>
      </c>
      <c r="D1107" s="1" t="s">
        <v>2039</v>
      </c>
      <c r="E1107" s="1" t="s">
        <v>2045</v>
      </c>
      <c r="F1107" s="1" t="s">
        <v>2054</v>
      </c>
      <c r="G1107" s="1" t="s">
        <v>2081</v>
      </c>
      <c r="H1107" s="1" t="s">
        <v>2085</v>
      </c>
      <c r="I1107" s="1">
        <v>4</v>
      </c>
      <c r="J1107" s="1">
        <v>60557.26</v>
      </c>
      <c r="K1107" s="1">
        <v>18.2</v>
      </c>
      <c r="L1107" s="1">
        <v>198143.35</v>
      </c>
      <c r="M1107" s="1">
        <v>40955.43</v>
      </c>
      <c r="N1107" s="1" t="s">
        <v>2092</v>
      </c>
    </row>
    <row r="1108" spans="1:14">
      <c r="A1108" s="1" t="s">
        <v>1120</v>
      </c>
      <c r="B1108" s="2">
        <v>45695</v>
      </c>
      <c r="C1108" s="1" t="s">
        <v>2022</v>
      </c>
      <c r="D1108" s="1" t="s">
        <v>2040</v>
      </c>
      <c r="E1108" s="1" t="s">
        <v>2048</v>
      </c>
      <c r="F1108" s="1" t="s">
        <v>2051</v>
      </c>
      <c r="G1108" s="1" t="s">
        <v>2061</v>
      </c>
      <c r="H1108" s="1" t="s">
        <v>2085</v>
      </c>
      <c r="I1108" s="1">
        <v>7</v>
      </c>
      <c r="J1108" s="1">
        <v>31300.91</v>
      </c>
      <c r="K1108" s="1">
        <v>26.17</v>
      </c>
      <c r="L1108" s="1">
        <v>161766.23000000001</v>
      </c>
      <c r="M1108" s="1">
        <v>16809.12</v>
      </c>
      <c r="N1108" s="1" t="s">
        <v>2090</v>
      </c>
    </row>
    <row r="1109" spans="1:14">
      <c r="A1109" s="1" t="s">
        <v>1121</v>
      </c>
      <c r="B1109" s="2">
        <v>45696</v>
      </c>
      <c r="C1109" s="1" t="s">
        <v>2028</v>
      </c>
      <c r="D1109" s="1" t="s">
        <v>2041</v>
      </c>
      <c r="E1109" s="1" t="s">
        <v>2048</v>
      </c>
      <c r="F1109" s="1" t="s">
        <v>2049</v>
      </c>
      <c r="G1109" s="1" t="s">
        <v>2071</v>
      </c>
      <c r="H1109" s="1" t="s">
        <v>2087</v>
      </c>
      <c r="I1109" s="1">
        <v>3</v>
      </c>
      <c r="J1109" s="1">
        <v>375.93</v>
      </c>
      <c r="K1109" s="1">
        <v>25.86</v>
      </c>
      <c r="L1109" s="1">
        <v>836.14</v>
      </c>
      <c r="M1109" s="1">
        <v>217.23</v>
      </c>
      <c r="N1109" s="1" t="s">
        <v>2089</v>
      </c>
    </row>
    <row r="1110" spans="1:14">
      <c r="A1110" s="1" t="s">
        <v>1122</v>
      </c>
      <c r="B1110" s="2">
        <v>45696</v>
      </c>
      <c r="C1110" s="1" t="s">
        <v>2014</v>
      </c>
      <c r="D1110" s="1" t="s">
        <v>2042</v>
      </c>
      <c r="E1110" s="1" t="s">
        <v>2046</v>
      </c>
      <c r="F1110" s="1" t="s">
        <v>2054</v>
      </c>
      <c r="G1110" s="1" t="s">
        <v>2081</v>
      </c>
      <c r="H1110" s="1" t="s">
        <v>2085</v>
      </c>
      <c r="I1110" s="1">
        <v>7</v>
      </c>
      <c r="J1110" s="1">
        <v>47599.040000000001</v>
      </c>
      <c r="K1110" s="1">
        <v>25.42</v>
      </c>
      <c r="L1110" s="1">
        <v>248495.55</v>
      </c>
      <c r="M1110" s="1">
        <v>34596.79</v>
      </c>
      <c r="N1110" s="1" t="s">
        <v>2088</v>
      </c>
    </row>
    <row r="1111" spans="1:14">
      <c r="A1111" s="1" t="s">
        <v>1123</v>
      </c>
      <c r="B1111" s="2">
        <v>45696</v>
      </c>
      <c r="C1111" s="1" t="s">
        <v>2026</v>
      </c>
      <c r="D1111" s="1" t="s">
        <v>2043</v>
      </c>
      <c r="E1111" s="1" t="s">
        <v>2046</v>
      </c>
      <c r="F1111" s="1" t="s">
        <v>2051</v>
      </c>
      <c r="G1111" s="1" t="s">
        <v>2061</v>
      </c>
      <c r="H1111" s="1" t="s">
        <v>2086</v>
      </c>
      <c r="I1111" s="1">
        <v>4</v>
      </c>
      <c r="J1111" s="1">
        <v>4432.24</v>
      </c>
      <c r="K1111" s="1">
        <v>26.81</v>
      </c>
      <c r="L1111" s="1">
        <v>12975.83</v>
      </c>
      <c r="M1111" s="1">
        <v>1911.56</v>
      </c>
      <c r="N1111" s="1" t="s">
        <v>2088</v>
      </c>
    </row>
    <row r="1112" spans="1:14">
      <c r="A1112" s="1" t="s">
        <v>1124</v>
      </c>
      <c r="B1112" s="2">
        <v>45697</v>
      </c>
      <c r="C1112" s="1" t="s">
        <v>2020</v>
      </c>
      <c r="D1112" s="1" t="s">
        <v>2029</v>
      </c>
      <c r="E1112" s="1" t="s">
        <v>2045</v>
      </c>
      <c r="F1112" s="1" t="s">
        <v>2049</v>
      </c>
      <c r="G1112" s="1" t="s">
        <v>2071</v>
      </c>
      <c r="H1112" s="1" t="s">
        <v>2086</v>
      </c>
      <c r="I1112" s="1">
        <v>3</v>
      </c>
      <c r="J1112" s="1">
        <v>977.44</v>
      </c>
      <c r="K1112" s="1">
        <v>24.3</v>
      </c>
      <c r="L1112" s="1">
        <v>2219.77</v>
      </c>
      <c r="M1112" s="1">
        <v>258.69</v>
      </c>
      <c r="N1112" s="1" t="s">
        <v>2090</v>
      </c>
    </row>
    <row r="1113" spans="1:14">
      <c r="A1113" s="1" t="s">
        <v>1125</v>
      </c>
      <c r="B1113" s="2">
        <v>45697</v>
      </c>
      <c r="C1113" s="1" t="s">
        <v>2026</v>
      </c>
      <c r="D1113" s="1" t="s">
        <v>2030</v>
      </c>
      <c r="E1113" s="1" t="s">
        <v>2045</v>
      </c>
      <c r="F1113" s="1" t="s">
        <v>2049</v>
      </c>
      <c r="G1113" s="1" t="s">
        <v>2082</v>
      </c>
      <c r="H1113" s="1" t="s">
        <v>2085</v>
      </c>
      <c r="I1113" s="1">
        <v>4</v>
      </c>
      <c r="J1113" s="1">
        <v>870.24</v>
      </c>
      <c r="K1113" s="1">
        <v>11.96</v>
      </c>
      <c r="L1113" s="1">
        <v>3064.64</v>
      </c>
      <c r="M1113" s="1">
        <v>283.58</v>
      </c>
      <c r="N1113" s="1" t="s">
        <v>2088</v>
      </c>
    </row>
    <row r="1114" spans="1:14">
      <c r="A1114" s="1" t="s">
        <v>1126</v>
      </c>
      <c r="B1114" s="2">
        <v>45698</v>
      </c>
      <c r="C1114" s="1" t="s">
        <v>2015</v>
      </c>
      <c r="D1114" s="1" t="s">
        <v>2031</v>
      </c>
      <c r="E1114" s="1" t="s">
        <v>2044</v>
      </c>
      <c r="F1114" s="1" t="s">
        <v>2051</v>
      </c>
      <c r="G1114" s="1" t="s">
        <v>2061</v>
      </c>
      <c r="H1114" s="1" t="s">
        <v>2085</v>
      </c>
      <c r="I1114" s="1">
        <v>6</v>
      </c>
      <c r="J1114" s="1">
        <v>34207.89</v>
      </c>
      <c r="K1114" s="1">
        <v>18.28</v>
      </c>
      <c r="L1114" s="1">
        <v>167728.13</v>
      </c>
      <c r="M1114" s="1">
        <v>44161.68</v>
      </c>
      <c r="N1114" s="1" t="s">
        <v>2089</v>
      </c>
    </row>
    <row r="1115" spans="1:14">
      <c r="A1115" s="1" t="s">
        <v>1127</v>
      </c>
      <c r="B1115" s="2">
        <v>45698</v>
      </c>
      <c r="C1115" s="1" t="s">
        <v>2018</v>
      </c>
      <c r="D1115" s="1" t="s">
        <v>2032</v>
      </c>
      <c r="E1115" s="1" t="s">
        <v>2044</v>
      </c>
      <c r="F1115" s="1" t="s">
        <v>2051</v>
      </c>
      <c r="G1115" s="1" t="s">
        <v>2057</v>
      </c>
      <c r="H1115" s="1" t="s">
        <v>2086</v>
      </c>
      <c r="I1115" s="1">
        <v>9</v>
      </c>
      <c r="J1115" s="1">
        <v>31231.279999999999</v>
      </c>
      <c r="K1115" s="1">
        <v>24.11</v>
      </c>
      <c r="L1115" s="1">
        <v>213312.77</v>
      </c>
      <c r="M1115" s="1">
        <v>39014.949999999997</v>
      </c>
      <c r="N1115" s="1" t="s">
        <v>2091</v>
      </c>
    </row>
    <row r="1116" spans="1:14">
      <c r="A1116" s="1" t="s">
        <v>1128</v>
      </c>
      <c r="B1116" s="2">
        <v>45698</v>
      </c>
      <c r="C1116" s="1" t="s">
        <v>2015</v>
      </c>
      <c r="D1116" s="1" t="s">
        <v>2033</v>
      </c>
      <c r="E1116" s="1" t="s">
        <v>2046</v>
      </c>
      <c r="F1116" s="1" t="s">
        <v>2049</v>
      </c>
      <c r="G1116" s="1" t="s">
        <v>2055</v>
      </c>
      <c r="H1116" s="1" t="s">
        <v>2087</v>
      </c>
      <c r="I1116" s="1">
        <v>1</v>
      </c>
      <c r="J1116" s="1">
        <v>1212.23</v>
      </c>
      <c r="K1116" s="1">
        <v>7.96</v>
      </c>
      <c r="L1116" s="1">
        <v>1115.74</v>
      </c>
      <c r="M1116" s="1">
        <v>102.71</v>
      </c>
      <c r="N1116" s="1" t="s">
        <v>2090</v>
      </c>
    </row>
    <row r="1117" spans="1:14">
      <c r="A1117" s="1" t="s">
        <v>1129</v>
      </c>
      <c r="B1117" s="2">
        <v>45699</v>
      </c>
      <c r="C1117" s="1" t="s">
        <v>2015</v>
      </c>
      <c r="D1117" s="1" t="s">
        <v>2034</v>
      </c>
      <c r="E1117" s="1" t="s">
        <v>2046</v>
      </c>
      <c r="F1117" s="1" t="s">
        <v>2049</v>
      </c>
      <c r="G1117" s="1" t="s">
        <v>2055</v>
      </c>
      <c r="H1117" s="1" t="s">
        <v>2086</v>
      </c>
      <c r="I1117" s="1">
        <v>9</v>
      </c>
      <c r="J1117" s="1">
        <v>1963.65</v>
      </c>
      <c r="K1117" s="1">
        <v>19.12</v>
      </c>
      <c r="L1117" s="1">
        <v>14293.8</v>
      </c>
      <c r="M1117" s="1">
        <v>2692.34</v>
      </c>
      <c r="N1117" s="1" t="s">
        <v>2089</v>
      </c>
    </row>
    <row r="1118" spans="1:14">
      <c r="A1118" s="1" t="s">
        <v>1130</v>
      </c>
      <c r="B1118" s="2">
        <v>45699</v>
      </c>
      <c r="C1118" s="1" t="s">
        <v>2019</v>
      </c>
      <c r="D1118" s="1" t="s">
        <v>2035</v>
      </c>
      <c r="E1118" s="1" t="s">
        <v>2046</v>
      </c>
      <c r="F1118" s="1" t="s">
        <v>2049</v>
      </c>
      <c r="G1118" s="1" t="s">
        <v>2082</v>
      </c>
      <c r="H1118" s="1" t="s">
        <v>2086</v>
      </c>
      <c r="I1118" s="1">
        <v>5</v>
      </c>
      <c r="J1118" s="1">
        <v>1783.7</v>
      </c>
      <c r="K1118" s="1">
        <v>7.57</v>
      </c>
      <c r="L1118" s="1">
        <v>8243.3700000000008</v>
      </c>
      <c r="M1118" s="1">
        <v>832</v>
      </c>
      <c r="N1118" s="1" t="s">
        <v>2088</v>
      </c>
    </row>
    <row r="1119" spans="1:14">
      <c r="A1119" s="1" t="s">
        <v>1131</v>
      </c>
      <c r="B1119" s="2">
        <v>45699</v>
      </c>
      <c r="C1119" s="1" t="s">
        <v>2021</v>
      </c>
      <c r="D1119" s="1" t="s">
        <v>2036</v>
      </c>
      <c r="E1119" s="1" t="s">
        <v>2047</v>
      </c>
      <c r="F1119" s="1" t="s">
        <v>2049</v>
      </c>
      <c r="G1119" s="1" t="s">
        <v>2055</v>
      </c>
      <c r="H1119" s="1" t="s">
        <v>2086</v>
      </c>
      <c r="I1119" s="1">
        <v>5</v>
      </c>
      <c r="J1119" s="1">
        <v>2382.7800000000002</v>
      </c>
      <c r="K1119" s="1">
        <v>11.22</v>
      </c>
      <c r="L1119" s="1">
        <v>10577.16</v>
      </c>
      <c r="M1119" s="1">
        <v>2017.1</v>
      </c>
      <c r="N1119" s="1" t="s">
        <v>2088</v>
      </c>
    </row>
    <row r="1120" spans="1:14">
      <c r="A1120" s="1" t="s">
        <v>1132</v>
      </c>
      <c r="B1120" s="2">
        <v>45700</v>
      </c>
      <c r="C1120" s="1" t="s">
        <v>2028</v>
      </c>
      <c r="D1120" s="1" t="s">
        <v>2037</v>
      </c>
      <c r="E1120" s="1" t="s">
        <v>2046</v>
      </c>
      <c r="F1120" s="1" t="s">
        <v>2053</v>
      </c>
      <c r="G1120" s="1" t="s">
        <v>2073</v>
      </c>
      <c r="H1120" s="1" t="s">
        <v>2085</v>
      </c>
      <c r="I1120" s="1">
        <v>9</v>
      </c>
      <c r="J1120" s="1">
        <v>2145.15</v>
      </c>
      <c r="K1120" s="1">
        <v>16.78</v>
      </c>
      <c r="L1120" s="1">
        <v>16066.74</v>
      </c>
      <c r="M1120" s="1">
        <v>2940.75</v>
      </c>
      <c r="N1120" s="1" t="s">
        <v>2089</v>
      </c>
    </row>
    <row r="1121" spans="1:14">
      <c r="A1121" s="1" t="s">
        <v>1133</v>
      </c>
      <c r="B1121" s="2">
        <v>45700</v>
      </c>
      <c r="C1121" s="1" t="s">
        <v>2023</v>
      </c>
      <c r="D1121" s="1" t="s">
        <v>2038</v>
      </c>
      <c r="E1121" s="1" t="s">
        <v>2045</v>
      </c>
      <c r="F1121" s="1" t="s">
        <v>2053</v>
      </c>
      <c r="G1121" s="1" t="s">
        <v>2073</v>
      </c>
      <c r="H1121" s="1" t="s">
        <v>2087</v>
      </c>
      <c r="I1121" s="1">
        <v>6</v>
      </c>
      <c r="J1121" s="1">
        <v>2326.0100000000002</v>
      </c>
      <c r="K1121" s="1">
        <v>13.75</v>
      </c>
      <c r="L1121" s="1">
        <v>12037.1</v>
      </c>
      <c r="M1121" s="1">
        <v>2586.31</v>
      </c>
      <c r="N1121" s="1" t="s">
        <v>2089</v>
      </c>
    </row>
    <row r="1122" spans="1:14">
      <c r="A1122" s="1" t="s">
        <v>1134</v>
      </c>
      <c r="B1122" s="2">
        <v>45701</v>
      </c>
      <c r="C1122" s="1" t="s">
        <v>2020</v>
      </c>
      <c r="D1122" s="1" t="s">
        <v>2039</v>
      </c>
      <c r="E1122" s="1" t="s">
        <v>2044</v>
      </c>
      <c r="F1122" s="1" t="s">
        <v>2052</v>
      </c>
      <c r="G1122" s="1" t="s">
        <v>2072</v>
      </c>
      <c r="H1122" s="1" t="s">
        <v>2086</v>
      </c>
      <c r="I1122" s="1">
        <v>6</v>
      </c>
      <c r="J1122" s="1">
        <v>8166.7</v>
      </c>
      <c r="K1122" s="1">
        <v>1.17</v>
      </c>
      <c r="L1122" s="1">
        <v>48426.9</v>
      </c>
      <c r="M1122" s="1">
        <v>10398.98</v>
      </c>
      <c r="N1122" s="1" t="s">
        <v>2088</v>
      </c>
    </row>
    <row r="1123" spans="1:14">
      <c r="A1123" s="1" t="s">
        <v>1135</v>
      </c>
      <c r="B1123" s="2">
        <v>45701</v>
      </c>
      <c r="C1123" s="1" t="s">
        <v>2018</v>
      </c>
      <c r="D1123" s="1" t="s">
        <v>2040</v>
      </c>
      <c r="E1123" s="1" t="s">
        <v>2045</v>
      </c>
      <c r="F1123" s="1" t="s">
        <v>2049</v>
      </c>
      <c r="G1123" s="1" t="s">
        <v>2058</v>
      </c>
      <c r="H1123" s="1" t="s">
        <v>2086</v>
      </c>
      <c r="I1123" s="1">
        <v>3</v>
      </c>
      <c r="J1123" s="1">
        <v>1577.03</v>
      </c>
      <c r="K1123" s="1">
        <v>11.46</v>
      </c>
      <c r="L1123" s="1">
        <v>4188.91</v>
      </c>
      <c r="M1123" s="1">
        <v>800.4</v>
      </c>
      <c r="N1123" s="1" t="s">
        <v>2092</v>
      </c>
    </row>
    <row r="1124" spans="1:14">
      <c r="A1124" s="1" t="s">
        <v>1136</v>
      </c>
      <c r="B1124" s="2">
        <v>45701</v>
      </c>
      <c r="C1124" s="1" t="s">
        <v>2019</v>
      </c>
      <c r="D1124" s="1" t="s">
        <v>2041</v>
      </c>
      <c r="E1124" s="1" t="s">
        <v>2047</v>
      </c>
      <c r="F1124" s="1" t="s">
        <v>2049</v>
      </c>
      <c r="G1124" s="1" t="s">
        <v>2082</v>
      </c>
      <c r="H1124" s="1" t="s">
        <v>2087</v>
      </c>
      <c r="I1124" s="1">
        <v>10</v>
      </c>
      <c r="J1124" s="1">
        <v>1123.5</v>
      </c>
      <c r="K1124" s="1">
        <v>25</v>
      </c>
      <c r="L1124" s="1">
        <v>8426.25</v>
      </c>
      <c r="M1124" s="1">
        <v>1378.26</v>
      </c>
      <c r="N1124" s="1" t="s">
        <v>2091</v>
      </c>
    </row>
    <row r="1125" spans="1:14">
      <c r="A1125" s="1" t="s">
        <v>1137</v>
      </c>
      <c r="B1125" s="2">
        <v>45702</v>
      </c>
      <c r="C1125" s="1" t="s">
        <v>2026</v>
      </c>
      <c r="D1125" s="1" t="s">
        <v>2042</v>
      </c>
      <c r="E1125" s="1" t="s">
        <v>2047</v>
      </c>
      <c r="F1125" s="1" t="s">
        <v>2052</v>
      </c>
      <c r="G1125" s="1" t="s">
        <v>2065</v>
      </c>
      <c r="H1125" s="1" t="s">
        <v>2085</v>
      </c>
      <c r="I1125" s="1">
        <v>10</v>
      </c>
      <c r="J1125" s="1">
        <v>9849.51</v>
      </c>
      <c r="K1125" s="1">
        <v>4.1500000000000004</v>
      </c>
      <c r="L1125" s="1">
        <v>94407.55</v>
      </c>
      <c r="M1125" s="1">
        <v>14862.98</v>
      </c>
      <c r="N1125" s="1" t="s">
        <v>2089</v>
      </c>
    </row>
    <row r="1126" spans="1:14">
      <c r="A1126" s="1" t="s">
        <v>1138</v>
      </c>
      <c r="B1126" s="2">
        <v>45702</v>
      </c>
      <c r="C1126" s="1" t="s">
        <v>2027</v>
      </c>
      <c r="D1126" s="1" t="s">
        <v>2043</v>
      </c>
      <c r="E1126" s="1" t="s">
        <v>2044</v>
      </c>
      <c r="F1126" s="1" t="s">
        <v>2052</v>
      </c>
      <c r="G1126" s="1" t="s">
        <v>2059</v>
      </c>
      <c r="H1126" s="1" t="s">
        <v>2087</v>
      </c>
      <c r="I1126" s="1">
        <v>5</v>
      </c>
      <c r="J1126" s="1">
        <v>5798.94</v>
      </c>
      <c r="K1126" s="1">
        <v>28.59</v>
      </c>
      <c r="L1126" s="1">
        <v>20705.12</v>
      </c>
      <c r="M1126" s="1">
        <v>3710.03</v>
      </c>
      <c r="N1126" s="1" t="s">
        <v>2091</v>
      </c>
    </row>
    <row r="1127" spans="1:14">
      <c r="A1127" s="1" t="s">
        <v>1139</v>
      </c>
      <c r="B1127" s="2">
        <v>45702</v>
      </c>
      <c r="C1127" s="1" t="s">
        <v>2017</v>
      </c>
      <c r="D1127" s="1" t="s">
        <v>2029</v>
      </c>
      <c r="E1127" s="1" t="s">
        <v>2045</v>
      </c>
      <c r="F1127" s="1" t="s">
        <v>2053</v>
      </c>
      <c r="G1127" s="1" t="s">
        <v>2062</v>
      </c>
      <c r="H1127" s="1" t="s">
        <v>2086</v>
      </c>
      <c r="I1127" s="1">
        <v>6</v>
      </c>
      <c r="J1127" s="1">
        <v>1806.71</v>
      </c>
      <c r="K1127" s="1">
        <v>8.8699999999999992</v>
      </c>
      <c r="L1127" s="1">
        <v>9878.73</v>
      </c>
      <c r="M1127" s="1">
        <v>1928.94</v>
      </c>
      <c r="N1127" s="1" t="s">
        <v>2088</v>
      </c>
    </row>
    <row r="1128" spans="1:14">
      <c r="A1128" s="1" t="s">
        <v>1140</v>
      </c>
      <c r="B1128" s="2">
        <v>45703</v>
      </c>
      <c r="C1128" s="1" t="s">
        <v>2026</v>
      </c>
      <c r="D1128" s="1" t="s">
        <v>2030</v>
      </c>
      <c r="E1128" s="1" t="s">
        <v>2048</v>
      </c>
      <c r="F1128" s="1" t="s">
        <v>2052</v>
      </c>
      <c r="G1128" s="1" t="s">
        <v>2059</v>
      </c>
      <c r="H1128" s="1" t="s">
        <v>2086</v>
      </c>
      <c r="I1128" s="1">
        <v>6</v>
      </c>
      <c r="J1128" s="1">
        <v>5149.2700000000004</v>
      </c>
      <c r="K1128" s="1">
        <v>0.91</v>
      </c>
      <c r="L1128" s="1">
        <v>30614.47</v>
      </c>
      <c r="M1128" s="1">
        <v>2539.5500000000002</v>
      </c>
      <c r="N1128" s="1" t="s">
        <v>2090</v>
      </c>
    </row>
    <row r="1129" spans="1:14">
      <c r="A1129" s="1" t="s">
        <v>1141</v>
      </c>
      <c r="B1129" s="2">
        <v>45703</v>
      </c>
      <c r="C1129" s="1" t="s">
        <v>2015</v>
      </c>
      <c r="D1129" s="1" t="s">
        <v>2031</v>
      </c>
      <c r="E1129" s="1" t="s">
        <v>2048</v>
      </c>
      <c r="F1129" s="1" t="s">
        <v>2053</v>
      </c>
      <c r="G1129" s="1" t="s">
        <v>2060</v>
      </c>
      <c r="H1129" s="1" t="s">
        <v>2085</v>
      </c>
      <c r="I1129" s="1">
        <v>6</v>
      </c>
      <c r="J1129" s="1">
        <v>1684.29</v>
      </c>
      <c r="K1129" s="1">
        <v>25.08</v>
      </c>
      <c r="L1129" s="1">
        <v>7571.22</v>
      </c>
      <c r="M1129" s="1">
        <v>1738.44</v>
      </c>
      <c r="N1129" s="1" t="s">
        <v>2090</v>
      </c>
    </row>
    <row r="1130" spans="1:14">
      <c r="A1130" s="1" t="s">
        <v>1142</v>
      </c>
      <c r="B1130" s="2">
        <v>45703</v>
      </c>
      <c r="C1130" s="1" t="s">
        <v>2028</v>
      </c>
      <c r="D1130" s="1" t="s">
        <v>2032</v>
      </c>
      <c r="E1130" s="1" t="s">
        <v>2045</v>
      </c>
      <c r="F1130" s="1" t="s">
        <v>2052</v>
      </c>
      <c r="G1130" s="1" t="s">
        <v>2065</v>
      </c>
      <c r="H1130" s="1" t="s">
        <v>2087</v>
      </c>
      <c r="I1130" s="1">
        <v>2</v>
      </c>
      <c r="J1130" s="1">
        <v>7527.89</v>
      </c>
      <c r="K1130" s="1">
        <v>13.23</v>
      </c>
      <c r="L1130" s="1">
        <v>13063.9</v>
      </c>
      <c r="M1130" s="1">
        <v>3049.19</v>
      </c>
      <c r="N1130" s="1" t="s">
        <v>2090</v>
      </c>
    </row>
    <row r="1131" spans="1:14">
      <c r="A1131" s="1" t="s">
        <v>1143</v>
      </c>
      <c r="B1131" s="2">
        <v>45704</v>
      </c>
      <c r="C1131" s="1" t="s">
        <v>2027</v>
      </c>
      <c r="D1131" s="1" t="s">
        <v>2033</v>
      </c>
      <c r="E1131" s="1" t="s">
        <v>2045</v>
      </c>
      <c r="F1131" s="1" t="s">
        <v>2049</v>
      </c>
      <c r="G1131" s="1" t="s">
        <v>2074</v>
      </c>
      <c r="H1131" s="1" t="s">
        <v>2085</v>
      </c>
      <c r="I1131" s="1">
        <v>5</v>
      </c>
      <c r="J1131" s="1">
        <v>1167.72</v>
      </c>
      <c r="K1131" s="1">
        <v>1.04</v>
      </c>
      <c r="L1131" s="1">
        <v>5777.88</v>
      </c>
      <c r="M1131" s="1">
        <v>436.34</v>
      </c>
      <c r="N1131" s="1" t="s">
        <v>2088</v>
      </c>
    </row>
    <row r="1132" spans="1:14">
      <c r="A1132" s="1" t="s">
        <v>1144</v>
      </c>
      <c r="B1132" s="2">
        <v>45704</v>
      </c>
      <c r="C1132" s="1" t="s">
        <v>2017</v>
      </c>
      <c r="D1132" s="1" t="s">
        <v>2034</v>
      </c>
      <c r="E1132" s="1" t="s">
        <v>2044</v>
      </c>
      <c r="F1132" s="1" t="s">
        <v>2049</v>
      </c>
      <c r="G1132" s="1" t="s">
        <v>2071</v>
      </c>
      <c r="H1132" s="1" t="s">
        <v>2086</v>
      </c>
      <c r="I1132" s="1">
        <v>7</v>
      </c>
      <c r="J1132" s="1">
        <v>1583.02</v>
      </c>
      <c r="K1132" s="1">
        <v>23.15</v>
      </c>
      <c r="L1132" s="1">
        <v>8515.86</v>
      </c>
      <c r="M1132" s="1">
        <v>1538.59</v>
      </c>
      <c r="N1132" s="1" t="s">
        <v>2092</v>
      </c>
    </row>
    <row r="1133" spans="1:14">
      <c r="A1133" s="1" t="s">
        <v>1145</v>
      </c>
      <c r="B1133" s="2">
        <v>45705</v>
      </c>
      <c r="C1133" s="1" t="s">
        <v>2019</v>
      </c>
      <c r="D1133" s="1" t="s">
        <v>2035</v>
      </c>
      <c r="E1133" s="1" t="s">
        <v>2046</v>
      </c>
      <c r="F1133" s="1" t="s">
        <v>2052</v>
      </c>
      <c r="G1133" s="1" t="s">
        <v>2059</v>
      </c>
      <c r="H1133" s="1" t="s">
        <v>2086</v>
      </c>
      <c r="I1133" s="1">
        <v>8</v>
      </c>
      <c r="J1133" s="1">
        <v>1618.16</v>
      </c>
      <c r="K1133" s="1">
        <v>24.34</v>
      </c>
      <c r="L1133" s="1">
        <v>9794.4</v>
      </c>
      <c r="M1133" s="1">
        <v>1034.9000000000001</v>
      </c>
      <c r="N1133" s="1" t="s">
        <v>2092</v>
      </c>
    </row>
    <row r="1134" spans="1:14">
      <c r="A1134" s="1" t="s">
        <v>1146</v>
      </c>
      <c r="B1134" s="2">
        <v>45705</v>
      </c>
      <c r="C1134" s="1" t="s">
        <v>2022</v>
      </c>
      <c r="D1134" s="1" t="s">
        <v>2036</v>
      </c>
      <c r="E1134" s="1" t="s">
        <v>2046</v>
      </c>
      <c r="F1134" s="1" t="s">
        <v>2053</v>
      </c>
      <c r="G1134" s="1" t="s">
        <v>2067</v>
      </c>
      <c r="H1134" s="1" t="s">
        <v>2086</v>
      </c>
      <c r="I1134" s="1">
        <v>7</v>
      </c>
      <c r="J1134" s="1">
        <v>673.37</v>
      </c>
      <c r="K1134" s="1">
        <v>1.25</v>
      </c>
      <c r="L1134" s="1">
        <v>4654.67</v>
      </c>
      <c r="M1134" s="1">
        <v>958.73</v>
      </c>
      <c r="N1134" s="1" t="s">
        <v>2089</v>
      </c>
    </row>
    <row r="1135" spans="1:14">
      <c r="A1135" s="1" t="s">
        <v>1147</v>
      </c>
      <c r="B1135" s="2">
        <v>45705</v>
      </c>
      <c r="C1135" s="1" t="s">
        <v>2014</v>
      </c>
      <c r="D1135" s="1" t="s">
        <v>2037</v>
      </c>
      <c r="E1135" s="1" t="s">
        <v>2047</v>
      </c>
      <c r="F1135" s="1" t="s">
        <v>2049</v>
      </c>
      <c r="G1135" s="1" t="s">
        <v>2082</v>
      </c>
      <c r="H1135" s="1" t="s">
        <v>2086</v>
      </c>
      <c r="I1135" s="1">
        <v>1</v>
      </c>
      <c r="J1135" s="1">
        <v>2646.73</v>
      </c>
      <c r="K1135" s="1">
        <v>28.83</v>
      </c>
      <c r="L1135" s="1">
        <v>1883.68</v>
      </c>
      <c r="M1135" s="1">
        <v>514.72</v>
      </c>
      <c r="N1135" s="1" t="s">
        <v>2092</v>
      </c>
    </row>
    <row r="1136" spans="1:14">
      <c r="A1136" s="1" t="s">
        <v>1148</v>
      </c>
      <c r="B1136" s="2">
        <v>45706</v>
      </c>
      <c r="C1136" s="1" t="s">
        <v>2027</v>
      </c>
      <c r="D1136" s="1" t="s">
        <v>2038</v>
      </c>
      <c r="E1136" s="1" t="s">
        <v>2046</v>
      </c>
      <c r="F1136" s="1" t="s">
        <v>2049</v>
      </c>
      <c r="G1136" s="1" t="s">
        <v>2071</v>
      </c>
      <c r="H1136" s="1" t="s">
        <v>2085</v>
      </c>
      <c r="I1136" s="1">
        <v>1</v>
      </c>
      <c r="J1136" s="1">
        <v>1628.61</v>
      </c>
      <c r="K1136" s="1">
        <v>20.69</v>
      </c>
      <c r="L1136" s="1">
        <v>1291.6500000000001</v>
      </c>
      <c r="M1136" s="1">
        <v>283.92</v>
      </c>
      <c r="N1136" s="1" t="s">
        <v>2089</v>
      </c>
    </row>
    <row r="1137" spans="1:14">
      <c r="A1137" s="1" t="s">
        <v>1149</v>
      </c>
      <c r="B1137" s="2">
        <v>45706</v>
      </c>
      <c r="C1137" s="1" t="s">
        <v>2027</v>
      </c>
      <c r="D1137" s="1" t="s">
        <v>2039</v>
      </c>
      <c r="E1137" s="1" t="s">
        <v>2047</v>
      </c>
      <c r="F1137" s="1" t="s">
        <v>2051</v>
      </c>
      <c r="G1137" s="1" t="s">
        <v>2061</v>
      </c>
      <c r="H1137" s="1" t="s">
        <v>2085</v>
      </c>
      <c r="I1137" s="1">
        <v>2</v>
      </c>
      <c r="J1137" s="1">
        <v>37611.64</v>
      </c>
      <c r="K1137" s="1">
        <v>16.02</v>
      </c>
      <c r="L1137" s="1">
        <v>63172.51</v>
      </c>
      <c r="M1137" s="1">
        <v>12570.51</v>
      </c>
      <c r="N1137" s="1" t="s">
        <v>2089</v>
      </c>
    </row>
    <row r="1138" spans="1:14">
      <c r="A1138" s="1" t="s">
        <v>1150</v>
      </c>
      <c r="B1138" s="2">
        <v>45706</v>
      </c>
      <c r="C1138" s="1" t="s">
        <v>2015</v>
      </c>
      <c r="D1138" s="1" t="s">
        <v>2040</v>
      </c>
      <c r="E1138" s="1" t="s">
        <v>2047</v>
      </c>
      <c r="F1138" s="1" t="s">
        <v>2052</v>
      </c>
      <c r="G1138" s="1" t="s">
        <v>2083</v>
      </c>
      <c r="H1138" s="1" t="s">
        <v>2087</v>
      </c>
      <c r="I1138" s="1">
        <v>5</v>
      </c>
      <c r="J1138" s="1">
        <v>4210.13</v>
      </c>
      <c r="K1138" s="1">
        <v>16.329999999999998</v>
      </c>
      <c r="L1138" s="1">
        <v>17613.080000000002</v>
      </c>
      <c r="M1138" s="1">
        <v>3273.7</v>
      </c>
      <c r="N1138" s="1" t="s">
        <v>2088</v>
      </c>
    </row>
    <row r="1139" spans="1:14">
      <c r="A1139" s="1" t="s">
        <v>1151</v>
      </c>
      <c r="B1139" s="2">
        <v>45707</v>
      </c>
      <c r="C1139" s="1" t="s">
        <v>2026</v>
      </c>
      <c r="D1139" s="1" t="s">
        <v>2041</v>
      </c>
      <c r="E1139" s="1" t="s">
        <v>2048</v>
      </c>
      <c r="F1139" s="1" t="s">
        <v>2054</v>
      </c>
      <c r="G1139" s="1" t="s">
        <v>2079</v>
      </c>
      <c r="H1139" s="1" t="s">
        <v>2087</v>
      </c>
      <c r="I1139" s="1">
        <v>10</v>
      </c>
      <c r="J1139" s="1">
        <v>17231.71</v>
      </c>
      <c r="K1139" s="1">
        <v>9.5500000000000007</v>
      </c>
      <c r="L1139" s="1">
        <v>155860.82</v>
      </c>
      <c r="M1139" s="1">
        <v>17147.400000000001</v>
      </c>
      <c r="N1139" s="1" t="s">
        <v>2092</v>
      </c>
    </row>
    <row r="1140" spans="1:14">
      <c r="A1140" s="1" t="s">
        <v>1152</v>
      </c>
      <c r="B1140" s="2">
        <v>45707</v>
      </c>
      <c r="C1140" s="1" t="s">
        <v>2014</v>
      </c>
      <c r="D1140" s="1" t="s">
        <v>2042</v>
      </c>
      <c r="E1140" s="1" t="s">
        <v>2044</v>
      </c>
      <c r="F1140" s="1" t="s">
        <v>2052</v>
      </c>
      <c r="G1140" s="1" t="s">
        <v>2072</v>
      </c>
      <c r="H1140" s="1" t="s">
        <v>2085</v>
      </c>
      <c r="I1140" s="1">
        <v>8</v>
      </c>
      <c r="J1140" s="1">
        <v>2345.91</v>
      </c>
      <c r="K1140" s="1">
        <v>14.9</v>
      </c>
      <c r="L1140" s="1">
        <v>15970.96</v>
      </c>
      <c r="M1140" s="1">
        <v>1904.53</v>
      </c>
      <c r="N1140" s="1" t="s">
        <v>2090</v>
      </c>
    </row>
    <row r="1141" spans="1:14">
      <c r="A1141" s="1" t="s">
        <v>1153</v>
      </c>
      <c r="B1141" s="2">
        <v>45707</v>
      </c>
      <c r="C1141" s="1" t="s">
        <v>2023</v>
      </c>
      <c r="D1141" s="1" t="s">
        <v>2043</v>
      </c>
      <c r="E1141" s="1" t="s">
        <v>2045</v>
      </c>
      <c r="F1141" s="1" t="s">
        <v>2053</v>
      </c>
      <c r="G1141" s="1" t="s">
        <v>2067</v>
      </c>
      <c r="H1141" s="1" t="s">
        <v>2086</v>
      </c>
      <c r="I1141" s="1">
        <v>7</v>
      </c>
      <c r="J1141" s="1">
        <v>1152.26</v>
      </c>
      <c r="K1141" s="1">
        <v>0.91</v>
      </c>
      <c r="L1141" s="1">
        <v>7992.42</v>
      </c>
      <c r="M1141" s="1">
        <v>1939.45</v>
      </c>
      <c r="N1141" s="1" t="s">
        <v>2090</v>
      </c>
    </row>
    <row r="1142" spans="1:14">
      <c r="A1142" s="1" t="s">
        <v>1154</v>
      </c>
      <c r="B1142" s="2">
        <v>45708</v>
      </c>
      <c r="C1142" s="1" t="s">
        <v>2028</v>
      </c>
      <c r="D1142" s="1" t="s">
        <v>2029</v>
      </c>
      <c r="E1142" s="1" t="s">
        <v>2047</v>
      </c>
      <c r="F1142" s="1" t="s">
        <v>2051</v>
      </c>
      <c r="G1142" s="1" t="s">
        <v>2080</v>
      </c>
      <c r="H1142" s="1" t="s">
        <v>2085</v>
      </c>
      <c r="I1142" s="1">
        <v>8</v>
      </c>
      <c r="J1142" s="1">
        <v>1334.2</v>
      </c>
      <c r="K1142" s="1">
        <v>1.43</v>
      </c>
      <c r="L1142" s="1">
        <v>10520.97</v>
      </c>
      <c r="M1142" s="1">
        <v>1029.72</v>
      </c>
      <c r="N1142" s="1" t="s">
        <v>2092</v>
      </c>
    </row>
    <row r="1143" spans="1:14">
      <c r="A1143" s="1" t="s">
        <v>1155</v>
      </c>
      <c r="B1143" s="2">
        <v>45708</v>
      </c>
      <c r="C1143" s="1" t="s">
        <v>2025</v>
      </c>
      <c r="D1143" s="1" t="s">
        <v>2030</v>
      </c>
      <c r="E1143" s="1" t="s">
        <v>2046</v>
      </c>
      <c r="F1143" s="1" t="s">
        <v>2054</v>
      </c>
      <c r="G1143" s="1" t="s">
        <v>2068</v>
      </c>
      <c r="H1143" s="1" t="s">
        <v>2086</v>
      </c>
      <c r="I1143" s="1">
        <v>5</v>
      </c>
      <c r="J1143" s="1">
        <v>25210.99</v>
      </c>
      <c r="K1143" s="1">
        <v>29.53</v>
      </c>
      <c r="L1143" s="1">
        <v>88830.92</v>
      </c>
      <c r="M1143" s="1">
        <v>22913.01</v>
      </c>
      <c r="N1143" s="1" t="s">
        <v>2088</v>
      </c>
    </row>
    <row r="1144" spans="1:14">
      <c r="A1144" s="1" t="s">
        <v>1156</v>
      </c>
      <c r="B1144" s="2">
        <v>45709</v>
      </c>
      <c r="C1144" s="1" t="s">
        <v>2025</v>
      </c>
      <c r="D1144" s="1" t="s">
        <v>2031</v>
      </c>
      <c r="E1144" s="1" t="s">
        <v>2044</v>
      </c>
      <c r="F1144" s="1" t="s">
        <v>2051</v>
      </c>
      <c r="G1144" s="1" t="s">
        <v>2069</v>
      </c>
      <c r="H1144" s="1" t="s">
        <v>2087</v>
      </c>
      <c r="I1144" s="1">
        <v>9</v>
      </c>
      <c r="J1144" s="1">
        <v>33651.550000000003</v>
      </c>
      <c r="K1144" s="1">
        <v>2.8</v>
      </c>
      <c r="L1144" s="1">
        <v>294383.76</v>
      </c>
      <c r="M1144" s="1">
        <v>69090.25</v>
      </c>
      <c r="N1144" s="1" t="s">
        <v>2091</v>
      </c>
    </row>
    <row r="1145" spans="1:14">
      <c r="A1145" s="1" t="s">
        <v>1157</v>
      </c>
      <c r="B1145" s="2">
        <v>45709</v>
      </c>
      <c r="C1145" s="1" t="s">
        <v>2026</v>
      </c>
      <c r="D1145" s="1" t="s">
        <v>2032</v>
      </c>
      <c r="E1145" s="1" t="s">
        <v>2044</v>
      </c>
      <c r="F1145" s="1" t="s">
        <v>2051</v>
      </c>
      <c r="G1145" s="1" t="s">
        <v>2069</v>
      </c>
      <c r="H1145" s="1" t="s">
        <v>2087</v>
      </c>
      <c r="I1145" s="1">
        <v>8</v>
      </c>
      <c r="J1145" s="1">
        <v>19577.189999999999</v>
      </c>
      <c r="K1145" s="1">
        <v>27.99</v>
      </c>
      <c r="L1145" s="1">
        <v>112780.28</v>
      </c>
      <c r="M1145" s="1">
        <v>7784.23</v>
      </c>
      <c r="N1145" s="1" t="s">
        <v>2089</v>
      </c>
    </row>
    <row r="1146" spans="1:14">
      <c r="A1146" s="1" t="s">
        <v>1158</v>
      </c>
      <c r="B1146" s="2">
        <v>45709</v>
      </c>
      <c r="C1146" s="1" t="s">
        <v>2020</v>
      </c>
      <c r="D1146" s="1" t="s">
        <v>2033</v>
      </c>
      <c r="E1146" s="1" t="s">
        <v>2044</v>
      </c>
      <c r="F1146" s="1" t="s">
        <v>2050</v>
      </c>
      <c r="G1146" s="1" t="s">
        <v>2070</v>
      </c>
      <c r="H1146" s="1" t="s">
        <v>2086</v>
      </c>
      <c r="I1146" s="1">
        <v>6</v>
      </c>
      <c r="J1146" s="1">
        <v>7298.67</v>
      </c>
      <c r="K1146" s="1">
        <v>28.26</v>
      </c>
      <c r="L1146" s="1">
        <v>31416.400000000001</v>
      </c>
      <c r="M1146" s="1">
        <v>2075.9899999999998</v>
      </c>
      <c r="N1146" s="1" t="s">
        <v>2089</v>
      </c>
    </row>
    <row r="1147" spans="1:14">
      <c r="A1147" s="1" t="s">
        <v>1159</v>
      </c>
      <c r="B1147" s="2">
        <v>45710</v>
      </c>
      <c r="C1147" s="1" t="s">
        <v>2018</v>
      </c>
      <c r="D1147" s="1" t="s">
        <v>2034</v>
      </c>
      <c r="E1147" s="1" t="s">
        <v>2044</v>
      </c>
      <c r="F1147" s="1" t="s">
        <v>2050</v>
      </c>
      <c r="G1147" s="1" t="s">
        <v>2056</v>
      </c>
      <c r="H1147" s="1" t="s">
        <v>2086</v>
      </c>
      <c r="I1147" s="1">
        <v>10</v>
      </c>
      <c r="J1147" s="1">
        <v>4837.3599999999997</v>
      </c>
      <c r="K1147" s="1">
        <v>15.96</v>
      </c>
      <c r="L1147" s="1">
        <v>40653.17</v>
      </c>
      <c r="M1147" s="1">
        <v>4739.93</v>
      </c>
      <c r="N1147" s="1" t="s">
        <v>2089</v>
      </c>
    </row>
    <row r="1148" spans="1:14">
      <c r="A1148" s="1" t="s">
        <v>1160</v>
      </c>
      <c r="B1148" s="2">
        <v>45710</v>
      </c>
      <c r="C1148" s="1" t="s">
        <v>2020</v>
      </c>
      <c r="D1148" s="1" t="s">
        <v>2035</v>
      </c>
      <c r="E1148" s="1" t="s">
        <v>2044</v>
      </c>
      <c r="F1148" s="1" t="s">
        <v>2049</v>
      </c>
      <c r="G1148" s="1" t="s">
        <v>2074</v>
      </c>
      <c r="H1148" s="1" t="s">
        <v>2086</v>
      </c>
      <c r="I1148" s="1">
        <v>6</v>
      </c>
      <c r="J1148" s="1">
        <v>1372.68</v>
      </c>
      <c r="K1148" s="1">
        <v>7.68</v>
      </c>
      <c r="L1148" s="1">
        <v>7603.55</v>
      </c>
      <c r="M1148" s="1">
        <v>608.92999999999995</v>
      </c>
      <c r="N1148" s="1" t="s">
        <v>2089</v>
      </c>
    </row>
    <row r="1149" spans="1:14">
      <c r="A1149" s="1" t="s">
        <v>1161</v>
      </c>
      <c r="B1149" s="2">
        <v>45710</v>
      </c>
      <c r="C1149" s="1" t="s">
        <v>2021</v>
      </c>
      <c r="D1149" s="1" t="s">
        <v>2036</v>
      </c>
      <c r="E1149" s="1" t="s">
        <v>2046</v>
      </c>
      <c r="F1149" s="1" t="s">
        <v>2051</v>
      </c>
      <c r="G1149" s="1" t="s">
        <v>2080</v>
      </c>
      <c r="H1149" s="1" t="s">
        <v>2087</v>
      </c>
      <c r="I1149" s="1">
        <v>8</v>
      </c>
      <c r="J1149" s="1">
        <v>1736.35</v>
      </c>
      <c r="K1149" s="1">
        <v>3.02</v>
      </c>
      <c r="L1149" s="1">
        <v>13471.3</v>
      </c>
      <c r="M1149" s="1">
        <v>2344.75</v>
      </c>
      <c r="N1149" s="1" t="s">
        <v>2090</v>
      </c>
    </row>
    <row r="1150" spans="1:14">
      <c r="A1150" s="1" t="s">
        <v>1162</v>
      </c>
      <c r="B1150" s="2">
        <v>45711</v>
      </c>
      <c r="C1150" s="1" t="s">
        <v>2019</v>
      </c>
      <c r="D1150" s="1" t="s">
        <v>2037</v>
      </c>
      <c r="E1150" s="1" t="s">
        <v>2045</v>
      </c>
      <c r="F1150" s="1" t="s">
        <v>2052</v>
      </c>
      <c r="G1150" s="1" t="s">
        <v>2072</v>
      </c>
      <c r="H1150" s="1" t="s">
        <v>2085</v>
      </c>
      <c r="I1150" s="1">
        <v>6</v>
      </c>
      <c r="J1150" s="1">
        <v>1563.77</v>
      </c>
      <c r="K1150" s="1">
        <v>7.11</v>
      </c>
      <c r="L1150" s="1">
        <v>8715.52</v>
      </c>
      <c r="M1150" s="1">
        <v>1411.86</v>
      </c>
      <c r="N1150" s="1" t="s">
        <v>2091</v>
      </c>
    </row>
    <row r="1151" spans="1:14">
      <c r="A1151" s="1" t="s">
        <v>1163</v>
      </c>
      <c r="B1151" s="2">
        <v>45711</v>
      </c>
      <c r="C1151" s="1" t="s">
        <v>2020</v>
      </c>
      <c r="D1151" s="1" t="s">
        <v>2038</v>
      </c>
      <c r="E1151" s="1" t="s">
        <v>2047</v>
      </c>
      <c r="F1151" s="1" t="s">
        <v>2050</v>
      </c>
      <c r="G1151" s="1" t="s">
        <v>2070</v>
      </c>
      <c r="H1151" s="1" t="s">
        <v>2087</v>
      </c>
      <c r="I1151" s="1">
        <v>7</v>
      </c>
      <c r="J1151" s="1">
        <v>2213.73</v>
      </c>
      <c r="K1151" s="1">
        <v>9.1199999999999992</v>
      </c>
      <c r="L1151" s="1">
        <v>14082.86</v>
      </c>
      <c r="M1151" s="1">
        <v>3417.96</v>
      </c>
      <c r="N1151" s="1" t="s">
        <v>2089</v>
      </c>
    </row>
    <row r="1152" spans="1:14">
      <c r="A1152" s="1" t="s">
        <v>1164</v>
      </c>
      <c r="B1152" s="2">
        <v>45711</v>
      </c>
      <c r="C1152" s="1" t="s">
        <v>2020</v>
      </c>
      <c r="D1152" s="1" t="s">
        <v>2039</v>
      </c>
      <c r="E1152" s="1" t="s">
        <v>2047</v>
      </c>
      <c r="F1152" s="1" t="s">
        <v>2050</v>
      </c>
      <c r="G1152" s="1" t="s">
        <v>2084</v>
      </c>
      <c r="H1152" s="1" t="s">
        <v>2086</v>
      </c>
      <c r="I1152" s="1">
        <v>8</v>
      </c>
      <c r="J1152" s="1">
        <v>1298.74</v>
      </c>
      <c r="K1152" s="1">
        <v>13.61</v>
      </c>
      <c r="L1152" s="1">
        <v>8975.85</v>
      </c>
      <c r="M1152" s="1">
        <v>1586.32</v>
      </c>
      <c r="N1152" s="1" t="s">
        <v>2091</v>
      </c>
    </row>
    <row r="1153" spans="1:14">
      <c r="A1153" s="1" t="s">
        <v>1165</v>
      </c>
      <c r="B1153" s="2">
        <v>45712</v>
      </c>
      <c r="C1153" s="1" t="s">
        <v>2022</v>
      </c>
      <c r="D1153" s="1" t="s">
        <v>2040</v>
      </c>
      <c r="E1153" s="1" t="s">
        <v>2045</v>
      </c>
      <c r="F1153" s="1" t="s">
        <v>2050</v>
      </c>
      <c r="G1153" s="1" t="s">
        <v>2064</v>
      </c>
      <c r="H1153" s="1" t="s">
        <v>2086</v>
      </c>
      <c r="I1153" s="1">
        <v>5</v>
      </c>
      <c r="J1153" s="1">
        <v>7671.31</v>
      </c>
      <c r="K1153" s="1">
        <v>9.5399999999999991</v>
      </c>
      <c r="L1153" s="1">
        <v>34697.339999999997</v>
      </c>
      <c r="M1153" s="1">
        <v>3639.92</v>
      </c>
      <c r="N1153" s="1" t="s">
        <v>2090</v>
      </c>
    </row>
    <row r="1154" spans="1:14">
      <c r="A1154" s="1" t="s">
        <v>1166</v>
      </c>
      <c r="B1154" s="2">
        <v>45712</v>
      </c>
      <c r="C1154" s="1" t="s">
        <v>2019</v>
      </c>
      <c r="D1154" s="1" t="s">
        <v>2041</v>
      </c>
      <c r="E1154" s="1" t="s">
        <v>2046</v>
      </c>
      <c r="F1154" s="1" t="s">
        <v>2054</v>
      </c>
      <c r="G1154" s="1" t="s">
        <v>2079</v>
      </c>
      <c r="H1154" s="1" t="s">
        <v>2087</v>
      </c>
      <c r="I1154" s="1">
        <v>4</v>
      </c>
      <c r="J1154" s="1">
        <v>51751.45</v>
      </c>
      <c r="K1154" s="1">
        <v>8.34</v>
      </c>
      <c r="L1154" s="1">
        <v>189741.52</v>
      </c>
      <c r="M1154" s="1">
        <v>56764.62</v>
      </c>
      <c r="N1154" s="1" t="s">
        <v>2090</v>
      </c>
    </row>
    <row r="1155" spans="1:14">
      <c r="A1155" s="1" t="s">
        <v>1167</v>
      </c>
      <c r="B1155" s="2">
        <v>45713</v>
      </c>
      <c r="C1155" s="1" t="s">
        <v>2022</v>
      </c>
      <c r="D1155" s="1" t="s">
        <v>2042</v>
      </c>
      <c r="E1155" s="1" t="s">
        <v>2047</v>
      </c>
      <c r="F1155" s="1" t="s">
        <v>2052</v>
      </c>
      <c r="G1155" s="1" t="s">
        <v>2083</v>
      </c>
      <c r="H1155" s="1" t="s">
        <v>2086</v>
      </c>
      <c r="I1155" s="1">
        <v>10</v>
      </c>
      <c r="J1155" s="1">
        <v>8441.0499999999993</v>
      </c>
      <c r="K1155" s="1">
        <v>19.309999999999999</v>
      </c>
      <c r="L1155" s="1">
        <v>68110.83</v>
      </c>
      <c r="M1155" s="1">
        <v>13780.59</v>
      </c>
      <c r="N1155" s="1" t="s">
        <v>2088</v>
      </c>
    </row>
    <row r="1156" spans="1:14">
      <c r="A1156" s="1" t="s">
        <v>1168</v>
      </c>
      <c r="B1156" s="2">
        <v>45713</v>
      </c>
      <c r="C1156" s="1" t="s">
        <v>2021</v>
      </c>
      <c r="D1156" s="1" t="s">
        <v>2043</v>
      </c>
      <c r="E1156" s="1" t="s">
        <v>2045</v>
      </c>
      <c r="F1156" s="1" t="s">
        <v>2051</v>
      </c>
      <c r="G1156" s="1" t="s">
        <v>2057</v>
      </c>
      <c r="H1156" s="1" t="s">
        <v>2087</v>
      </c>
      <c r="I1156" s="1">
        <v>2</v>
      </c>
      <c r="J1156" s="1">
        <v>23372.47</v>
      </c>
      <c r="K1156" s="1">
        <v>13.34</v>
      </c>
      <c r="L1156" s="1">
        <v>40509.17</v>
      </c>
      <c r="M1156" s="1">
        <v>8795.44</v>
      </c>
      <c r="N1156" s="1" t="s">
        <v>2089</v>
      </c>
    </row>
    <row r="1157" spans="1:14">
      <c r="A1157" s="1" t="s">
        <v>1169</v>
      </c>
      <c r="B1157" s="2">
        <v>45713</v>
      </c>
      <c r="C1157" s="1" t="s">
        <v>2022</v>
      </c>
      <c r="D1157" s="1" t="s">
        <v>2029</v>
      </c>
      <c r="E1157" s="1" t="s">
        <v>2045</v>
      </c>
      <c r="F1157" s="1" t="s">
        <v>2049</v>
      </c>
      <c r="G1157" s="1" t="s">
        <v>2058</v>
      </c>
      <c r="H1157" s="1" t="s">
        <v>2087</v>
      </c>
      <c r="I1157" s="1">
        <v>1</v>
      </c>
      <c r="J1157" s="1">
        <v>832.11</v>
      </c>
      <c r="K1157" s="1">
        <v>14.85</v>
      </c>
      <c r="L1157" s="1">
        <v>708.54</v>
      </c>
      <c r="M1157" s="1">
        <v>185.38</v>
      </c>
      <c r="N1157" s="1" t="s">
        <v>2092</v>
      </c>
    </row>
    <row r="1158" spans="1:14">
      <c r="A1158" s="1" t="s">
        <v>1170</v>
      </c>
      <c r="B1158" s="2">
        <v>45714</v>
      </c>
      <c r="C1158" s="1" t="s">
        <v>2018</v>
      </c>
      <c r="D1158" s="1" t="s">
        <v>2030</v>
      </c>
      <c r="E1158" s="1" t="s">
        <v>2044</v>
      </c>
      <c r="F1158" s="1" t="s">
        <v>2051</v>
      </c>
      <c r="G1158" s="1" t="s">
        <v>2069</v>
      </c>
      <c r="H1158" s="1" t="s">
        <v>2085</v>
      </c>
      <c r="I1158" s="1">
        <v>6</v>
      </c>
      <c r="J1158" s="1">
        <v>7424.63</v>
      </c>
      <c r="K1158" s="1">
        <v>10.54</v>
      </c>
      <c r="L1158" s="1">
        <v>39852.44</v>
      </c>
      <c r="M1158" s="1">
        <v>4631.51</v>
      </c>
      <c r="N1158" s="1" t="s">
        <v>2091</v>
      </c>
    </row>
    <row r="1159" spans="1:14">
      <c r="A1159" s="1" t="s">
        <v>1171</v>
      </c>
      <c r="B1159" s="2">
        <v>45714</v>
      </c>
      <c r="C1159" s="1" t="s">
        <v>2014</v>
      </c>
      <c r="D1159" s="1" t="s">
        <v>2031</v>
      </c>
      <c r="E1159" s="1" t="s">
        <v>2045</v>
      </c>
      <c r="F1159" s="1" t="s">
        <v>2051</v>
      </c>
      <c r="G1159" s="1" t="s">
        <v>2069</v>
      </c>
      <c r="H1159" s="1" t="s">
        <v>2086</v>
      </c>
      <c r="I1159" s="1">
        <v>8</v>
      </c>
      <c r="J1159" s="1">
        <v>4897.34</v>
      </c>
      <c r="K1159" s="1">
        <v>24.15</v>
      </c>
      <c r="L1159" s="1">
        <v>29717.06</v>
      </c>
      <c r="M1159" s="1">
        <v>4233.8500000000004</v>
      </c>
      <c r="N1159" s="1" t="s">
        <v>2088</v>
      </c>
    </row>
    <row r="1160" spans="1:14">
      <c r="A1160" s="1" t="s">
        <v>1172</v>
      </c>
      <c r="B1160" s="2">
        <v>45714</v>
      </c>
      <c r="C1160" s="1" t="s">
        <v>2018</v>
      </c>
      <c r="D1160" s="1" t="s">
        <v>2032</v>
      </c>
      <c r="E1160" s="1" t="s">
        <v>2048</v>
      </c>
      <c r="F1160" s="1" t="s">
        <v>2051</v>
      </c>
      <c r="G1160" s="1" t="s">
        <v>2080</v>
      </c>
      <c r="H1160" s="1" t="s">
        <v>2087</v>
      </c>
      <c r="I1160" s="1">
        <v>6</v>
      </c>
      <c r="J1160" s="1">
        <v>20456.04</v>
      </c>
      <c r="K1160" s="1">
        <v>29.68</v>
      </c>
      <c r="L1160" s="1">
        <v>86308.12</v>
      </c>
      <c r="M1160" s="1">
        <v>14291.8</v>
      </c>
      <c r="N1160" s="1" t="s">
        <v>2089</v>
      </c>
    </row>
    <row r="1161" spans="1:14">
      <c r="A1161" s="1" t="s">
        <v>1173</v>
      </c>
      <c r="B1161" s="2">
        <v>45715</v>
      </c>
      <c r="C1161" s="1" t="s">
        <v>2018</v>
      </c>
      <c r="D1161" s="1" t="s">
        <v>2033</v>
      </c>
      <c r="E1161" s="1" t="s">
        <v>2047</v>
      </c>
      <c r="F1161" s="1" t="s">
        <v>2051</v>
      </c>
      <c r="G1161" s="1" t="s">
        <v>2077</v>
      </c>
      <c r="H1161" s="1" t="s">
        <v>2087</v>
      </c>
      <c r="I1161" s="1">
        <v>9</v>
      </c>
      <c r="J1161" s="1">
        <v>15393.19</v>
      </c>
      <c r="K1161" s="1">
        <v>21.66</v>
      </c>
      <c r="L1161" s="1">
        <v>108531.23</v>
      </c>
      <c r="M1161" s="1">
        <v>10152.67</v>
      </c>
      <c r="N1161" s="1" t="s">
        <v>2089</v>
      </c>
    </row>
    <row r="1162" spans="1:14">
      <c r="A1162" s="1" t="s">
        <v>1174</v>
      </c>
      <c r="B1162" s="2">
        <v>45715</v>
      </c>
      <c r="C1162" s="1" t="s">
        <v>2014</v>
      </c>
      <c r="D1162" s="1" t="s">
        <v>2034</v>
      </c>
      <c r="E1162" s="1" t="s">
        <v>2046</v>
      </c>
      <c r="F1162" s="1" t="s">
        <v>2049</v>
      </c>
      <c r="G1162" s="1" t="s">
        <v>2055</v>
      </c>
      <c r="H1162" s="1" t="s">
        <v>2085</v>
      </c>
      <c r="I1162" s="1">
        <v>9</v>
      </c>
      <c r="J1162" s="1">
        <v>1442.74</v>
      </c>
      <c r="K1162" s="1">
        <v>11.49</v>
      </c>
      <c r="L1162" s="1">
        <v>11492.72</v>
      </c>
      <c r="M1162" s="1">
        <v>1296.26</v>
      </c>
      <c r="N1162" s="1" t="s">
        <v>2091</v>
      </c>
    </row>
    <row r="1163" spans="1:14">
      <c r="A1163" s="1" t="s">
        <v>1175</v>
      </c>
      <c r="B1163" s="2">
        <v>45715</v>
      </c>
      <c r="C1163" s="1" t="s">
        <v>2021</v>
      </c>
      <c r="D1163" s="1" t="s">
        <v>2035</v>
      </c>
      <c r="E1163" s="1" t="s">
        <v>2047</v>
      </c>
      <c r="F1163" s="1" t="s">
        <v>2053</v>
      </c>
      <c r="G1163" s="1" t="s">
        <v>2060</v>
      </c>
      <c r="H1163" s="1" t="s">
        <v>2085</v>
      </c>
      <c r="I1163" s="1">
        <v>10</v>
      </c>
      <c r="J1163" s="1">
        <v>648.17999999999995</v>
      </c>
      <c r="K1163" s="1">
        <v>24.67</v>
      </c>
      <c r="L1163" s="1">
        <v>4882.74</v>
      </c>
      <c r="M1163" s="1">
        <v>604.97</v>
      </c>
      <c r="N1163" s="1" t="s">
        <v>2088</v>
      </c>
    </row>
    <row r="1164" spans="1:14">
      <c r="A1164" s="1" t="s">
        <v>1176</v>
      </c>
      <c r="B1164" s="2">
        <v>45716</v>
      </c>
      <c r="C1164" s="1" t="s">
        <v>2020</v>
      </c>
      <c r="D1164" s="1" t="s">
        <v>2036</v>
      </c>
      <c r="E1164" s="1" t="s">
        <v>2048</v>
      </c>
      <c r="F1164" s="1" t="s">
        <v>2050</v>
      </c>
      <c r="G1164" s="1" t="s">
        <v>2070</v>
      </c>
      <c r="H1164" s="1" t="s">
        <v>2087</v>
      </c>
      <c r="I1164" s="1">
        <v>6</v>
      </c>
      <c r="J1164" s="1">
        <v>6878.46</v>
      </c>
      <c r="K1164" s="1">
        <v>20.6</v>
      </c>
      <c r="L1164" s="1">
        <v>32768.980000000003</v>
      </c>
      <c r="M1164" s="1">
        <v>5899.09</v>
      </c>
      <c r="N1164" s="1" t="s">
        <v>2090</v>
      </c>
    </row>
    <row r="1165" spans="1:14">
      <c r="A1165" s="1" t="s">
        <v>1177</v>
      </c>
      <c r="B1165" s="2">
        <v>45716</v>
      </c>
      <c r="C1165" s="1" t="s">
        <v>2027</v>
      </c>
      <c r="D1165" s="1" t="s">
        <v>2037</v>
      </c>
      <c r="E1165" s="1" t="s">
        <v>2046</v>
      </c>
      <c r="F1165" s="1" t="s">
        <v>2049</v>
      </c>
      <c r="G1165" s="1" t="s">
        <v>2058</v>
      </c>
      <c r="H1165" s="1" t="s">
        <v>2086</v>
      </c>
      <c r="I1165" s="1">
        <v>3</v>
      </c>
      <c r="J1165" s="1">
        <v>2417.9</v>
      </c>
      <c r="K1165" s="1">
        <v>24.27</v>
      </c>
      <c r="L1165" s="1">
        <v>5493.23</v>
      </c>
      <c r="M1165" s="1">
        <v>611.54</v>
      </c>
      <c r="N1165" s="1" t="s">
        <v>2092</v>
      </c>
    </row>
    <row r="1166" spans="1:14">
      <c r="A1166" s="1" t="s">
        <v>1178</v>
      </c>
      <c r="B1166" s="2">
        <v>45717</v>
      </c>
      <c r="C1166" s="1" t="s">
        <v>2014</v>
      </c>
      <c r="D1166" s="1" t="s">
        <v>2038</v>
      </c>
      <c r="E1166" s="1" t="s">
        <v>2047</v>
      </c>
      <c r="F1166" s="1" t="s">
        <v>2053</v>
      </c>
      <c r="G1166" s="1" t="s">
        <v>2067</v>
      </c>
      <c r="H1166" s="1" t="s">
        <v>2085</v>
      </c>
      <c r="I1166" s="1">
        <v>8</v>
      </c>
      <c r="J1166" s="1">
        <v>1283.27</v>
      </c>
      <c r="K1166" s="1">
        <v>16.920000000000002</v>
      </c>
      <c r="L1166" s="1">
        <v>8529.1299999999992</v>
      </c>
      <c r="M1166" s="1">
        <v>1820.82</v>
      </c>
      <c r="N1166" s="1" t="s">
        <v>2088</v>
      </c>
    </row>
    <row r="1167" spans="1:14">
      <c r="A1167" s="1" t="s">
        <v>1179</v>
      </c>
      <c r="B1167" s="2">
        <v>45717</v>
      </c>
      <c r="C1167" s="1" t="s">
        <v>2025</v>
      </c>
      <c r="D1167" s="1" t="s">
        <v>2039</v>
      </c>
      <c r="E1167" s="1" t="s">
        <v>2044</v>
      </c>
      <c r="F1167" s="1" t="s">
        <v>2054</v>
      </c>
      <c r="G1167" s="1" t="s">
        <v>2068</v>
      </c>
      <c r="H1167" s="1" t="s">
        <v>2085</v>
      </c>
      <c r="I1167" s="1">
        <v>9</v>
      </c>
      <c r="J1167" s="1">
        <v>46456.97</v>
      </c>
      <c r="K1167" s="1">
        <v>11.28</v>
      </c>
      <c r="L1167" s="1">
        <v>370949.61</v>
      </c>
      <c r="M1167" s="1">
        <v>68150.19</v>
      </c>
      <c r="N1167" s="1" t="s">
        <v>2092</v>
      </c>
    </row>
    <row r="1168" spans="1:14">
      <c r="A1168" s="1" t="s">
        <v>1180</v>
      </c>
      <c r="B1168" s="2">
        <v>45717</v>
      </c>
      <c r="C1168" s="1" t="s">
        <v>2022</v>
      </c>
      <c r="D1168" s="1" t="s">
        <v>2040</v>
      </c>
      <c r="E1168" s="1" t="s">
        <v>2048</v>
      </c>
      <c r="F1168" s="1" t="s">
        <v>2051</v>
      </c>
      <c r="G1168" s="1" t="s">
        <v>2057</v>
      </c>
      <c r="H1168" s="1" t="s">
        <v>2087</v>
      </c>
      <c r="I1168" s="1">
        <v>5</v>
      </c>
      <c r="J1168" s="1">
        <v>23621.5</v>
      </c>
      <c r="K1168" s="1">
        <v>21.59</v>
      </c>
      <c r="L1168" s="1">
        <v>92608.09</v>
      </c>
      <c r="M1168" s="1">
        <v>6812.26</v>
      </c>
      <c r="N1168" s="1" t="s">
        <v>2089</v>
      </c>
    </row>
    <row r="1169" spans="1:14">
      <c r="A1169" s="1" t="s">
        <v>1181</v>
      </c>
      <c r="B1169" s="2">
        <v>45718</v>
      </c>
      <c r="C1169" s="1" t="s">
        <v>2014</v>
      </c>
      <c r="D1169" s="1" t="s">
        <v>2041</v>
      </c>
      <c r="E1169" s="1" t="s">
        <v>2044</v>
      </c>
      <c r="F1169" s="1" t="s">
        <v>2052</v>
      </c>
      <c r="G1169" s="1" t="s">
        <v>2083</v>
      </c>
      <c r="H1169" s="1" t="s">
        <v>2086</v>
      </c>
      <c r="I1169" s="1">
        <v>4</v>
      </c>
      <c r="J1169" s="1">
        <v>4985.68</v>
      </c>
      <c r="K1169" s="1">
        <v>0.68</v>
      </c>
      <c r="L1169" s="1">
        <v>19807.11</v>
      </c>
      <c r="M1169" s="1">
        <v>4391.87</v>
      </c>
      <c r="N1169" s="1" t="s">
        <v>2091</v>
      </c>
    </row>
    <row r="1170" spans="1:14">
      <c r="A1170" s="1" t="s">
        <v>1182</v>
      </c>
      <c r="B1170" s="2">
        <v>45718</v>
      </c>
      <c r="C1170" s="1" t="s">
        <v>2016</v>
      </c>
      <c r="D1170" s="1" t="s">
        <v>2042</v>
      </c>
      <c r="E1170" s="1" t="s">
        <v>2046</v>
      </c>
      <c r="F1170" s="1" t="s">
        <v>2051</v>
      </c>
      <c r="G1170" s="1" t="s">
        <v>2077</v>
      </c>
      <c r="H1170" s="1" t="s">
        <v>2085</v>
      </c>
      <c r="I1170" s="1">
        <v>6</v>
      </c>
      <c r="J1170" s="1">
        <v>4744.2700000000004</v>
      </c>
      <c r="K1170" s="1">
        <v>8.91</v>
      </c>
      <c r="L1170" s="1">
        <v>25929.33</v>
      </c>
      <c r="M1170" s="1">
        <v>1648.27</v>
      </c>
      <c r="N1170" s="1" t="s">
        <v>2091</v>
      </c>
    </row>
    <row r="1171" spans="1:14">
      <c r="A1171" s="1" t="s">
        <v>1183</v>
      </c>
      <c r="B1171" s="2">
        <v>45718</v>
      </c>
      <c r="C1171" s="1" t="s">
        <v>2020</v>
      </c>
      <c r="D1171" s="1" t="s">
        <v>2043</v>
      </c>
      <c r="E1171" s="1" t="s">
        <v>2047</v>
      </c>
      <c r="F1171" s="1" t="s">
        <v>2049</v>
      </c>
      <c r="G1171" s="1" t="s">
        <v>2071</v>
      </c>
      <c r="H1171" s="1" t="s">
        <v>2087</v>
      </c>
      <c r="I1171" s="1">
        <v>1</v>
      </c>
      <c r="J1171" s="1">
        <v>375.66</v>
      </c>
      <c r="K1171" s="1">
        <v>14.03</v>
      </c>
      <c r="L1171" s="1">
        <v>322.95</v>
      </c>
      <c r="M1171" s="1">
        <v>21.87</v>
      </c>
      <c r="N1171" s="1" t="s">
        <v>2090</v>
      </c>
    </row>
    <row r="1172" spans="1:14">
      <c r="A1172" s="1" t="s">
        <v>1184</v>
      </c>
      <c r="B1172" s="2">
        <v>45719</v>
      </c>
      <c r="C1172" s="1" t="s">
        <v>2021</v>
      </c>
      <c r="D1172" s="1" t="s">
        <v>2029</v>
      </c>
      <c r="E1172" s="1" t="s">
        <v>2046</v>
      </c>
      <c r="F1172" s="1" t="s">
        <v>2053</v>
      </c>
      <c r="G1172" s="1" t="s">
        <v>2062</v>
      </c>
      <c r="H1172" s="1" t="s">
        <v>2087</v>
      </c>
      <c r="I1172" s="1">
        <v>1</v>
      </c>
      <c r="J1172" s="1">
        <v>2462.06</v>
      </c>
      <c r="K1172" s="1">
        <v>0.91</v>
      </c>
      <c r="L1172" s="1">
        <v>2439.66</v>
      </c>
      <c r="M1172" s="1">
        <v>731.04</v>
      </c>
      <c r="N1172" s="1" t="s">
        <v>2088</v>
      </c>
    </row>
    <row r="1173" spans="1:14">
      <c r="A1173" s="1" t="s">
        <v>1185</v>
      </c>
      <c r="B1173" s="2">
        <v>45719</v>
      </c>
      <c r="C1173" s="1" t="s">
        <v>2018</v>
      </c>
      <c r="D1173" s="1" t="s">
        <v>2030</v>
      </c>
      <c r="E1173" s="1" t="s">
        <v>2048</v>
      </c>
      <c r="F1173" s="1" t="s">
        <v>2051</v>
      </c>
      <c r="G1173" s="1" t="s">
        <v>2057</v>
      </c>
      <c r="H1173" s="1" t="s">
        <v>2085</v>
      </c>
      <c r="I1173" s="1">
        <v>2</v>
      </c>
      <c r="J1173" s="1">
        <v>37061.839999999997</v>
      </c>
      <c r="K1173" s="1">
        <v>10.63</v>
      </c>
      <c r="L1173" s="1">
        <v>66244.33</v>
      </c>
      <c r="M1173" s="1">
        <v>14269.91</v>
      </c>
      <c r="N1173" s="1" t="s">
        <v>2090</v>
      </c>
    </row>
    <row r="1174" spans="1:14">
      <c r="A1174" s="1" t="s">
        <v>1186</v>
      </c>
      <c r="B1174" s="2">
        <v>45719</v>
      </c>
      <c r="C1174" s="1" t="s">
        <v>2017</v>
      </c>
      <c r="D1174" s="1" t="s">
        <v>2031</v>
      </c>
      <c r="E1174" s="1" t="s">
        <v>2046</v>
      </c>
      <c r="F1174" s="1" t="s">
        <v>2049</v>
      </c>
      <c r="G1174" s="1" t="s">
        <v>2058</v>
      </c>
      <c r="H1174" s="1" t="s">
        <v>2085</v>
      </c>
      <c r="I1174" s="1">
        <v>6</v>
      </c>
      <c r="J1174" s="1">
        <v>488.58</v>
      </c>
      <c r="K1174" s="1">
        <v>13.69</v>
      </c>
      <c r="L1174" s="1">
        <v>2530.16</v>
      </c>
      <c r="M1174" s="1">
        <v>370.55</v>
      </c>
      <c r="N1174" s="1" t="s">
        <v>2088</v>
      </c>
    </row>
    <row r="1175" spans="1:14">
      <c r="A1175" s="1" t="s">
        <v>1187</v>
      </c>
      <c r="B1175" s="2">
        <v>45720</v>
      </c>
      <c r="C1175" s="1" t="s">
        <v>2022</v>
      </c>
      <c r="D1175" s="1" t="s">
        <v>2032</v>
      </c>
      <c r="E1175" s="1" t="s">
        <v>2044</v>
      </c>
      <c r="F1175" s="1" t="s">
        <v>2054</v>
      </c>
      <c r="G1175" s="1" t="s">
        <v>2081</v>
      </c>
      <c r="H1175" s="1" t="s">
        <v>2085</v>
      </c>
      <c r="I1175" s="1">
        <v>2</v>
      </c>
      <c r="J1175" s="1">
        <v>26193.93</v>
      </c>
      <c r="K1175" s="1">
        <v>9.56</v>
      </c>
      <c r="L1175" s="1">
        <v>47379.58</v>
      </c>
      <c r="M1175" s="1">
        <v>7681.92</v>
      </c>
      <c r="N1175" s="1" t="s">
        <v>2088</v>
      </c>
    </row>
    <row r="1176" spans="1:14">
      <c r="A1176" s="1" t="s">
        <v>1188</v>
      </c>
      <c r="B1176" s="2">
        <v>45720</v>
      </c>
      <c r="C1176" s="1" t="s">
        <v>2027</v>
      </c>
      <c r="D1176" s="1" t="s">
        <v>2033</v>
      </c>
      <c r="E1176" s="1" t="s">
        <v>2045</v>
      </c>
      <c r="F1176" s="1" t="s">
        <v>2051</v>
      </c>
      <c r="G1176" s="1" t="s">
        <v>2077</v>
      </c>
      <c r="H1176" s="1" t="s">
        <v>2085</v>
      </c>
      <c r="I1176" s="1">
        <v>5</v>
      </c>
      <c r="J1176" s="1">
        <v>12890.29</v>
      </c>
      <c r="K1176" s="1">
        <v>29.71</v>
      </c>
      <c r="L1176" s="1">
        <v>45302.92</v>
      </c>
      <c r="M1176" s="1">
        <v>3124.22</v>
      </c>
      <c r="N1176" s="1" t="s">
        <v>2088</v>
      </c>
    </row>
    <row r="1177" spans="1:14">
      <c r="A1177" s="1" t="s">
        <v>1189</v>
      </c>
      <c r="B1177" s="2">
        <v>45721</v>
      </c>
      <c r="C1177" s="1" t="s">
        <v>2021</v>
      </c>
      <c r="D1177" s="1" t="s">
        <v>2034</v>
      </c>
      <c r="E1177" s="1" t="s">
        <v>2045</v>
      </c>
      <c r="F1177" s="1" t="s">
        <v>2049</v>
      </c>
      <c r="G1177" s="1" t="s">
        <v>2082</v>
      </c>
      <c r="H1177" s="1" t="s">
        <v>2085</v>
      </c>
      <c r="I1177" s="1">
        <v>4</v>
      </c>
      <c r="J1177" s="1">
        <v>813.11</v>
      </c>
      <c r="K1177" s="1">
        <v>21.47</v>
      </c>
      <c r="L1177" s="1">
        <v>2554.14</v>
      </c>
      <c r="M1177" s="1">
        <v>588.46</v>
      </c>
      <c r="N1177" s="1" t="s">
        <v>2090</v>
      </c>
    </row>
    <row r="1178" spans="1:14">
      <c r="A1178" s="1" t="s">
        <v>1190</v>
      </c>
      <c r="B1178" s="2">
        <v>45721</v>
      </c>
      <c r="C1178" s="1" t="s">
        <v>2016</v>
      </c>
      <c r="D1178" s="1" t="s">
        <v>2035</v>
      </c>
      <c r="E1178" s="1" t="s">
        <v>2044</v>
      </c>
      <c r="F1178" s="1" t="s">
        <v>2052</v>
      </c>
      <c r="G1178" s="1" t="s">
        <v>2083</v>
      </c>
      <c r="H1178" s="1" t="s">
        <v>2085</v>
      </c>
      <c r="I1178" s="1">
        <v>7</v>
      </c>
      <c r="J1178" s="1">
        <v>3294.8</v>
      </c>
      <c r="K1178" s="1">
        <v>17.82</v>
      </c>
      <c r="L1178" s="1">
        <v>18953.669999999998</v>
      </c>
      <c r="M1178" s="1">
        <v>4006.39</v>
      </c>
      <c r="N1178" s="1" t="s">
        <v>2091</v>
      </c>
    </row>
    <row r="1179" spans="1:14">
      <c r="A1179" s="1" t="s">
        <v>1191</v>
      </c>
      <c r="B1179" s="2">
        <v>45721</v>
      </c>
      <c r="C1179" s="1" t="s">
        <v>2019</v>
      </c>
      <c r="D1179" s="1" t="s">
        <v>2036</v>
      </c>
      <c r="E1179" s="1" t="s">
        <v>2044</v>
      </c>
      <c r="F1179" s="1" t="s">
        <v>2051</v>
      </c>
      <c r="G1179" s="1" t="s">
        <v>2057</v>
      </c>
      <c r="H1179" s="1" t="s">
        <v>2087</v>
      </c>
      <c r="I1179" s="1">
        <v>10</v>
      </c>
      <c r="J1179" s="1">
        <v>5377.4</v>
      </c>
      <c r="K1179" s="1">
        <v>8.74</v>
      </c>
      <c r="L1179" s="1">
        <v>49074.15</v>
      </c>
      <c r="M1179" s="1">
        <v>9988.84</v>
      </c>
      <c r="N1179" s="1" t="s">
        <v>2091</v>
      </c>
    </row>
    <row r="1180" spans="1:14">
      <c r="A1180" s="1" t="s">
        <v>1192</v>
      </c>
      <c r="B1180" s="2">
        <v>45722</v>
      </c>
      <c r="C1180" s="1" t="s">
        <v>2021</v>
      </c>
      <c r="D1180" s="1" t="s">
        <v>2037</v>
      </c>
      <c r="E1180" s="1" t="s">
        <v>2045</v>
      </c>
      <c r="F1180" s="1" t="s">
        <v>2052</v>
      </c>
      <c r="G1180" s="1" t="s">
        <v>2078</v>
      </c>
      <c r="H1180" s="1" t="s">
        <v>2087</v>
      </c>
      <c r="I1180" s="1">
        <v>5</v>
      </c>
      <c r="J1180" s="1">
        <v>3760.58</v>
      </c>
      <c r="K1180" s="1">
        <v>15.04</v>
      </c>
      <c r="L1180" s="1">
        <v>15974.94</v>
      </c>
      <c r="M1180" s="1">
        <v>972.06</v>
      </c>
      <c r="N1180" s="1" t="s">
        <v>2088</v>
      </c>
    </row>
    <row r="1181" spans="1:14">
      <c r="A1181" s="1" t="s">
        <v>1193</v>
      </c>
      <c r="B1181" s="2">
        <v>45722</v>
      </c>
      <c r="C1181" s="1" t="s">
        <v>2021</v>
      </c>
      <c r="D1181" s="1" t="s">
        <v>2038</v>
      </c>
      <c r="E1181" s="1" t="s">
        <v>2045</v>
      </c>
      <c r="F1181" s="1" t="s">
        <v>2050</v>
      </c>
      <c r="G1181" s="1" t="s">
        <v>2056</v>
      </c>
      <c r="H1181" s="1" t="s">
        <v>2086</v>
      </c>
      <c r="I1181" s="1">
        <v>1</v>
      </c>
      <c r="J1181" s="1">
        <v>4113.95</v>
      </c>
      <c r="K1181" s="1">
        <v>12.83</v>
      </c>
      <c r="L1181" s="1">
        <v>3586.13</v>
      </c>
      <c r="M1181" s="1">
        <v>1036.4100000000001</v>
      </c>
      <c r="N1181" s="1" t="s">
        <v>2092</v>
      </c>
    </row>
    <row r="1182" spans="1:14">
      <c r="A1182" s="1" t="s">
        <v>1194</v>
      </c>
      <c r="B1182" s="2">
        <v>45722</v>
      </c>
      <c r="C1182" s="1" t="s">
        <v>2026</v>
      </c>
      <c r="D1182" s="1" t="s">
        <v>2039</v>
      </c>
      <c r="E1182" s="1" t="s">
        <v>2048</v>
      </c>
      <c r="F1182" s="1" t="s">
        <v>2052</v>
      </c>
      <c r="G1182" s="1" t="s">
        <v>2078</v>
      </c>
      <c r="H1182" s="1" t="s">
        <v>2087</v>
      </c>
      <c r="I1182" s="1">
        <v>1</v>
      </c>
      <c r="J1182" s="1">
        <v>3904.09</v>
      </c>
      <c r="K1182" s="1">
        <v>13.91</v>
      </c>
      <c r="L1182" s="1">
        <v>3361.03</v>
      </c>
      <c r="M1182" s="1">
        <v>242.43</v>
      </c>
      <c r="N1182" s="1" t="s">
        <v>2089</v>
      </c>
    </row>
    <row r="1183" spans="1:14">
      <c r="A1183" s="1" t="s">
        <v>1195</v>
      </c>
      <c r="B1183" s="2">
        <v>45723</v>
      </c>
      <c r="C1183" s="1" t="s">
        <v>2027</v>
      </c>
      <c r="D1183" s="1" t="s">
        <v>2040</v>
      </c>
      <c r="E1183" s="1" t="s">
        <v>2045</v>
      </c>
      <c r="F1183" s="1" t="s">
        <v>2053</v>
      </c>
      <c r="G1183" s="1" t="s">
        <v>2067</v>
      </c>
      <c r="H1183" s="1" t="s">
        <v>2087</v>
      </c>
      <c r="I1183" s="1">
        <v>2</v>
      </c>
      <c r="J1183" s="1">
        <v>1775.72</v>
      </c>
      <c r="K1183" s="1">
        <v>18.71</v>
      </c>
      <c r="L1183" s="1">
        <v>2886.97</v>
      </c>
      <c r="M1183" s="1">
        <v>280.77</v>
      </c>
      <c r="N1183" s="1" t="s">
        <v>2091</v>
      </c>
    </row>
    <row r="1184" spans="1:14">
      <c r="A1184" s="1" t="s">
        <v>1196</v>
      </c>
      <c r="B1184" s="2">
        <v>45723</v>
      </c>
      <c r="C1184" s="1" t="s">
        <v>2018</v>
      </c>
      <c r="D1184" s="1" t="s">
        <v>2041</v>
      </c>
      <c r="E1184" s="1" t="s">
        <v>2045</v>
      </c>
      <c r="F1184" s="1" t="s">
        <v>2052</v>
      </c>
      <c r="G1184" s="1" t="s">
        <v>2078</v>
      </c>
      <c r="H1184" s="1" t="s">
        <v>2087</v>
      </c>
      <c r="I1184" s="1">
        <v>10</v>
      </c>
      <c r="J1184" s="1">
        <v>5008.3500000000004</v>
      </c>
      <c r="K1184" s="1">
        <v>28.98</v>
      </c>
      <c r="L1184" s="1">
        <v>35569.300000000003</v>
      </c>
      <c r="M1184" s="1">
        <v>9179</v>
      </c>
      <c r="N1184" s="1" t="s">
        <v>2088</v>
      </c>
    </row>
    <row r="1185" spans="1:14">
      <c r="A1185" s="1" t="s">
        <v>1197</v>
      </c>
      <c r="B1185" s="2">
        <v>45724</v>
      </c>
      <c r="C1185" s="1" t="s">
        <v>2024</v>
      </c>
      <c r="D1185" s="1" t="s">
        <v>2042</v>
      </c>
      <c r="E1185" s="1" t="s">
        <v>2046</v>
      </c>
      <c r="F1185" s="1" t="s">
        <v>2053</v>
      </c>
      <c r="G1185" s="1" t="s">
        <v>2067</v>
      </c>
      <c r="H1185" s="1" t="s">
        <v>2085</v>
      </c>
      <c r="I1185" s="1">
        <v>2</v>
      </c>
      <c r="J1185" s="1">
        <v>2473.3000000000002</v>
      </c>
      <c r="K1185" s="1">
        <v>28.47</v>
      </c>
      <c r="L1185" s="1">
        <v>3538.3</v>
      </c>
      <c r="M1185" s="1">
        <v>246.15</v>
      </c>
      <c r="N1185" s="1" t="s">
        <v>2090</v>
      </c>
    </row>
    <row r="1186" spans="1:14">
      <c r="A1186" s="1" t="s">
        <v>1198</v>
      </c>
      <c r="B1186" s="2">
        <v>45724</v>
      </c>
      <c r="C1186" s="1" t="s">
        <v>2016</v>
      </c>
      <c r="D1186" s="1" t="s">
        <v>2043</v>
      </c>
      <c r="E1186" s="1" t="s">
        <v>2044</v>
      </c>
      <c r="F1186" s="1" t="s">
        <v>2050</v>
      </c>
      <c r="G1186" s="1" t="s">
        <v>2064</v>
      </c>
      <c r="H1186" s="1" t="s">
        <v>2085</v>
      </c>
      <c r="I1186" s="1">
        <v>1</v>
      </c>
      <c r="J1186" s="1">
        <v>3694.58</v>
      </c>
      <c r="K1186" s="1">
        <v>19.03</v>
      </c>
      <c r="L1186" s="1">
        <v>2991.5</v>
      </c>
      <c r="M1186" s="1">
        <v>728.79</v>
      </c>
      <c r="N1186" s="1" t="s">
        <v>2089</v>
      </c>
    </row>
    <row r="1187" spans="1:14">
      <c r="A1187" s="1" t="s">
        <v>1199</v>
      </c>
      <c r="B1187" s="2">
        <v>45724</v>
      </c>
      <c r="C1187" s="1" t="s">
        <v>2027</v>
      </c>
      <c r="D1187" s="1" t="s">
        <v>2029</v>
      </c>
      <c r="E1187" s="1" t="s">
        <v>2047</v>
      </c>
      <c r="F1187" s="1" t="s">
        <v>2049</v>
      </c>
      <c r="G1187" s="1" t="s">
        <v>2058</v>
      </c>
      <c r="H1187" s="1" t="s">
        <v>2086</v>
      </c>
      <c r="I1187" s="1">
        <v>2</v>
      </c>
      <c r="J1187" s="1">
        <v>180.07</v>
      </c>
      <c r="K1187" s="1">
        <v>11.82</v>
      </c>
      <c r="L1187" s="1">
        <v>317.57</v>
      </c>
      <c r="M1187" s="1">
        <v>48.94</v>
      </c>
      <c r="N1187" s="1" t="s">
        <v>2091</v>
      </c>
    </row>
    <row r="1188" spans="1:14">
      <c r="A1188" s="1" t="s">
        <v>1200</v>
      </c>
      <c r="B1188" s="2">
        <v>45725</v>
      </c>
      <c r="C1188" s="1" t="s">
        <v>2023</v>
      </c>
      <c r="D1188" s="1" t="s">
        <v>2030</v>
      </c>
      <c r="E1188" s="1" t="s">
        <v>2047</v>
      </c>
      <c r="F1188" s="1" t="s">
        <v>2050</v>
      </c>
      <c r="G1188" s="1" t="s">
        <v>2064</v>
      </c>
      <c r="H1188" s="1" t="s">
        <v>2087</v>
      </c>
      <c r="I1188" s="1">
        <v>2</v>
      </c>
      <c r="J1188" s="1">
        <v>2686.85</v>
      </c>
      <c r="K1188" s="1">
        <v>27.98</v>
      </c>
      <c r="L1188" s="1">
        <v>3870.14</v>
      </c>
      <c r="M1188" s="1">
        <v>433.91</v>
      </c>
      <c r="N1188" s="1" t="s">
        <v>2092</v>
      </c>
    </row>
    <row r="1189" spans="1:14">
      <c r="A1189" s="1" t="s">
        <v>1201</v>
      </c>
      <c r="B1189" s="2">
        <v>45725</v>
      </c>
      <c r="C1189" s="1" t="s">
        <v>2015</v>
      </c>
      <c r="D1189" s="1" t="s">
        <v>2031</v>
      </c>
      <c r="E1189" s="1" t="s">
        <v>2045</v>
      </c>
      <c r="F1189" s="1" t="s">
        <v>2053</v>
      </c>
      <c r="G1189" s="1" t="s">
        <v>2062</v>
      </c>
      <c r="H1189" s="1" t="s">
        <v>2087</v>
      </c>
      <c r="I1189" s="1">
        <v>5</v>
      </c>
      <c r="J1189" s="1">
        <v>2216.13</v>
      </c>
      <c r="K1189" s="1">
        <v>25.16</v>
      </c>
      <c r="L1189" s="1">
        <v>8292.76</v>
      </c>
      <c r="M1189" s="1">
        <v>1621.61</v>
      </c>
      <c r="N1189" s="1" t="s">
        <v>2089</v>
      </c>
    </row>
    <row r="1190" spans="1:14">
      <c r="A1190" s="1" t="s">
        <v>1202</v>
      </c>
      <c r="B1190" s="2">
        <v>45725</v>
      </c>
      <c r="C1190" s="1" t="s">
        <v>2017</v>
      </c>
      <c r="D1190" s="1" t="s">
        <v>2032</v>
      </c>
      <c r="E1190" s="1" t="s">
        <v>2047</v>
      </c>
      <c r="F1190" s="1" t="s">
        <v>2049</v>
      </c>
      <c r="G1190" s="1" t="s">
        <v>2082</v>
      </c>
      <c r="H1190" s="1" t="s">
        <v>2085</v>
      </c>
      <c r="I1190" s="1">
        <v>1</v>
      </c>
      <c r="J1190" s="1">
        <v>1345.67</v>
      </c>
      <c r="K1190" s="1">
        <v>25.3</v>
      </c>
      <c r="L1190" s="1">
        <v>1005.22</v>
      </c>
      <c r="M1190" s="1">
        <v>173.3</v>
      </c>
      <c r="N1190" s="1" t="s">
        <v>2089</v>
      </c>
    </row>
    <row r="1191" spans="1:14">
      <c r="A1191" s="1" t="s">
        <v>1203</v>
      </c>
      <c r="B1191" s="2">
        <v>45726</v>
      </c>
      <c r="C1191" s="1" t="s">
        <v>2027</v>
      </c>
      <c r="D1191" s="1" t="s">
        <v>2033</v>
      </c>
      <c r="E1191" s="1" t="s">
        <v>2044</v>
      </c>
      <c r="F1191" s="1" t="s">
        <v>2051</v>
      </c>
      <c r="G1191" s="1" t="s">
        <v>2077</v>
      </c>
      <c r="H1191" s="1" t="s">
        <v>2087</v>
      </c>
      <c r="I1191" s="1">
        <v>6</v>
      </c>
      <c r="J1191" s="1">
        <v>14152.27</v>
      </c>
      <c r="K1191" s="1">
        <v>21.54</v>
      </c>
      <c r="L1191" s="1">
        <v>66623.23</v>
      </c>
      <c r="M1191" s="1">
        <v>15703.45</v>
      </c>
      <c r="N1191" s="1" t="s">
        <v>2090</v>
      </c>
    </row>
    <row r="1192" spans="1:14">
      <c r="A1192" s="1" t="s">
        <v>1204</v>
      </c>
      <c r="B1192" s="2">
        <v>45726</v>
      </c>
      <c r="C1192" s="1" t="s">
        <v>2015</v>
      </c>
      <c r="D1192" s="1" t="s">
        <v>2034</v>
      </c>
      <c r="E1192" s="1" t="s">
        <v>2044</v>
      </c>
      <c r="F1192" s="1" t="s">
        <v>2052</v>
      </c>
      <c r="G1192" s="1" t="s">
        <v>2072</v>
      </c>
      <c r="H1192" s="1" t="s">
        <v>2087</v>
      </c>
      <c r="I1192" s="1">
        <v>9</v>
      </c>
      <c r="J1192" s="1">
        <v>339.18</v>
      </c>
      <c r="K1192" s="1">
        <v>4.5999999999999996</v>
      </c>
      <c r="L1192" s="1">
        <v>2912.2</v>
      </c>
      <c r="M1192" s="1">
        <v>452.22</v>
      </c>
      <c r="N1192" s="1" t="s">
        <v>2088</v>
      </c>
    </row>
    <row r="1193" spans="1:14">
      <c r="A1193" s="1" t="s">
        <v>1205</v>
      </c>
      <c r="B1193" s="2">
        <v>45726</v>
      </c>
      <c r="C1193" s="1" t="s">
        <v>2018</v>
      </c>
      <c r="D1193" s="1" t="s">
        <v>2035</v>
      </c>
      <c r="E1193" s="1" t="s">
        <v>2045</v>
      </c>
      <c r="F1193" s="1" t="s">
        <v>2052</v>
      </c>
      <c r="G1193" s="1" t="s">
        <v>2065</v>
      </c>
      <c r="H1193" s="1" t="s">
        <v>2086</v>
      </c>
      <c r="I1193" s="1">
        <v>10</v>
      </c>
      <c r="J1193" s="1">
        <v>4570.28</v>
      </c>
      <c r="K1193" s="1">
        <v>6.74</v>
      </c>
      <c r="L1193" s="1">
        <v>42622.43</v>
      </c>
      <c r="M1193" s="1">
        <v>9876.2900000000009</v>
      </c>
      <c r="N1193" s="1" t="s">
        <v>2092</v>
      </c>
    </row>
    <row r="1194" spans="1:14">
      <c r="A1194" s="1" t="s">
        <v>1206</v>
      </c>
      <c r="B1194" s="2">
        <v>45727</v>
      </c>
      <c r="C1194" s="1" t="s">
        <v>2022</v>
      </c>
      <c r="D1194" s="1" t="s">
        <v>2036</v>
      </c>
      <c r="E1194" s="1" t="s">
        <v>2045</v>
      </c>
      <c r="F1194" s="1" t="s">
        <v>2053</v>
      </c>
      <c r="G1194" s="1" t="s">
        <v>2062</v>
      </c>
      <c r="H1194" s="1" t="s">
        <v>2087</v>
      </c>
      <c r="I1194" s="1">
        <v>8</v>
      </c>
      <c r="J1194" s="1">
        <v>549.64</v>
      </c>
      <c r="K1194" s="1">
        <v>27.28</v>
      </c>
      <c r="L1194" s="1">
        <v>3197.59</v>
      </c>
      <c r="M1194" s="1">
        <v>575.55999999999995</v>
      </c>
      <c r="N1194" s="1" t="s">
        <v>2092</v>
      </c>
    </row>
    <row r="1195" spans="1:14">
      <c r="A1195" s="1" t="s">
        <v>1207</v>
      </c>
      <c r="B1195" s="2">
        <v>45727</v>
      </c>
      <c r="C1195" s="1" t="s">
        <v>2016</v>
      </c>
      <c r="D1195" s="1" t="s">
        <v>2037</v>
      </c>
      <c r="E1195" s="1" t="s">
        <v>2047</v>
      </c>
      <c r="F1195" s="1" t="s">
        <v>2053</v>
      </c>
      <c r="G1195" s="1" t="s">
        <v>2073</v>
      </c>
      <c r="H1195" s="1" t="s">
        <v>2085</v>
      </c>
      <c r="I1195" s="1">
        <v>5</v>
      </c>
      <c r="J1195" s="1">
        <v>2086.79</v>
      </c>
      <c r="K1195" s="1">
        <v>0.68</v>
      </c>
      <c r="L1195" s="1">
        <v>10363</v>
      </c>
      <c r="M1195" s="1">
        <v>1149.8900000000001</v>
      </c>
      <c r="N1195" s="1" t="s">
        <v>2090</v>
      </c>
    </row>
    <row r="1196" spans="1:14">
      <c r="A1196" s="1" t="s">
        <v>1208</v>
      </c>
      <c r="B1196" s="2">
        <v>45728</v>
      </c>
      <c r="C1196" s="1" t="s">
        <v>2024</v>
      </c>
      <c r="D1196" s="1" t="s">
        <v>2038</v>
      </c>
      <c r="E1196" s="1" t="s">
        <v>2047</v>
      </c>
      <c r="F1196" s="1" t="s">
        <v>2053</v>
      </c>
      <c r="G1196" s="1" t="s">
        <v>2067</v>
      </c>
      <c r="H1196" s="1" t="s">
        <v>2085</v>
      </c>
      <c r="I1196" s="1">
        <v>7</v>
      </c>
      <c r="J1196" s="1">
        <v>350.49</v>
      </c>
      <c r="K1196" s="1">
        <v>29.48</v>
      </c>
      <c r="L1196" s="1">
        <v>1730.16</v>
      </c>
      <c r="M1196" s="1">
        <v>458.6</v>
      </c>
      <c r="N1196" s="1" t="s">
        <v>2088</v>
      </c>
    </row>
    <row r="1197" spans="1:14">
      <c r="A1197" s="1" t="s">
        <v>1209</v>
      </c>
      <c r="B1197" s="2">
        <v>45728</v>
      </c>
      <c r="C1197" s="1" t="s">
        <v>2024</v>
      </c>
      <c r="D1197" s="1" t="s">
        <v>2039</v>
      </c>
      <c r="E1197" s="1" t="s">
        <v>2048</v>
      </c>
      <c r="F1197" s="1" t="s">
        <v>2053</v>
      </c>
      <c r="G1197" s="1" t="s">
        <v>2060</v>
      </c>
      <c r="H1197" s="1" t="s">
        <v>2086</v>
      </c>
      <c r="I1197" s="1">
        <v>9</v>
      </c>
      <c r="J1197" s="1">
        <v>1879.85</v>
      </c>
      <c r="K1197" s="1">
        <v>11.59</v>
      </c>
      <c r="L1197" s="1">
        <v>14957.78</v>
      </c>
      <c r="M1197" s="1">
        <v>1983.01</v>
      </c>
      <c r="N1197" s="1" t="s">
        <v>2088</v>
      </c>
    </row>
    <row r="1198" spans="1:14">
      <c r="A1198" s="1" t="s">
        <v>1210</v>
      </c>
      <c r="B1198" s="2">
        <v>45728</v>
      </c>
      <c r="C1198" s="1" t="s">
        <v>2027</v>
      </c>
      <c r="D1198" s="1" t="s">
        <v>2040</v>
      </c>
      <c r="E1198" s="1" t="s">
        <v>2044</v>
      </c>
      <c r="F1198" s="1" t="s">
        <v>2053</v>
      </c>
      <c r="G1198" s="1" t="s">
        <v>2060</v>
      </c>
      <c r="H1198" s="1" t="s">
        <v>2085</v>
      </c>
      <c r="I1198" s="1">
        <v>5</v>
      </c>
      <c r="J1198" s="1">
        <v>1752.1</v>
      </c>
      <c r="K1198" s="1">
        <v>8.85</v>
      </c>
      <c r="L1198" s="1">
        <v>7985.2</v>
      </c>
      <c r="M1198" s="1">
        <v>2222.71</v>
      </c>
      <c r="N1198" s="1" t="s">
        <v>2089</v>
      </c>
    </row>
    <row r="1199" spans="1:14">
      <c r="A1199" s="1" t="s">
        <v>1211</v>
      </c>
      <c r="B1199" s="2">
        <v>45729</v>
      </c>
      <c r="C1199" s="1" t="s">
        <v>2023</v>
      </c>
      <c r="D1199" s="1" t="s">
        <v>2041</v>
      </c>
      <c r="E1199" s="1" t="s">
        <v>2047</v>
      </c>
      <c r="F1199" s="1" t="s">
        <v>2052</v>
      </c>
      <c r="G1199" s="1" t="s">
        <v>2065</v>
      </c>
      <c r="H1199" s="1" t="s">
        <v>2087</v>
      </c>
      <c r="I1199" s="1">
        <v>10</v>
      </c>
      <c r="J1199" s="1">
        <v>4490.22</v>
      </c>
      <c r="K1199" s="1">
        <v>0.65</v>
      </c>
      <c r="L1199" s="1">
        <v>44610.34</v>
      </c>
      <c r="M1199" s="1">
        <v>7623.83</v>
      </c>
      <c r="N1199" s="1" t="s">
        <v>2088</v>
      </c>
    </row>
    <row r="1200" spans="1:14">
      <c r="A1200" s="1" t="s">
        <v>1212</v>
      </c>
      <c r="B1200" s="2">
        <v>45729</v>
      </c>
      <c r="C1200" s="1" t="s">
        <v>2019</v>
      </c>
      <c r="D1200" s="1" t="s">
        <v>2042</v>
      </c>
      <c r="E1200" s="1" t="s">
        <v>2045</v>
      </c>
      <c r="F1200" s="1" t="s">
        <v>2052</v>
      </c>
      <c r="G1200" s="1" t="s">
        <v>2059</v>
      </c>
      <c r="H1200" s="1" t="s">
        <v>2085</v>
      </c>
      <c r="I1200" s="1">
        <v>5</v>
      </c>
      <c r="J1200" s="1">
        <v>4280.2299999999996</v>
      </c>
      <c r="K1200" s="1">
        <v>24.99</v>
      </c>
      <c r="L1200" s="1">
        <v>16053</v>
      </c>
      <c r="M1200" s="1">
        <v>4764.3999999999996</v>
      </c>
      <c r="N1200" s="1" t="s">
        <v>2091</v>
      </c>
    </row>
    <row r="1201" spans="1:14">
      <c r="A1201" s="1" t="s">
        <v>1213</v>
      </c>
      <c r="B1201" s="2">
        <v>45729</v>
      </c>
      <c r="C1201" s="1" t="s">
        <v>2016</v>
      </c>
      <c r="D1201" s="1" t="s">
        <v>2043</v>
      </c>
      <c r="E1201" s="1" t="s">
        <v>2047</v>
      </c>
      <c r="F1201" s="1" t="s">
        <v>2049</v>
      </c>
      <c r="G1201" s="1" t="s">
        <v>2082</v>
      </c>
      <c r="H1201" s="1" t="s">
        <v>2086</v>
      </c>
      <c r="I1201" s="1">
        <v>5</v>
      </c>
      <c r="J1201" s="1">
        <v>2769.28</v>
      </c>
      <c r="K1201" s="1">
        <v>11.2</v>
      </c>
      <c r="L1201" s="1">
        <v>12295.6</v>
      </c>
      <c r="M1201" s="1">
        <v>3387.81</v>
      </c>
      <c r="N1201" s="1" t="s">
        <v>2092</v>
      </c>
    </row>
    <row r="1202" spans="1:14">
      <c r="A1202" s="1" t="s">
        <v>1214</v>
      </c>
      <c r="B1202" s="2">
        <v>45730</v>
      </c>
      <c r="C1202" s="1" t="s">
        <v>2018</v>
      </c>
      <c r="D1202" s="1" t="s">
        <v>2029</v>
      </c>
      <c r="E1202" s="1" t="s">
        <v>2048</v>
      </c>
      <c r="F1202" s="1" t="s">
        <v>2052</v>
      </c>
      <c r="G1202" s="1" t="s">
        <v>2065</v>
      </c>
      <c r="H1202" s="1" t="s">
        <v>2087</v>
      </c>
      <c r="I1202" s="1">
        <v>9</v>
      </c>
      <c r="J1202" s="1">
        <v>2699.04</v>
      </c>
      <c r="K1202" s="1">
        <v>7.88</v>
      </c>
      <c r="L1202" s="1">
        <v>22377.200000000001</v>
      </c>
      <c r="M1202" s="1">
        <v>1338.45</v>
      </c>
      <c r="N1202" s="1" t="s">
        <v>2092</v>
      </c>
    </row>
    <row r="1203" spans="1:14">
      <c r="A1203" s="1" t="s">
        <v>1215</v>
      </c>
      <c r="B1203" s="2">
        <v>45730</v>
      </c>
      <c r="C1203" s="1" t="s">
        <v>2019</v>
      </c>
      <c r="D1203" s="1" t="s">
        <v>2030</v>
      </c>
      <c r="E1203" s="1" t="s">
        <v>2044</v>
      </c>
      <c r="F1203" s="1" t="s">
        <v>2053</v>
      </c>
      <c r="G1203" s="1" t="s">
        <v>2067</v>
      </c>
      <c r="H1203" s="1" t="s">
        <v>2085</v>
      </c>
      <c r="I1203" s="1">
        <v>1</v>
      </c>
      <c r="J1203" s="1">
        <v>1794.96</v>
      </c>
      <c r="K1203" s="1">
        <v>23.48</v>
      </c>
      <c r="L1203" s="1">
        <v>1373.5</v>
      </c>
      <c r="M1203" s="1">
        <v>225.02</v>
      </c>
      <c r="N1203" s="1" t="s">
        <v>2089</v>
      </c>
    </row>
    <row r="1204" spans="1:14">
      <c r="A1204" s="1" t="s">
        <v>1216</v>
      </c>
      <c r="B1204" s="2">
        <v>45730</v>
      </c>
      <c r="C1204" s="1" t="s">
        <v>2016</v>
      </c>
      <c r="D1204" s="1" t="s">
        <v>2031</v>
      </c>
      <c r="E1204" s="1" t="s">
        <v>2046</v>
      </c>
      <c r="F1204" s="1" t="s">
        <v>2051</v>
      </c>
      <c r="G1204" s="1" t="s">
        <v>2057</v>
      </c>
      <c r="H1204" s="1" t="s">
        <v>2087</v>
      </c>
      <c r="I1204" s="1">
        <v>4</v>
      </c>
      <c r="J1204" s="1">
        <v>23618.74</v>
      </c>
      <c r="K1204" s="1">
        <v>28.44</v>
      </c>
      <c r="L1204" s="1">
        <v>67606.28</v>
      </c>
      <c r="M1204" s="1">
        <v>4542.3100000000004</v>
      </c>
      <c r="N1204" s="1" t="s">
        <v>2090</v>
      </c>
    </row>
    <row r="1205" spans="1:14">
      <c r="A1205" s="1" t="s">
        <v>1217</v>
      </c>
      <c r="B1205" s="2">
        <v>45731</v>
      </c>
      <c r="C1205" s="1" t="s">
        <v>2027</v>
      </c>
      <c r="D1205" s="1" t="s">
        <v>2032</v>
      </c>
      <c r="E1205" s="1" t="s">
        <v>2047</v>
      </c>
      <c r="F1205" s="1" t="s">
        <v>2054</v>
      </c>
      <c r="G1205" s="1" t="s">
        <v>2079</v>
      </c>
      <c r="H1205" s="1" t="s">
        <v>2087</v>
      </c>
      <c r="I1205" s="1">
        <v>9</v>
      </c>
      <c r="J1205" s="1">
        <v>73198.009999999995</v>
      </c>
      <c r="K1205" s="1">
        <v>0.62</v>
      </c>
      <c r="L1205" s="1">
        <v>654697.64</v>
      </c>
      <c r="M1205" s="1">
        <v>190246.97</v>
      </c>
      <c r="N1205" s="1" t="s">
        <v>2089</v>
      </c>
    </row>
    <row r="1206" spans="1:14">
      <c r="A1206" s="1" t="s">
        <v>1218</v>
      </c>
      <c r="B1206" s="2">
        <v>45731</v>
      </c>
      <c r="C1206" s="1" t="s">
        <v>2026</v>
      </c>
      <c r="D1206" s="1" t="s">
        <v>2033</v>
      </c>
      <c r="E1206" s="1" t="s">
        <v>2045</v>
      </c>
      <c r="F1206" s="1" t="s">
        <v>2054</v>
      </c>
      <c r="G1206" s="1" t="s">
        <v>2081</v>
      </c>
      <c r="H1206" s="1" t="s">
        <v>2087</v>
      </c>
      <c r="I1206" s="1">
        <v>8</v>
      </c>
      <c r="J1206" s="1">
        <v>77393.45</v>
      </c>
      <c r="K1206" s="1">
        <v>13.16</v>
      </c>
      <c r="L1206" s="1">
        <v>537667.78</v>
      </c>
      <c r="M1206" s="1">
        <v>79756.679999999993</v>
      </c>
      <c r="N1206" s="1" t="s">
        <v>2089</v>
      </c>
    </row>
    <row r="1207" spans="1:14">
      <c r="A1207" s="1" t="s">
        <v>1219</v>
      </c>
      <c r="B1207" s="2">
        <v>45732</v>
      </c>
      <c r="C1207" s="1" t="s">
        <v>2016</v>
      </c>
      <c r="D1207" s="1" t="s">
        <v>2034</v>
      </c>
      <c r="E1207" s="1" t="s">
        <v>2045</v>
      </c>
      <c r="F1207" s="1" t="s">
        <v>2050</v>
      </c>
      <c r="G1207" s="1" t="s">
        <v>2070</v>
      </c>
      <c r="H1207" s="1" t="s">
        <v>2086</v>
      </c>
      <c r="I1207" s="1">
        <v>4</v>
      </c>
      <c r="J1207" s="1">
        <v>1181.7</v>
      </c>
      <c r="K1207" s="1">
        <v>12.03</v>
      </c>
      <c r="L1207" s="1">
        <v>4158.17</v>
      </c>
      <c r="M1207" s="1">
        <v>422.84</v>
      </c>
      <c r="N1207" s="1" t="s">
        <v>2089</v>
      </c>
    </row>
    <row r="1208" spans="1:14">
      <c r="A1208" s="1" t="s">
        <v>1220</v>
      </c>
      <c r="B1208" s="2">
        <v>45732</v>
      </c>
      <c r="C1208" s="1" t="s">
        <v>2018</v>
      </c>
      <c r="D1208" s="1" t="s">
        <v>2035</v>
      </c>
      <c r="E1208" s="1" t="s">
        <v>2048</v>
      </c>
      <c r="F1208" s="1" t="s">
        <v>2053</v>
      </c>
      <c r="G1208" s="1" t="s">
        <v>2067</v>
      </c>
      <c r="H1208" s="1" t="s">
        <v>2085</v>
      </c>
      <c r="I1208" s="1">
        <v>1</v>
      </c>
      <c r="J1208" s="1">
        <v>2176.15</v>
      </c>
      <c r="K1208" s="1">
        <v>15</v>
      </c>
      <c r="L1208" s="1">
        <v>1849.73</v>
      </c>
      <c r="M1208" s="1">
        <v>157.65</v>
      </c>
      <c r="N1208" s="1" t="s">
        <v>2092</v>
      </c>
    </row>
    <row r="1209" spans="1:14">
      <c r="A1209" s="1" t="s">
        <v>1221</v>
      </c>
      <c r="B1209" s="2">
        <v>45732</v>
      </c>
      <c r="C1209" s="1" t="s">
        <v>2028</v>
      </c>
      <c r="D1209" s="1" t="s">
        <v>2036</v>
      </c>
      <c r="E1209" s="1" t="s">
        <v>2044</v>
      </c>
      <c r="F1209" s="1" t="s">
        <v>2053</v>
      </c>
      <c r="G1209" s="1" t="s">
        <v>2062</v>
      </c>
      <c r="H1209" s="1" t="s">
        <v>2087</v>
      </c>
      <c r="I1209" s="1">
        <v>5</v>
      </c>
      <c r="J1209" s="1">
        <v>141.83000000000001</v>
      </c>
      <c r="K1209" s="1">
        <v>22.02</v>
      </c>
      <c r="L1209" s="1">
        <v>553</v>
      </c>
      <c r="M1209" s="1">
        <v>37.82</v>
      </c>
      <c r="N1209" s="1" t="s">
        <v>2090</v>
      </c>
    </row>
    <row r="1210" spans="1:14">
      <c r="A1210" s="1" t="s">
        <v>1222</v>
      </c>
      <c r="B1210" s="2">
        <v>45733</v>
      </c>
      <c r="C1210" s="1" t="s">
        <v>2015</v>
      </c>
      <c r="D1210" s="1" t="s">
        <v>2037</v>
      </c>
      <c r="E1210" s="1" t="s">
        <v>2048</v>
      </c>
      <c r="F1210" s="1" t="s">
        <v>2053</v>
      </c>
      <c r="G1210" s="1" t="s">
        <v>2062</v>
      </c>
      <c r="H1210" s="1" t="s">
        <v>2087</v>
      </c>
      <c r="I1210" s="1">
        <v>2</v>
      </c>
      <c r="J1210" s="1">
        <v>1969.76</v>
      </c>
      <c r="K1210" s="1">
        <v>7.82</v>
      </c>
      <c r="L1210" s="1">
        <v>3631.45</v>
      </c>
      <c r="M1210" s="1">
        <v>329.48</v>
      </c>
      <c r="N1210" s="1" t="s">
        <v>2088</v>
      </c>
    </row>
    <row r="1211" spans="1:14">
      <c r="A1211" s="1" t="s">
        <v>1223</v>
      </c>
      <c r="B1211" s="2">
        <v>45733</v>
      </c>
      <c r="C1211" s="1" t="s">
        <v>2020</v>
      </c>
      <c r="D1211" s="1" t="s">
        <v>2038</v>
      </c>
      <c r="E1211" s="1" t="s">
        <v>2047</v>
      </c>
      <c r="F1211" s="1" t="s">
        <v>2049</v>
      </c>
      <c r="G1211" s="1" t="s">
        <v>2058</v>
      </c>
      <c r="H1211" s="1" t="s">
        <v>2086</v>
      </c>
      <c r="I1211" s="1">
        <v>3</v>
      </c>
      <c r="J1211" s="1">
        <v>2533.9699999999998</v>
      </c>
      <c r="K1211" s="1">
        <v>9.41</v>
      </c>
      <c r="L1211" s="1">
        <v>6886.57</v>
      </c>
      <c r="M1211" s="1">
        <v>1788.28</v>
      </c>
      <c r="N1211" s="1" t="s">
        <v>2089</v>
      </c>
    </row>
    <row r="1212" spans="1:14">
      <c r="A1212" s="1" t="s">
        <v>1224</v>
      </c>
      <c r="B1212" s="2">
        <v>45733</v>
      </c>
      <c r="C1212" s="1" t="s">
        <v>2015</v>
      </c>
      <c r="D1212" s="1" t="s">
        <v>2039</v>
      </c>
      <c r="E1212" s="1" t="s">
        <v>2048</v>
      </c>
      <c r="F1212" s="1" t="s">
        <v>2053</v>
      </c>
      <c r="G1212" s="1" t="s">
        <v>2073</v>
      </c>
      <c r="H1212" s="1" t="s">
        <v>2085</v>
      </c>
      <c r="I1212" s="1">
        <v>3</v>
      </c>
      <c r="J1212" s="1">
        <v>1630.77</v>
      </c>
      <c r="K1212" s="1">
        <v>0.28000000000000003</v>
      </c>
      <c r="L1212" s="1">
        <v>4878.6099999999997</v>
      </c>
      <c r="M1212" s="1">
        <v>284.14999999999998</v>
      </c>
      <c r="N1212" s="1" t="s">
        <v>2092</v>
      </c>
    </row>
    <row r="1213" spans="1:14">
      <c r="A1213" s="1" t="s">
        <v>1225</v>
      </c>
      <c r="B1213" s="2">
        <v>45734</v>
      </c>
      <c r="C1213" s="1" t="s">
        <v>2020</v>
      </c>
      <c r="D1213" s="1" t="s">
        <v>2040</v>
      </c>
      <c r="E1213" s="1" t="s">
        <v>2047</v>
      </c>
      <c r="F1213" s="1" t="s">
        <v>2052</v>
      </c>
      <c r="G1213" s="1" t="s">
        <v>2065</v>
      </c>
      <c r="H1213" s="1" t="s">
        <v>2086</v>
      </c>
      <c r="I1213" s="1">
        <v>9</v>
      </c>
      <c r="J1213" s="1">
        <v>9341.24</v>
      </c>
      <c r="K1213" s="1">
        <v>10.36</v>
      </c>
      <c r="L1213" s="1">
        <v>75361.39</v>
      </c>
      <c r="M1213" s="1">
        <v>5774.22</v>
      </c>
      <c r="N1213" s="1" t="s">
        <v>2088</v>
      </c>
    </row>
    <row r="1214" spans="1:14">
      <c r="A1214" s="1" t="s">
        <v>1226</v>
      </c>
      <c r="B1214" s="2">
        <v>45734</v>
      </c>
      <c r="C1214" s="1" t="s">
        <v>2028</v>
      </c>
      <c r="D1214" s="1" t="s">
        <v>2041</v>
      </c>
      <c r="E1214" s="1" t="s">
        <v>2045</v>
      </c>
      <c r="F1214" s="1" t="s">
        <v>2052</v>
      </c>
      <c r="G1214" s="1" t="s">
        <v>2078</v>
      </c>
      <c r="H1214" s="1" t="s">
        <v>2085</v>
      </c>
      <c r="I1214" s="1">
        <v>3</v>
      </c>
      <c r="J1214" s="1">
        <v>2578.61</v>
      </c>
      <c r="K1214" s="1">
        <v>29.75</v>
      </c>
      <c r="L1214" s="1">
        <v>5434.42</v>
      </c>
      <c r="M1214" s="1">
        <v>539.91</v>
      </c>
      <c r="N1214" s="1" t="s">
        <v>2089</v>
      </c>
    </row>
    <row r="1215" spans="1:14">
      <c r="A1215" s="1" t="s">
        <v>1227</v>
      </c>
      <c r="B1215" s="2">
        <v>45734</v>
      </c>
      <c r="C1215" s="1" t="s">
        <v>2016</v>
      </c>
      <c r="D1215" s="1" t="s">
        <v>2042</v>
      </c>
      <c r="E1215" s="1" t="s">
        <v>2045</v>
      </c>
      <c r="F1215" s="1" t="s">
        <v>2054</v>
      </c>
      <c r="G1215" s="1" t="s">
        <v>2079</v>
      </c>
      <c r="H1215" s="1" t="s">
        <v>2086</v>
      </c>
      <c r="I1215" s="1">
        <v>7</v>
      </c>
      <c r="J1215" s="1">
        <v>75824.44</v>
      </c>
      <c r="K1215" s="1">
        <v>26.54</v>
      </c>
      <c r="L1215" s="1">
        <v>389904.44</v>
      </c>
      <c r="M1215" s="1">
        <v>40409.360000000001</v>
      </c>
      <c r="N1215" s="1" t="s">
        <v>2089</v>
      </c>
    </row>
    <row r="1216" spans="1:14">
      <c r="A1216" s="1" t="s">
        <v>1228</v>
      </c>
      <c r="B1216" s="2">
        <v>45735</v>
      </c>
      <c r="C1216" s="1" t="s">
        <v>2017</v>
      </c>
      <c r="D1216" s="1" t="s">
        <v>2043</v>
      </c>
      <c r="E1216" s="1" t="s">
        <v>2047</v>
      </c>
      <c r="F1216" s="1" t="s">
        <v>2051</v>
      </c>
      <c r="G1216" s="1" t="s">
        <v>2077</v>
      </c>
      <c r="H1216" s="1" t="s">
        <v>2087</v>
      </c>
      <c r="I1216" s="1">
        <v>2</v>
      </c>
      <c r="J1216" s="1">
        <v>7849.43</v>
      </c>
      <c r="K1216" s="1">
        <v>12.64</v>
      </c>
      <c r="L1216" s="1">
        <v>13714.52</v>
      </c>
      <c r="M1216" s="1">
        <v>3407.5</v>
      </c>
      <c r="N1216" s="1" t="s">
        <v>2088</v>
      </c>
    </row>
    <row r="1217" spans="1:14">
      <c r="A1217" s="1" t="s">
        <v>1229</v>
      </c>
      <c r="B1217" s="2">
        <v>45735</v>
      </c>
      <c r="C1217" s="1" t="s">
        <v>2019</v>
      </c>
      <c r="D1217" s="1" t="s">
        <v>2029</v>
      </c>
      <c r="E1217" s="1" t="s">
        <v>2048</v>
      </c>
      <c r="F1217" s="1" t="s">
        <v>2053</v>
      </c>
      <c r="G1217" s="1" t="s">
        <v>2067</v>
      </c>
      <c r="H1217" s="1" t="s">
        <v>2087</v>
      </c>
      <c r="I1217" s="1">
        <v>4</v>
      </c>
      <c r="J1217" s="1">
        <v>976.59</v>
      </c>
      <c r="K1217" s="1">
        <v>11.78</v>
      </c>
      <c r="L1217" s="1">
        <v>3446.19</v>
      </c>
      <c r="M1217" s="1">
        <v>771.64</v>
      </c>
      <c r="N1217" s="1" t="s">
        <v>2088</v>
      </c>
    </row>
    <row r="1218" spans="1:14">
      <c r="A1218" s="1" t="s">
        <v>1230</v>
      </c>
      <c r="B1218" s="2">
        <v>45736</v>
      </c>
      <c r="C1218" s="1" t="s">
        <v>2028</v>
      </c>
      <c r="D1218" s="1" t="s">
        <v>2030</v>
      </c>
      <c r="E1218" s="1" t="s">
        <v>2046</v>
      </c>
      <c r="F1218" s="1" t="s">
        <v>2054</v>
      </c>
      <c r="G1218" s="1" t="s">
        <v>2079</v>
      </c>
      <c r="H1218" s="1" t="s">
        <v>2085</v>
      </c>
      <c r="I1218" s="1">
        <v>5</v>
      </c>
      <c r="J1218" s="1">
        <v>17287.060000000001</v>
      </c>
      <c r="K1218" s="1">
        <v>15.06</v>
      </c>
      <c r="L1218" s="1">
        <v>73418.14</v>
      </c>
      <c r="M1218" s="1">
        <v>4038.21</v>
      </c>
      <c r="N1218" s="1" t="s">
        <v>2092</v>
      </c>
    </row>
    <row r="1219" spans="1:14">
      <c r="A1219" s="1" t="s">
        <v>1231</v>
      </c>
      <c r="B1219" s="2">
        <v>45736</v>
      </c>
      <c r="C1219" s="1" t="s">
        <v>2017</v>
      </c>
      <c r="D1219" s="1" t="s">
        <v>2031</v>
      </c>
      <c r="E1219" s="1" t="s">
        <v>2044</v>
      </c>
      <c r="F1219" s="1" t="s">
        <v>2053</v>
      </c>
      <c r="G1219" s="1" t="s">
        <v>2073</v>
      </c>
      <c r="H1219" s="1" t="s">
        <v>2085</v>
      </c>
      <c r="I1219" s="1">
        <v>4</v>
      </c>
      <c r="J1219" s="1">
        <v>1475.56</v>
      </c>
      <c r="K1219" s="1">
        <v>27.77</v>
      </c>
      <c r="L1219" s="1">
        <v>4263.1899999999996</v>
      </c>
      <c r="M1219" s="1">
        <v>900.97</v>
      </c>
      <c r="N1219" s="1" t="s">
        <v>2091</v>
      </c>
    </row>
    <row r="1220" spans="1:14">
      <c r="A1220" s="1" t="s">
        <v>1232</v>
      </c>
      <c r="B1220" s="2">
        <v>45736</v>
      </c>
      <c r="C1220" s="1" t="s">
        <v>2016</v>
      </c>
      <c r="D1220" s="1" t="s">
        <v>2032</v>
      </c>
      <c r="E1220" s="1" t="s">
        <v>2047</v>
      </c>
      <c r="F1220" s="1" t="s">
        <v>2052</v>
      </c>
      <c r="G1220" s="1" t="s">
        <v>2078</v>
      </c>
      <c r="H1220" s="1" t="s">
        <v>2085</v>
      </c>
      <c r="I1220" s="1">
        <v>2</v>
      </c>
      <c r="J1220" s="1">
        <v>6822.95</v>
      </c>
      <c r="K1220" s="1">
        <v>16.8</v>
      </c>
      <c r="L1220" s="1">
        <v>11353.39</v>
      </c>
      <c r="M1220" s="1">
        <v>2809.04</v>
      </c>
      <c r="N1220" s="1" t="s">
        <v>2088</v>
      </c>
    </row>
    <row r="1221" spans="1:14">
      <c r="A1221" s="1" t="s">
        <v>1233</v>
      </c>
      <c r="B1221" s="2">
        <v>45737</v>
      </c>
      <c r="C1221" s="1" t="s">
        <v>2014</v>
      </c>
      <c r="D1221" s="1" t="s">
        <v>2033</v>
      </c>
      <c r="E1221" s="1" t="s">
        <v>2047</v>
      </c>
      <c r="F1221" s="1" t="s">
        <v>2051</v>
      </c>
      <c r="G1221" s="1" t="s">
        <v>2080</v>
      </c>
      <c r="H1221" s="1" t="s">
        <v>2085</v>
      </c>
      <c r="I1221" s="1">
        <v>9</v>
      </c>
      <c r="J1221" s="1">
        <v>5411.12</v>
      </c>
      <c r="K1221" s="1">
        <v>24.85</v>
      </c>
      <c r="L1221" s="1">
        <v>36598.11</v>
      </c>
      <c r="M1221" s="1">
        <v>4134.24</v>
      </c>
      <c r="N1221" s="1" t="s">
        <v>2088</v>
      </c>
    </row>
    <row r="1222" spans="1:14">
      <c r="A1222" s="1" t="s">
        <v>1234</v>
      </c>
      <c r="B1222" s="2">
        <v>45737</v>
      </c>
      <c r="C1222" s="1" t="s">
        <v>2027</v>
      </c>
      <c r="D1222" s="1" t="s">
        <v>2034</v>
      </c>
      <c r="E1222" s="1" t="s">
        <v>2045</v>
      </c>
      <c r="F1222" s="1" t="s">
        <v>2054</v>
      </c>
      <c r="G1222" s="1" t="s">
        <v>2068</v>
      </c>
      <c r="H1222" s="1" t="s">
        <v>2087</v>
      </c>
      <c r="I1222" s="1">
        <v>10</v>
      </c>
      <c r="J1222" s="1">
        <v>29470.58</v>
      </c>
      <c r="K1222" s="1">
        <v>10.59</v>
      </c>
      <c r="L1222" s="1">
        <v>263496.46000000002</v>
      </c>
      <c r="M1222" s="1">
        <v>55095.31</v>
      </c>
      <c r="N1222" s="1" t="s">
        <v>2089</v>
      </c>
    </row>
    <row r="1223" spans="1:14">
      <c r="A1223" s="1" t="s">
        <v>1235</v>
      </c>
      <c r="B1223" s="2">
        <v>45737</v>
      </c>
      <c r="C1223" s="1" t="s">
        <v>2026</v>
      </c>
      <c r="D1223" s="1" t="s">
        <v>2035</v>
      </c>
      <c r="E1223" s="1" t="s">
        <v>2046</v>
      </c>
      <c r="F1223" s="1" t="s">
        <v>2053</v>
      </c>
      <c r="G1223" s="1" t="s">
        <v>2067</v>
      </c>
      <c r="H1223" s="1" t="s">
        <v>2085</v>
      </c>
      <c r="I1223" s="1">
        <v>3</v>
      </c>
      <c r="J1223" s="1">
        <v>1241.69</v>
      </c>
      <c r="K1223" s="1">
        <v>16.100000000000001</v>
      </c>
      <c r="L1223" s="1">
        <v>3125.33</v>
      </c>
      <c r="M1223" s="1">
        <v>758.78</v>
      </c>
      <c r="N1223" s="1" t="s">
        <v>2090</v>
      </c>
    </row>
    <row r="1224" spans="1:14">
      <c r="A1224" s="1" t="s">
        <v>1236</v>
      </c>
      <c r="B1224" s="2">
        <v>45738</v>
      </c>
      <c r="C1224" s="1" t="s">
        <v>2018</v>
      </c>
      <c r="D1224" s="1" t="s">
        <v>2036</v>
      </c>
      <c r="E1224" s="1" t="s">
        <v>2044</v>
      </c>
      <c r="F1224" s="1" t="s">
        <v>2051</v>
      </c>
      <c r="G1224" s="1" t="s">
        <v>2057</v>
      </c>
      <c r="H1224" s="1" t="s">
        <v>2086</v>
      </c>
      <c r="I1224" s="1">
        <v>4</v>
      </c>
      <c r="J1224" s="1">
        <v>1583.05</v>
      </c>
      <c r="K1224" s="1">
        <v>26.7</v>
      </c>
      <c r="L1224" s="1">
        <v>4641.5</v>
      </c>
      <c r="M1224" s="1">
        <v>516.30999999999995</v>
      </c>
      <c r="N1224" s="1" t="s">
        <v>2092</v>
      </c>
    </row>
    <row r="1225" spans="1:14">
      <c r="A1225" s="1" t="s">
        <v>1237</v>
      </c>
      <c r="B1225" s="2">
        <v>45738</v>
      </c>
      <c r="C1225" s="1" t="s">
        <v>2023</v>
      </c>
      <c r="D1225" s="1" t="s">
        <v>2037</v>
      </c>
      <c r="E1225" s="1" t="s">
        <v>2048</v>
      </c>
      <c r="F1225" s="1" t="s">
        <v>2052</v>
      </c>
      <c r="G1225" s="1" t="s">
        <v>2078</v>
      </c>
      <c r="H1225" s="1" t="s">
        <v>2086</v>
      </c>
      <c r="I1225" s="1">
        <v>10</v>
      </c>
      <c r="J1225" s="1">
        <v>7160.38</v>
      </c>
      <c r="K1225" s="1">
        <v>3.46</v>
      </c>
      <c r="L1225" s="1">
        <v>69126.31</v>
      </c>
      <c r="M1225" s="1">
        <v>10486.62</v>
      </c>
      <c r="N1225" s="1" t="s">
        <v>2089</v>
      </c>
    </row>
    <row r="1226" spans="1:14">
      <c r="A1226" s="1" t="s">
        <v>1238</v>
      </c>
      <c r="B1226" s="2">
        <v>45738</v>
      </c>
      <c r="C1226" s="1" t="s">
        <v>2024</v>
      </c>
      <c r="D1226" s="1" t="s">
        <v>2038</v>
      </c>
      <c r="E1226" s="1" t="s">
        <v>2045</v>
      </c>
      <c r="F1226" s="1" t="s">
        <v>2054</v>
      </c>
      <c r="G1226" s="1" t="s">
        <v>2081</v>
      </c>
      <c r="H1226" s="1" t="s">
        <v>2087</v>
      </c>
      <c r="I1226" s="1">
        <v>7</v>
      </c>
      <c r="J1226" s="1">
        <v>72366.41</v>
      </c>
      <c r="K1226" s="1">
        <v>15.83</v>
      </c>
      <c r="L1226" s="1">
        <v>426375.65</v>
      </c>
      <c r="M1226" s="1">
        <v>99761.45</v>
      </c>
      <c r="N1226" s="1" t="s">
        <v>2092</v>
      </c>
    </row>
    <row r="1227" spans="1:14">
      <c r="A1227" s="1" t="s">
        <v>1239</v>
      </c>
      <c r="B1227" s="2">
        <v>45739</v>
      </c>
      <c r="C1227" s="1" t="s">
        <v>2027</v>
      </c>
      <c r="D1227" s="1" t="s">
        <v>2039</v>
      </c>
      <c r="E1227" s="1" t="s">
        <v>2048</v>
      </c>
      <c r="F1227" s="1" t="s">
        <v>2053</v>
      </c>
      <c r="G1227" s="1" t="s">
        <v>2076</v>
      </c>
      <c r="H1227" s="1" t="s">
        <v>2085</v>
      </c>
      <c r="I1227" s="1">
        <v>5</v>
      </c>
      <c r="J1227" s="1">
        <v>979.58</v>
      </c>
      <c r="K1227" s="1">
        <v>16.79</v>
      </c>
      <c r="L1227" s="1">
        <v>4075.54</v>
      </c>
      <c r="M1227" s="1">
        <v>881.85</v>
      </c>
      <c r="N1227" s="1" t="s">
        <v>2090</v>
      </c>
    </row>
    <row r="1228" spans="1:14">
      <c r="A1228" s="1" t="s">
        <v>1240</v>
      </c>
      <c r="B1228" s="2">
        <v>45739</v>
      </c>
      <c r="C1228" s="1" t="s">
        <v>2018</v>
      </c>
      <c r="D1228" s="1" t="s">
        <v>2040</v>
      </c>
      <c r="E1228" s="1" t="s">
        <v>2047</v>
      </c>
      <c r="F1228" s="1" t="s">
        <v>2053</v>
      </c>
      <c r="G1228" s="1" t="s">
        <v>2076</v>
      </c>
      <c r="H1228" s="1" t="s">
        <v>2085</v>
      </c>
      <c r="I1228" s="1">
        <v>8</v>
      </c>
      <c r="J1228" s="1">
        <v>1944.27</v>
      </c>
      <c r="K1228" s="1">
        <v>6.16</v>
      </c>
      <c r="L1228" s="1">
        <v>14596.02</v>
      </c>
      <c r="M1228" s="1">
        <v>3328.58</v>
      </c>
      <c r="N1228" s="1" t="s">
        <v>2091</v>
      </c>
    </row>
    <row r="1229" spans="1:14">
      <c r="A1229" s="1" t="s">
        <v>1241</v>
      </c>
      <c r="B1229" s="2">
        <v>45740</v>
      </c>
      <c r="C1229" s="1" t="s">
        <v>2018</v>
      </c>
      <c r="D1229" s="1" t="s">
        <v>2041</v>
      </c>
      <c r="E1229" s="1" t="s">
        <v>2045</v>
      </c>
      <c r="F1229" s="1" t="s">
        <v>2049</v>
      </c>
      <c r="G1229" s="1" t="s">
        <v>2082</v>
      </c>
      <c r="H1229" s="1" t="s">
        <v>2086</v>
      </c>
      <c r="I1229" s="1">
        <v>1</v>
      </c>
      <c r="J1229" s="1">
        <v>2216.4899999999998</v>
      </c>
      <c r="K1229" s="1">
        <v>17.239999999999998</v>
      </c>
      <c r="L1229" s="1">
        <v>1834.37</v>
      </c>
      <c r="M1229" s="1">
        <v>468.81</v>
      </c>
      <c r="N1229" s="1" t="s">
        <v>2090</v>
      </c>
    </row>
    <row r="1230" spans="1:14">
      <c r="A1230" s="1" t="s">
        <v>1242</v>
      </c>
      <c r="B1230" s="2">
        <v>45740</v>
      </c>
      <c r="C1230" s="1" t="s">
        <v>2024</v>
      </c>
      <c r="D1230" s="1" t="s">
        <v>2042</v>
      </c>
      <c r="E1230" s="1" t="s">
        <v>2047</v>
      </c>
      <c r="F1230" s="1" t="s">
        <v>2051</v>
      </c>
      <c r="G1230" s="1" t="s">
        <v>2069</v>
      </c>
      <c r="H1230" s="1" t="s">
        <v>2086</v>
      </c>
      <c r="I1230" s="1">
        <v>7</v>
      </c>
      <c r="J1230" s="1">
        <v>8177.6</v>
      </c>
      <c r="K1230" s="1">
        <v>8.8800000000000008</v>
      </c>
      <c r="L1230" s="1">
        <v>52160</v>
      </c>
      <c r="M1230" s="1">
        <v>11958.31</v>
      </c>
      <c r="N1230" s="1" t="s">
        <v>2088</v>
      </c>
    </row>
    <row r="1231" spans="1:14">
      <c r="A1231" s="1" t="s">
        <v>1243</v>
      </c>
      <c r="B1231" s="2">
        <v>45740</v>
      </c>
      <c r="C1231" s="1" t="s">
        <v>2019</v>
      </c>
      <c r="D1231" s="1" t="s">
        <v>2043</v>
      </c>
      <c r="E1231" s="1" t="s">
        <v>2046</v>
      </c>
      <c r="F1231" s="1" t="s">
        <v>2051</v>
      </c>
      <c r="G1231" s="1" t="s">
        <v>2069</v>
      </c>
      <c r="H1231" s="1" t="s">
        <v>2085</v>
      </c>
      <c r="I1231" s="1">
        <v>10</v>
      </c>
      <c r="J1231" s="1">
        <v>23357.79</v>
      </c>
      <c r="K1231" s="1">
        <v>6.61</v>
      </c>
      <c r="L1231" s="1">
        <v>218138.4</v>
      </c>
      <c r="M1231" s="1">
        <v>57927.18</v>
      </c>
      <c r="N1231" s="1" t="s">
        <v>2089</v>
      </c>
    </row>
    <row r="1232" spans="1:14">
      <c r="A1232" s="1" t="s">
        <v>1244</v>
      </c>
      <c r="B1232" s="2">
        <v>45741</v>
      </c>
      <c r="C1232" s="1" t="s">
        <v>2018</v>
      </c>
      <c r="D1232" s="1" t="s">
        <v>2029</v>
      </c>
      <c r="E1232" s="1" t="s">
        <v>2046</v>
      </c>
      <c r="F1232" s="1" t="s">
        <v>2049</v>
      </c>
      <c r="G1232" s="1" t="s">
        <v>2055</v>
      </c>
      <c r="H1232" s="1" t="s">
        <v>2087</v>
      </c>
      <c r="I1232" s="1">
        <v>10</v>
      </c>
      <c r="J1232" s="1">
        <v>2756.18</v>
      </c>
      <c r="K1232" s="1">
        <v>11.74</v>
      </c>
      <c r="L1232" s="1">
        <v>24326.04</v>
      </c>
      <c r="M1232" s="1">
        <v>6354.88</v>
      </c>
      <c r="N1232" s="1" t="s">
        <v>2088</v>
      </c>
    </row>
    <row r="1233" spans="1:14">
      <c r="A1233" s="1" t="s">
        <v>1245</v>
      </c>
      <c r="B1233" s="2">
        <v>45741</v>
      </c>
      <c r="C1233" s="1" t="s">
        <v>2015</v>
      </c>
      <c r="D1233" s="1" t="s">
        <v>2030</v>
      </c>
      <c r="E1233" s="1" t="s">
        <v>2044</v>
      </c>
      <c r="F1233" s="1" t="s">
        <v>2054</v>
      </c>
      <c r="G1233" s="1" t="s">
        <v>2068</v>
      </c>
      <c r="H1233" s="1" t="s">
        <v>2086</v>
      </c>
      <c r="I1233" s="1">
        <v>9</v>
      </c>
      <c r="J1233" s="1">
        <v>12412.13</v>
      </c>
      <c r="K1233" s="1">
        <v>7.92</v>
      </c>
      <c r="L1233" s="1">
        <v>102861.8</v>
      </c>
      <c r="M1233" s="1">
        <v>29517.14</v>
      </c>
      <c r="N1233" s="1" t="s">
        <v>2092</v>
      </c>
    </row>
    <row r="1234" spans="1:14">
      <c r="A1234" s="1" t="s">
        <v>1246</v>
      </c>
      <c r="B1234" s="2">
        <v>45741</v>
      </c>
      <c r="C1234" s="1" t="s">
        <v>2020</v>
      </c>
      <c r="D1234" s="1" t="s">
        <v>2031</v>
      </c>
      <c r="E1234" s="1" t="s">
        <v>2046</v>
      </c>
      <c r="F1234" s="1" t="s">
        <v>2053</v>
      </c>
      <c r="G1234" s="1" t="s">
        <v>2076</v>
      </c>
      <c r="H1234" s="1" t="s">
        <v>2087</v>
      </c>
      <c r="I1234" s="1">
        <v>1</v>
      </c>
      <c r="J1234" s="1">
        <v>1551.86</v>
      </c>
      <c r="K1234" s="1">
        <v>18.420000000000002</v>
      </c>
      <c r="L1234" s="1">
        <v>1266.01</v>
      </c>
      <c r="M1234" s="1">
        <v>231.65</v>
      </c>
      <c r="N1234" s="1" t="s">
        <v>2091</v>
      </c>
    </row>
    <row r="1235" spans="1:14">
      <c r="A1235" s="1" t="s">
        <v>1247</v>
      </c>
      <c r="B1235" s="2">
        <v>45742</v>
      </c>
      <c r="C1235" s="1" t="s">
        <v>2017</v>
      </c>
      <c r="D1235" s="1" t="s">
        <v>2032</v>
      </c>
      <c r="E1235" s="1" t="s">
        <v>2047</v>
      </c>
      <c r="F1235" s="1" t="s">
        <v>2054</v>
      </c>
      <c r="G1235" s="1" t="s">
        <v>2079</v>
      </c>
      <c r="H1235" s="1" t="s">
        <v>2087</v>
      </c>
      <c r="I1235" s="1">
        <v>1</v>
      </c>
      <c r="J1235" s="1">
        <v>8691.81</v>
      </c>
      <c r="K1235" s="1">
        <v>6.82</v>
      </c>
      <c r="L1235" s="1">
        <v>8099.03</v>
      </c>
      <c r="M1235" s="1">
        <v>411.27</v>
      </c>
      <c r="N1235" s="1" t="s">
        <v>2091</v>
      </c>
    </row>
    <row r="1236" spans="1:14">
      <c r="A1236" s="1" t="s">
        <v>1248</v>
      </c>
      <c r="B1236" s="2">
        <v>45742</v>
      </c>
      <c r="C1236" s="1" t="s">
        <v>2019</v>
      </c>
      <c r="D1236" s="1" t="s">
        <v>2033</v>
      </c>
      <c r="E1236" s="1" t="s">
        <v>2046</v>
      </c>
      <c r="F1236" s="1" t="s">
        <v>2053</v>
      </c>
      <c r="G1236" s="1" t="s">
        <v>2076</v>
      </c>
      <c r="H1236" s="1" t="s">
        <v>2086</v>
      </c>
      <c r="I1236" s="1">
        <v>1</v>
      </c>
      <c r="J1236" s="1">
        <v>577.4</v>
      </c>
      <c r="K1236" s="1">
        <v>2.39</v>
      </c>
      <c r="L1236" s="1">
        <v>563.6</v>
      </c>
      <c r="M1236" s="1">
        <v>146.12</v>
      </c>
      <c r="N1236" s="1" t="s">
        <v>2090</v>
      </c>
    </row>
    <row r="1237" spans="1:14">
      <c r="A1237" s="1" t="s">
        <v>1249</v>
      </c>
      <c r="B1237" s="2">
        <v>45743</v>
      </c>
      <c r="C1237" s="1" t="s">
        <v>2017</v>
      </c>
      <c r="D1237" s="1" t="s">
        <v>2034</v>
      </c>
      <c r="E1237" s="1" t="s">
        <v>2047</v>
      </c>
      <c r="F1237" s="1" t="s">
        <v>2049</v>
      </c>
      <c r="G1237" s="1" t="s">
        <v>2082</v>
      </c>
      <c r="H1237" s="1" t="s">
        <v>2087</v>
      </c>
      <c r="I1237" s="1">
        <v>2</v>
      </c>
      <c r="J1237" s="1">
        <v>1348.44</v>
      </c>
      <c r="K1237" s="1">
        <v>15.37</v>
      </c>
      <c r="L1237" s="1">
        <v>2282.37</v>
      </c>
      <c r="M1237" s="1">
        <v>497.96</v>
      </c>
      <c r="N1237" s="1" t="s">
        <v>2088</v>
      </c>
    </row>
    <row r="1238" spans="1:14">
      <c r="A1238" s="1" t="s">
        <v>1250</v>
      </c>
      <c r="B1238" s="2">
        <v>45743</v>
      </c>
      <c r="C1238" s="1" t="s">
        <v>2020</v>
      </c>
      <c r="D1238" s="1" t="s">
        <v>2035</v>
      </c>
      <c r="E1238" s="1" t="s">
        <v>2045</v>
      </c>
      <c r="F1238" s="1" t="s">
        <v>2049</v>
      </c>
      <c r="G1238" s="1" t="s">
        <v>2074</v>
      </c>
      <c r="H1238" s="1" t="s">
        <v>2087</v>
      </c>
      <c r="I1238" s="1">
        <v>10</v>
      </c>
      <c r="J1238" s="1">
        <v>2183.5300000000002</v>
      </c>
      <c r="K1238" s="1">
        <v>24.05</v>
      </c>
      <c r="L1238" s="1">
        <v>16583.91</v>
      </c>
      <c r="M1238" s="1">
        <v>4111.63</v>
      </c>
      <c r="N1238" s="1" t="s">
        <v>2091</v>
      </c>
    </row>
    <row r="1239" spans="1:14">
      <c r="A1239" s="1" t="s">
        <v>1251</v>
      </c>
      <c r="B1239" s="2">
        <v>45743</v>
      </c>
      <c r="C1239" s="1" t="s">
        <v>2026</v>
      </c>
      <c r="D1239" s="1" t="s">
        <v>2036</v>
      </c>
      <c r="E1239" s="1" t="s">
        <v>2047</v>
      </c>
      <c r="F1239" s="1" t="s">
        <v>2050</v>
      </c>
      <c r="G1239" s="1" t="s">
        <v>2075</v>
      </c>
      <c r="H1239" s="1" t="s">
        <v>2085</v>
      </c>
      <c r="I1239" s="1">
        <v>2</v>
      </c>
      <c r="J1239" s="1">
        <v>301.43</v>
      </c>
      <c r="K1239" s="1">
        <v>10.87</v>
      </c>
      <c r="L1239" s="1">
        <v>537.33000000000004</v>
      </c>
      <c r="M1239" s="1">
        <v>125.95</v>
      </c>
      <c r="N1239" s="1" t="s">
        <v>2090</v>
      </c>
    </row>
    <row r="1240" spans="1:14">
      <c r="A1240" s="1" t="s">
        <v>1252</v>
      </c>
      <c r="B1240" s="2">
        <v>45744</v>
      </c>
      <c r="C1240" s="1" t="s">
        <v>2021</v>
      </c>
      <c r="D1240" s="1" t="s">
        <v>2037</v>
      </c>
      <c r="E1240" s="1" t="s">
        <v>2046</v>
      </c>
      <c r="F1240" s="1" t="s">
        <v>2051</v>
      </c>
      <c r="G1240" s="1" t="s">
        <v>2080</v>
      </c>
      <c r="H1240" s="1" t="s">
        <v>2087</v>
      </c>
      <c r="I1240" s="1">
        <v>10</v>
      </c>
      <c r="J1240" s="1">
        <v>39067.11</v>
      </c>
      <c r="K1240" s="1">
        <v>28.71</v>
      </c>
      <c r="L1240" s="1">
        <v>278509.43</v>
      </c>
      <c r="M1240" s="1">
        <v>18133.509999999998</v>
      </c>
      <c r="N1240" s="1" t="s">
        <v>2089</v>
      </c>
    </row>
    <row r="1241" spans="1:14">
      <c r="A1241" s="1" t="s">
        <v>1253</v>
      </c>
      <c r="B1241" s="2">
        <v>45744</v>
      </c>
      <c r="C1241" s="1" t="s">
        <v>2025</v>
      </c>
      <c r="D1241" s="1" t="s">
        <v>2038</v>
      </c>
      <c r="E1241" s="1" t="s">
        <v>2046</v>
      </c>
      <c r="F1241" s="1" t="s">
        <v>2051</v>
      </c>
      <c r="G1241" s="1" t="s">
        <v>2057</v>
      </c>
      <c r="H1241" s="1" t="s">
        <v>2087</v>
      </c>
      <c r="I1241" s="1">
        <v>6</v>
      </c>
      <c r="J1241" s="1">
        <v>38073.86</v>
      </c>
      <c r="K1241" s="1">
        <v>19.03</v>
      </c>
      <c r="L1241" s="1">
        <v>184970.43</v>
      </c>
      <c r="M1241" s="1">
        <v>25614.04</v>
      </c>
      <c r="N1241" s="1" t="s">
        <v>2091</v>
      </c>
    </row>
    <row r="1242" spans="1:14">
      <c r="A1242" s="1" t="s">
        <v>1254</v>
      </c>
      <c r="B1242" s="2">
        <v>45744</v>
      </c>
      <c r="C1242" s="1" t="s">
        <v>2019</v>
      </c>
      <c r="D1242" s="1" t="s">
        <v>2039</v>
      </c>
      <c r="E1242" s="1" t="s">
        <v>2046</v>
      </c>
      <c r="F1242" s="1" t="s">
        <v>2050</v>
      </c>
      <c r="G1242" s="1" t="s">
        <v>2064</v>
      </c>
      <c r="H1242" s="1" t="s">
        <v>2085</v>
      </c>
      <c r="I1242" s="1">
        <v>7</v>
      </c>
      <c r="J1242" s="1">
        <v>3767.95</v>
      </c>
      <c r="K1242" s="1">
        <v>9.75</v>
      </c>
      <c r="L1242" s="1">
        <v>23804.02</v>
      </c>
      <c r="M1242" s="1">
        <v>3993.78</v>
      </c>
      <c r="N1242" s="1" t="s">
        <v>2091</v>
      </c>
    </row>
    <row r="1243" spans="1:14">
      <c r="A1243" s="1" t="s">
        <v>1255</v>
      </c>
      <c r="B1243" s="2">
        <v>45745</v>
      </c>
      <c r="C1243" s="1" t="s">
        <v>2025</v>
      </c>
      <c r="D1243" s="1" t="s">
        <v>2040</v>
      </c>
      <c r="E1243" s="1" t="s">
        <v>2047</v>
      </c>
      <c r="F1243" s="1" t="s">
        <v>2052</v>
      </c>
      <c r="G1243" s="1" t="s">
        <v>2083</v>
      </c>
      <c r="H1243" s="1" t="s">
        <v>2085</v>
      </c>
      <c r="I1243" s="1">
        <v>2</v>
      </c>
      <c r="J1243" s="1">
        <v>4467.5600000000004</v>
      </c>
      <c r="K1243" s="1">
        <v>7.51</v>
      </c>
      <c r="L1243" s="1">
        <v>8264.09</v>
      </c>
      <c r="M1243" s="1">
        <v>1832.43</v>
      </c>
      <c r="N1243" s="1" t="s">
        <v>2089</v>
      </c>
    </row>
    <row r="1244" spans="1:14">
      <c r="A1244" s="1" t="s">
        <v>1256</v>
      </c>
      <c r="B1244" s="2">
        <v>45745</v>
      </c>
      <c r="C1244" s="1" t="s">
        <v>2028</v>
      </c>
      <c r="D1244" s="1" t="s">
        <v>2041</v>
      </c>
      <c r="E1244" s="1" t="s">
        <v>2044</v>
      </c>
      <c r="F1244" s="1" t="s">
        <v>2050</v>
      </c>
      <c r="G1244" s="1" t="s">
        <v>2064</v>
      </c>
      <c r="H1244" s="1" t="s">
        <v>2087</v>
      </c>
      <c r="I1244" s="1">
        <v>9</v>
      </c>
      <c r="J1244" s="1">
        <v>7532.88</v>
      </c>
      <c r="K1244" s="1">
        <v>11.06</v>
      </c>
      <c r="L1244" s="1">
        <v>60297.69</v>
      </c>
      <c r="M1244" s="1">
        <v>3828.45</v>
      </c>
      <c r="N1244" s="1" t="s">
        <v>2088</v>
      </c>
    </row>
    <row r="1245" spans="1:14">
      <c r="A1245" s="1" t="s">
        <v>1257</v>
      </c>
      <c r="B1245" s="2">
        <v>45745</v>
      </c>
      <c r="C1245" s="1" t="s">
        <v>2018</v>
      </c>
      <c r="D1245" s="1" t="s">
        <v>2042</v>
      </c>
      <c r="E1245" s="1" t="s">
        <v>2045</v>
      </c>
      <c r="F1245" s="1" t="s">
        <v>2054</v>
      </c>
      <c r="G1245" s="1" t="s">
        <v>2068</v>
      </c>
      <c r="H1245" s="1" t="s">
        <v>2085</v>
      </c>
      <c r="I1245" s="1">
        <v>2</v>
      </c>
      <c r="J1245" s="1">
        <v>40505.15</v>
      </c>
      <c r="K1245" s="1">
        <v>0.42</v>
      </c>
      <c r="L1245" s="1">
        <v>80670.06</v>
      </c>
      <c r="M1245" s="1">
        <v>4173.82</v>
      </c>
      <c r="N1245" s="1" t="s">
        <v>2092</v>
      </c>
    </row>
    <row r="1246" spans="1:14">
      <c r="A1246" s="1" t="s">
        <v>1258</v>
      </c>
      <c r="B1246" s="2">
        <v>45746</v>
      </c>
      <c r="C1246" s="1" t="s">
        <v>2014</v>
      </c>
      <c r="D1246" s="1" t="s">
        <v>2043</v>
      </c>
      <c r="E1246" s="1" t="s">
        <v>2048</v>
      </c>
      <c r="F1246" s="1" t="s">
        <v>2051</v>
      </c>
      <c r="G1246" s="1" t="s">
        <v>2080</v>
      </c>
      <c r="H1246" s="1" t="s">
        <v>2085</v>
      </c>
      <c r="I1246" s="1">
        <v>8</v>
      </c>
      <c r="J1246" s="1">
        <v>37517.53</v>
      </c>
      <c r="K1246" s="1">
        <v>17.75</v>
      </c>
      <c r="L1246" s="1">
        <v>246865.35</v>
      </c>
      <c r="M1246" s="1">
        <v>13087.72</v>
      </c>
      <c r="N1246" s="1" t="s">
        <v>2088</v>
      </c>
    </row>
    <row r="1247" spans="1:14">
      <c r="A1247" s="1" t="s">
        <v>1259</v>
      </c>
      <c r="B1247" s="2">
        <v>45746</v>
      </c>
      <c r="C1247" s="1" t="s">
        <v>2027</v>
      </c>
      <c r="D1247" s="1" t="s">
        <v>2029</v>
      </c>
      <c r="E1247" s="1" t="s">
        <v>2046</v>
      </c>
      <c r="F1247" s="1" t="s">
        <v>2050</v>
      </c>
      <c r="G1247" s="1" t="s">
        <v>2084</v>
      </c>
      <c r="H1247" s="1" t="s">
        <v>2086</v>
      </c>
      <c r="I1247" s="1">
        <v>1</v>
      </c>
      <c r="J1247" s="1">
        <v>7811.88</v>
      </c>
      <c r="K1247" s="1">
        <v>18.489999999999998</v>
      </c>
      <c r="L1247" s="1">
        <v>6367.46</v>
      </c>
      <c r="M1247" s="1">
        <v>1808.59</v>
      </c>
      <c r="N1247" s="1" t="s">
        <v>2089</v>
      </c>
    </row>
    <row r="1248" spans="1:14">
      <c r="A1248" s="1" t="s">
        <v>1260</v>
      </c>
      <c r="B1248" s="2">
        <v>45747</v>
      </c>
      <c r="C1248" s="1" t="s">
        <v>2015</v>
      </c>
      <c r="D1248" s="1" t="s">
        <v>2030</v>
      </c>
      <c r="E1248" s="1" t="s">
        <v>2048</v>
      </c>
      <c r="F1248" s="1" t="s">
        <v>2053</v>
      </c>
      <c r="G1248" s="1" t="s">
        <v>2073</v>
      </c>
      <c r="H1248" s="1" t="s">
        <v>2086</v>
      </c>
      <c r="I1248" s="1">
        <v>4</v>
      </c>
      <c r="J1248" s="1">
        <v>1450.51</v>
      </c>
      <c r="K1248" s="1">
        <v>2.99</v>
      </c>
      <c r="L1248" s="1">
        <v>5628.56</v>
      </c>
      <c r="M1248" s="1">
        <v>1578.75</v>
      </c>
      <c r="N1248" s="1" t="s">
        <v>2092</v>
      </c>
    </row>
    <row r="1249" spans="1:14">
      <c r="A1249" s="1" t="s">
        <v>1261</v>
      </c>
      <c r="B1249" s="2">
        <v>45747</v>
      </c>
      <c r="C1249" s="1" t="s">
        <v>2028</v>
      </c>
      <c r="D1249" s="1" t="s">
        <v>2031</v>
      </c>
      <c r="E1249" s="1" t="s">
        <v>2045</v>
      </c>
      <c r="F1249" s="1" t="s">
        <v>2050</v>
      </c>
      <c r="G1249" s="1" t="s">
        <v>2064</v>
      </c>
      <c r="H1249" s="1" t="s">
        <v>2086</v>
      </c>
      <c r="I1249" s="1">
        <v>8</v>
      </c>
      <c r="J1249" s="1">
        <v>3131.96</v>
      </c>
      <c r="K1249" s="1">
        <v>0.76</v>
      </c>
      <c r="L1249" s="1">
        <v>24865.26</v>
      </c>
      <c r="M1249" s="1">
        <v>5238.7700000000004</v>
      </c>
      <c r="N1249" s="1" t="s">
        <v>2090</v>
      </c>
    </row>
    <row r="1250" spans="1:14">
      <c r="A1250" s="1" t="s">
        <v>1262</v>
      </c>
      <c r="B1250" s="2">
        <v>45747</v>
      </c>
      <c r="C1250" s="1" t="s">
        <v>2018</v>
      </c>
      <c r="D1250" s="1" t="s">
        <v>2032</v>
      </c>
      <c r="E1250" s="1" t="s">
        <v>2047</v>
      </c>
      <c r="F1250" s="1" t="s">
        <v>2053</v>
      </c>
      <c r="G1250" s="1" t="s">
        <v>2067</v>
      </c>
      <c r="H1250" s="1" t="s">
        <v>2086</v>
      </c>
      <c r="I1250" s="1">
        <v>8</v>
      </c>
      <c r="J1250" s="1">
        <v>428.61</v>
      </c>
      <c r="K1250" s="1">
        <v>10.23</v>
      </c>
      <c r="L1250" s="1">
        <v>3078.11</v>
      </c>
      <c r="M1250" s="1">
        <v>298.37</v>
      </c>
      <c r="N1250" s="1" t="s">
        <v>2091</v>
      </c>
    </row>
    <row r="1251" spans="1:14">
      <c r="A1251" s="1" t="s">
        <v>1263</v>
      </c>
      <c r="B1251" s="2">
        <v>45748</v>
      </c>
      <c r="C1251" s="1" t="s">
        <v>2017</v>
      </c>
      <c r="D1251" s="1" t="s">
        <v>2033</v>
      </c>
      <c r="E1251" s="1" t="s">
        <v>2045</v>
      </c>
      <c r="F1251" s="1" t="s">
        <v>2053</v>
      </c>
      <c r="G1251" s="1" t="s">
        <v>2073</v>
      </c>
      <c r="H1251" s="1" t="s">
        <v>2085</v>
      </c>
      <c r="I1251" s="1">
        <v>2</v>
      </c>
      <c r="J1251" s="1">
        <v>190.59</v>
      </c>
      <c r="K1251" s="1">
        <v>17.5</v>
      </c>
      <c r="L1251" s="1">
        <v>314.47000000000003</v>
      </c>
      <c r="M1251" s="1">
        <v>33.799999999999997</v>
      </c>
      <c r="N1251" s="1" t="s">
        <v>2088</v>
      </c>
    </row>
    <row r="1252" spans="1:14">
      <c r="A1252" s="1" t="s">
        <v>1264</v>
      </c>
      <c r="B1252" s="2">
        <v>45748</v>
      </c>
      <c r="C1252" s="1" t="s">
        <v>2027</v>
      </c>
      <c r="D1252" s="1" t="s">
        <v>2034</v>
      </c>
      <c r="E1252" s="1" t="s">
        <v>2046</v>
      </c>
      <c r="F1252" s="1" t="s">
        <v>2053</v>
      </c>
      <c r="G1252" s="1" t="s">
        <v>2067</v>
      </c>
      <c r="H1252" s="1" t="s">
        <v>2087</v>
      </c>
      <c r="I1252" s="1">
        <v>2</v>
      </c>
      <c r="J1252" s="1">
        <v>2259.66</v>
      </c>
      <c r="K1252" s="1">
        <v>24.55</v>
      </c>
      <c r="L1252" s="1">
        <v>3409.83</v>
      </c>
      <c r="M1252" s="1">
        <v>1014.74</v>
      </c>
      <c r="N1252" s="1" t="s">
        <v>2089</v>
      </c>
    </row>
    <row r="1253" spans="1:14">
      <c r="A1253" s="1" t="s">
        <v>1265</v>
      </c>
      <c r="B1253" s="2">
        <v>45748</v>
      </c>
      <c r="C1253" s="1" t="s">
        <v>2028</v>
      </c>
      <c r="D1253" s="1" t="s">
        <v>2035</v>
      </c>
      <c r="E1253" s="1" t="s">
        <v>2046</v>
      </c>
      <c r="F1253" s="1" t="s">
        <v>2049</v>
      </c>
      <c r="G1253" s="1" t="s">
        <v>2082</v>
      </c>
      <c r="H1253" s="1" t="s">
        <v>2086</v>
      </c>
      <c r="I1253" s="1">
        <v>7</v>
      </c>
      <c r="J1253" s="1">
        <v>217.68</v>
      </c>
      <c r="K1253" s="1">
        <v>29.35</v>
      </c>
      <c r="L1253" s="1">
        <v>1076.54</v>
      </c>
      <c r="M1253" s="1">
        <v>212.2</v>
      </c>
      <c r="N1253" s="1" t="s">
        <v>2091</v>
      </c>
    </row>
    <row r="1254" spans="1:14">
      <c r="A1254" s="1" t="s">
        <v>1266</v>
      </c>
      <c r="B1254" s="2">
        <v>45749</v>
      </c>
      <c r="C1254" s="1" t="s">
        <v>2015</v>
      </c>
      <c r="D1254" s="1" t="s">
        <v>2036</v>
      </c>
      <c r="E1254" s="1" t="s">
        <v>2046</v>
      </c>
      <c r="F1254" s="1" t="s">
        <v>2051</v>
      </c>
      <c r="G1254" s="1" t="s">
        <v>2069</v>
      </c>
      <c r="H1254" s="1" t="s">
        <v>2085</v>
      </c>
      <c r="I1254" s="1">
        <v>3</v>
      </c>
      <c r="J1254" s="1">
        <v>5206.38</v>
      </c>
      <c r="K1254" s="1">
        <v>19.510000000000002</v>
      </c>
      <c r="L1254" s="1">
        <v>12571.85</v>
      </c>
      <c r="M1254" s="1">
        <v>1610.73</v>
      </c>
      <c r="N1254" s="1" t="s">
        <v>2089</v>
      </c>
    </row>
    <row r="1255" spans="1:14">
      <c r="A1255" s="1" t="s">
        <v>1267</v>
      </c>
      <c r="B1255" s="2">
        <v>45749</v>
      </c>
      <c r="C1255" s="1" t="s">
        <v>2025</v>
      </c>
      <c r="D1255" s="1" t="s">
        <v>2037</v>
      </c>
      <c r="E1255" s="1" t="s">
        <v>2048</v>
      </c>
      <c r="F1255" s="1" t="s">
        <v>2052</v>
      </c>
      <c r="G1255" s="1" t="s">
        <v>2078</v>
      </c>
      <c r="H1255" s="1" t="s">
        <v>2087</v>
      </c>
      <c r="I1255" s="1">
        <v>1</v>
      </c>
      <c r="J1255" s="1">
        <v>4279.3599999999997</v>
      </c>
      <c r="K1255" s="1">
        <v>7.96</v>
      </c>
      <c r="L1255" s="1">
        <v>3938.72</v>
      </c>
      <c r="M1255" s="1">
        <v>494.89</v>
      </c>
      <c r="N1255" s="1" t="s">
        <v>2088</v>
      </c>
    </row>
    <row r="1256" spans="1:14">
      <c r="A1256" s="1" t="s">
        <v>1268</v>
      </c>
      <c r="B1256" s="2">
        <v>45749</v>
      </c>
      <c r="C1256" s="1" t="s">
        <v>2025</v>
      </c>
      <c r="D1256" s="1" t="s">
        <v>2038</v>
      </c>
      <c r="E1256" s="1" t="s">
        <v>2048</v>
      </c>
      <c r="F1256" s="1" t="s">
        <v>2051</v>
      </c>
      <c r="G1256" s="1" t="s">
        <v>2057</v>
      </c>
      <c r="H1256" s="1" t="s">
        <v>2086</v>
      </c>
      <c r="I1256" s="1">
        <v>7</v>
      </c>
      <c r="J1256" s="1">
        <v>14172.48</v>
      </c>
      <c r="K1256" s="1">
        <v>21.09</v>
      </c>
      <c r="L1256" s="1">
        <v>78284.53</v>
      </c>
      <c r="M1256" s="1">
        <v>8270.83</v>
      </c>
      <c r="N1256" s="1" t="s">
        <v>2089</v>
      </c>
    </row>
    <row r="1257" spans="1:14">
      <c r="A1257" s="1" t="s">
        <v>1269</v>
      </c>
      <c r="B1257" s="2">
        <v>45750</v>
      </c>
      <c r="C1257" s="1" t="s">
        <v>2028</v>
      </c>
      <c r="D1257" s="1" t="s">
        <v>2039</v>
      </c>
      <c r="E1257" s="1" t="s">
        <v>2047</v>
      </c>
      <c r="F1257" s="1" t="s">
        <v>2051</v>
      </c>
      <c r="G1257" s="1" t="s">
        <v>2077</v>
      </c>
      <c r="H1257" s="1" t="s">
        <v>2086</v>
      </c>
      <c r="I1257" s="1">
        <v>1</v>
      </c>
      <c r="J1257" s="1">
        <v>22686.04</v>
      </c>
      <c r="K1257" s="1">
        <v>8.5500000000000007</v>
      </c>
      <c r="L1257" s="1">
        <v>20746.38</v>
      </c>
      <c r="M1257" s="1">
        <v>1163.04</v>
      </c>
      <c r="N1257" s="1" t="s">
        <v>2091</v>
      </c>
    </row>
    <row r="1258" spans="1:14">
      <c r="A1258" s="1" t="s">
        <v>1270</v>
      </c>
      <c r="B1258" s="2">
        <v>45750</v>
      </c>
      <c r="C1258" s="1" t="s">
        <v>2016</v>
      </c>
      <c r="D1258" s="1" t="s">
        <v>2040</v>
      </c>
      <c r="E1258" s="1" t="s">
        <v>2044</v>
      </c>
      <c r="F1258" s="1" t="s">
        <v>2051</v>
      </c>
      <c r="G1258" s="1" t="s">
        <v>2080</v>
      </c>
      <c r="H1258" s="1" t="s">
        <v>2086</v>
      </c>
      <c r="I1258" s="1">
        <v>5</v>
      </c>
      <c r="J1258" s="1">
        <v>30417.01</v>
      </c>
      <c r="K1258" s="1">
        <v>0.62</v>
      </c>
      <c r="L1258" s="1">
        <v>151142.12</v>
      </c>
      <c r="M1258" s="1">
        <v>16979.900000000001</v>
      </c>
      <c r="N1258" s="1" t="s">
        <v>2090</v>
      </c>
    </row>
    <row r="1259" spans="1:14">
      <c r="A1259" s="1" t="s">
        <v>1271</v>
      </c>
      <c r="B1259" s="2">
        <v>45751</v>
      </c>
      <c r="C1259" s="1" t="s">
        <v>2022</v>
      </c>
      <c r="D1259" s="1" t="s">
        <v>2041</v>
      </c>
      <c r="E1259" s="1" t="s">
        <v>2048</v>
      </c>
      <c r="F1259" s="1" t="s">
        <v>2052</v>
      </c>
      <c r="G1259" s="1" t="s">
        <v>2059</v>
      </c>
      <c r="H1259" s="1" t="s">
        <v>2086</v>
      </c>
      <c r="I1259" s="1">
        <v>8</v>
      </c>
      <c r="J1259" s="1">
        <v>6087.25</v>
      </c>
      <c r="K1259" s="1">
        <v>20.45</v>
      </c>
      <c r="L1259" s="1">
        <v>38739.26</v>
      </c>
      <c r="M1259" s="1">
        <v>11558.84</v>
      </c>
      <c r="N1259" s="1" t="s">
        <v>2088</v>
      </c>
    </row>
    <row r="1260" spans="1:14">
      <c r="A1260" s="1" t="s">
        <v>1272</v>
      </c>
      <c r="B1260" s="2">
        <v>45751</v>
      </c>
      <c r="C1260" s="1" t="s">
        <v>2017</v>
      </c>
      <c r="D1260" s="1" t="s">
        <v>2042</v>
      </c>
      <c r="E1260" s="1" t="s">
        <v>2047</v>
      </c>
      <c r="F1260" s="1" t="s">
        <v>2054</v>
      </c>
      <c r="G1260" s="1" t="s">
        <v>2079</v>
      </c>
      <c r="H1260" s="1" t="s">
        <v>2085</v>
      </c>
      <c r="I1260" s="1">
        <v>4</v>
      </c>
      <c r="J1260" s="1">
        <v>50204.76</v>
      </c>
      <c r="K1260" s="1">
        <v>24.82</v>
      </c>
      <c r="L1260" s="1">
        <v>150975.75</v>
      </c>
      <c r="M1260" s="1">
        <v>33163.69</v>
      </c>
      <c r="N1260" s="1" t="s">
        <v>2090</v>
      </c>
    </row>
    <row r="1261" spans="1:14">
      <c r="A1261" s="1" t="s">
        <v>1273</v>
      </c>
      <c r="B1261" s="2">
        <v>45751</v>
      </c>
      <c r="C1261" s="1" t="s">
        <v>2028</v>
      </c>
      <c r="D1261" s="1" t="s">
        <v>2043</v>
      </c>
      <c r="E1261" s="1" t="s">
        <v>2046</v>
      </c>
      <c r="F1261" s="1" t="s">
        <v>2049</v>
      </c>
      <c r="G1261" s="1" t="s">
        <v>2055</v>
      </c>
      <c r="H1261" s="1" t="s">
        <v>2085</v>
      </c>
      <c r="I1261" s="1">
        <v>4</v>
      </c>
      <c r="J1261" s="1">
        <v>2350.4699999999998</v>
      </c>
      <c r="K1261" s="1">
        <v>23.52</v>
      </c>
      <c r="L1261" s="1">
        <v>7190.56</v>
      </c>
      <c r="M1261" s="1">
        <v>1293.01</v>
      </c>
      <c r="N1261" s="1" t="s">
        <v>2092</v>
      </c>
    </row>
    <row r="1262" spans="1:14">
      <c r="A1262" s="1" t="s">
        <v>1274</v>
      </c>
      <c r="B1262" s="2">
        <v>45752</v>
      </c>
      <c r="C1262" s="1" t="s">
        <v>2020</v>
      </c>
      <c r="D1262" s="1" t="s">
        <v>2029</v>
      </c>
      <c r="E1262" s="1" t="s">
        <v>2048</v>
      </c>
      <c r="F1262" s="1" t="s">
        <v>2053</v>
      </c>
      <c r="G1262" s="1" t="s">
        <v>2067</v>
      </c>
      <c r="H1262" s="1" t="s">
        <v>2085</v>
      </c>
      <c r="I1262" s="1">
        <v>8</v>
      </c>
      <c r="J1262" s="1">
        <v>2009.4</v>
      </c>
      <c r="K1262" s="1">
        <v>12.51</v>
      </c>
      <c r="L1262" s="1">
        <v>14064.19</v>
      </c>
      <c r="M1262" s="1">
        <v>1508.79</v>
      </c>
      <c r="N1262" s="1" t="s">
        <v>2091</v>
      </c>
    </row>
    <row r="1263" spans="1:14">
      <c r="A1263" s="1" t="s">
        <v>1275</v>
      </c>
      <c r="B1263" s="2">
        <v>45752</v>
      </c>
      <c r="C1263" s="1" t="s">
        <v>2022</v>
      </c>
      <c r="D1263" s="1" t="s">
        <v>2030</v>
      </c>
      <c r="E1263" s="1" t="s">
        <v>2048</v>
      </c>
      <c r="F1263" s="1" t="s">
        <v>2050</v>
      </c>
      <c r="G1263" s="1" t="s">
        <v>2070</v>
      </c>
      <c r="H1263" s="1" t="s">
        <v>2086</v>
      </c>
      <c r="I1263" s="1">
        <v>7</v>
      </c>
      <c r="J1263" s="1">
        <v>6676.06</v>
      </c>
      <c r="K1263" s="1">
        <v>12.35</v>
      </c>
      <c r="L1263" s="1">
        <v>40960.97</v>
      </c>
      <c r="M1263" s="1">
        <v>7360.77</v>
      </c>
      <c r="N1263" s="1" t="s">
        <v>2091</v>
      </c>
    </row>
    <row r="1264" spans="1:14">
      <c r="A1264" s="1" t="s">
        <v>1276</v>
      </c>
      <c r="B1264" s="2">
        <v>45752</v>
      </c>
      <c r="C1264" s="1" t="s">
        <v>2024</v>
      </c>
      <c r="D1264" s="1" t="s">
        <v>2031</v>
      </c>
      <c r="E1264" s="1" t="s">
        <v>2044</v>
      </c>
      <c r="F1264" s="1" t="s">
        <v>2051</v>
      </c>
      <c r="G1264" s="1" t="s">
        <v>2077</v>
      </c>
      <c r="H1264" s="1" t="s">
        <v>2085</v>
      </c>
      <c r="I1264" s="1">
        <v>2</v>
      </c>
      <c r="J1264" s="1">
        <v>1826.5</v>
      </c>
      <c r="K1264" s="1">
        <v>6.82</v>
      </c>
      <c r="L1264" s="1">
        <v>3403.87</v>
      </c>
      <c r="M1264" s="1">
        <v>574.92999999999995</v>
      </c>
      <c r="N1264" s="1" t="s">
        <v>2092</v>
      </c>
    </row>
    <row r="1265" spans="1:14">
      <c r="A1265" s="1" t="s">
        <v>1277</v>
      </c>
      <c r="B1265" s="2">
        <v>45753</v>
      </c>
      <c r="C1265" s="1" t="s">
        <v>2027</v>
      </c>
      <c r="D1265" s="1" t="s">
        <v>2032</v>
      </c>
      <c r="E1265" s="1" t="s">
        <v>2046</v>
      </c>
      <c r="F1265" s="1" t="s">
        <v>2051</v>
      </c>
      <c r="G1265" s="1" t="s">
        <v>2080</v>
      </c>
      <c r="H1265" s="1" t="s">
        <v>2085</v>
      </c>
      <c r="I1265" s="1">
        <v>8</v>
      </c>
      <c r="J1265" s="1">
        <v>18146.57</v>
      </c>
      <c r="K1265" s="1">
        <v>13.39</v>
      </c>
      <c r="L1265" s="1">
        <v>125733.95</v>
      </c>
      <c r="M1265" s="1">
        <v>19203.400000000001</v>
      </c>
      <c r="N1265" s="1" t="s">
        <v>2088</v>
      </c>
    </row>
    <row r="1266" spans="1:14">
      <c r="A1266" s="1" t="s">
        <v>1278</v>
      </c>
      <c r="B1266" s="2">
        <v>45753</v>
      </c>
      <c r="C1266" s="1" t="s">
        <v>2021</v>
      </c>
      <c r="D1266" s="1" t="s">
        <v>2033</v>
      </c>
      <c r="E1266" s="1" t="s">
        <v>2048</v>
      </c>
      <c r="F1266" s="1" t="s">
        <v>2050</v>
      </c>
      <c r="G1266" s="1" t="s">
        <v>2064</v>
      </c>
      <c r="H1266" s="1" t="s">
        <v>2087</v>
      </c>
      <c r="I1266" s="1">
        <v>4</v>
      </c>
      <c r="J1266" s="1">
        <v>403.36</v>
      </c>
      <c r="K1266" s="1">
        <v>12.69</v>
      </c>
      <c r="L1266" s="1">
        <v>1408.69</v>
      </c>
      <c r="M1266" s="1">
        <v>136.51</v>
      </c>
      <c r="N1266" s="1" t="s">
        <v>2088</v>
      </c>
    </row>
    <row r="1267" spans="1:14">
      <c r="A1267" s="1" t="s">
        <v>1279</v>
      </c>
      <c r="B1267" s="2">
        <v>45753</v>
      </c>
      <c r="C1267" s="1" t="s">
        <v>2020</v>
      </c>
      <c r="D1267" s="1" t="s">
        <v>2034</v>
      </c>
      <c r="E1267" s="1" t="s">
        <v>2047</v>
      </c>
      <c r="F1267" s="1" t="s">
        <v>2053</v>
      </c>
      <c r="G1267" s="1" t="s">
        <v>2060</v>
      </c>
      <c r="H1267" s="1" t="s">
        <v>2086</v>
      </c>
      <c r="I1267" s="1">
        <v>4</v>
      </c>
      <c r="J1267" s="1">
        <v>1821.84</v>
      </c>
      <c r="K1267" s="1">
        <v>22.88</v>
      </c>
      <c r="L1267" s="1">
        <v>5620.01</v>
      </c>
      <c r="M1267" s="1">
        <v>564.04999999999995</v>
      </c>
      <c r="N1267" s="1" t="s">
        <v>2089</v>
      </c>
    </row>
    <row r="1268" spans="1:14">
      <c r="A1268" s="1" t="s">
        <v>1280</v>
      </c>
      <c r="B1268" s="2">
        <v>45754</v>
      </c>
      <c r="C1268" s="1" t="s">
        <v>2014</v>
      </c>
      <c r="D1268" s="1" t="s">
        <v>2035</v>
      </c>
      <c r="E1268" s="1" t="s">
        <v>2045</v>
      </c>
      <c r="F1268" s="1" t="s">
        <v>2050</v>
      </c>
      <c r="G1268" s="1" t="s">
        <v>2070</v>
      </c>
      <c r="H1268" s="1" t="s">
        <v>2085</v>
      </c>
      <c r="I1268" s="1">
        <v>3</v>
      </c>
      <c r="J1268" s="1">
        <v>2775.26</v>
      </c>
      <c r="K1268" s="1">
        <v>4.79</v>
      </c>
      <c r="L1268" s="1">
        <v>7926.98</v>
      </c>
      <c r="M1268" s="1">
        <v>802.97</v>
      </c>
      <c r="N1268" s="1" t="s">
        <v>2088</v>
      </c>
    </row>
    <row r="1269" spans="1:14">
      <c r="A1269" s="1" t="s">
        <v>1281</v>
      </c>
      <c r="B1269" s="2">
        <v>45754</v>
      </c>
      <c r="C1269" s="1" t="s">
        <v>2019</v>
      </c>
      <c r="D1269" s="1" t="s">
        <v>2036</v>
      </c>
      <c r="E1269" s="1" t="s">
        <v>2047</v>
      </c>
      <c r="F1269" s="1" t="s">
        <v>2054</v>
      </c>
      <c r="G1269" s="1" t="s">
        <v>2081</v>
      </c>
      <c r="H1269" s="1" t="s">
        <v>2086</v>
      </c>
      <c r="I1269" s="1">
        <v>7</v>
      </c>
      <c r="J1269" s="1">
        <v>56167.07</v>
      </c>
      <c r="K1269" s="1">
        <v>15.07</v>
      </c>
      <c r="L1269" s="1">
        <v>333918.84999999998</v>
      </c>
      <c r="M1269" s="1">
        <v>30579.599999999999</v>
      </c>
      <c r="N1269" s="1" t="s">
        <v>2092</v>
      </c>
    </row>
    <row r="1270" spans="1:14">
      <c r="A1270" s="1" t="s">
        <v>1282</v>
      </c>
      <c r="B1270" s="2">
        <v>45755</v>
      </c>
      <c r="C1270" s="1" t="s">
        <v>2026</v>
      </c>
      <c r="D1270" s="1" t="s">
        <v>2037</v>
      </c>
      <c r="E1270" s="1" t="s">
        <v>2048</v>
      </c>
      <c r="F1270" s="1" t="s">
        <v>2050</v>
      </c>
      <c r="G1270" s="1" t="s">
        <v>2056</v>
      </c>
      <c r="H1270" s="1" t="s">
        <v>2085</v>
      </c>
      <c r="I1270" s="1">
        <v>8</v>
      </c>
      <c r="J1270" s="1">
        <v>7038.44</v>
      </c>
      <c r="K1270" s="1">
        <v>26.04</v>
      </c>
      <c r="L1270" s="1">
        <v>41645.040000000001</v>
      </c>
      <c r="M1270" s="1">
        <v>8651.4500000000007</v>
      </c>
      <c r="N1270" s="1" t="s">
        <v>2089</v>
      </c>
    </row>
    <row r="1271" spans="1:14">
      <c r="A1271" s="1" t="s">
        <v>1283</v>
      </c>
      <c r="B1271" s="2">
        <v>45755</v>
      </c>
      <c r="C1271" s="1" t="s">
        <v>2014</v>
      </c>
      <c r="D1271" s="1" t="s">
        <v>2038</v>
      </c>
      <c r="E1271" s="1" t="s">
        <v>2044</v>
      </c>
      <c r="F1271" s="1" t="s">
        <v>2051</v>
      </c>
      <c r="G1271" s="1" t="s">
        <v>2057</v>
      </c>
      <c r="H1271" s="1" t="s">
        <v>2086</v>
      </c>
      <c r="I1271" s="1">
        <v>1</v>
      </c>
      <c r="J1271" s="1">
        <v>11208.36</v>
      </c>
      <c r="K1271" s="1">
        <v>15.38</v>
      </c>
      <c r="L1271" s="1">
        <v>9484.51</v>
      </c>
      <c r="M1271" s="1">
        <v>1258.1199999999999</v>
      </c>
      <c r="N1271" s="1" t="s">
        <v>2088</v>
      </c>
    </row>
    <row r="1272" spans="1:14">
      <c r="A1272" s="1" t="s">
        <v>1284</v>
      </c>
      <c r="B1272" s="2">
        <v>45755</v>
      </c>
      <c r="C1272" s="1" t="s">
        <v>2016</v>
      </c>
      <c r="D1272" s="1" t="s">
        <v>2039</v>
      </c>
      <c r="E1272" s="1" t="s">
        <v>2046</v>
      </c>
      <c r="F1272" s="1" t="s">
        <v>2053</v>
      </c>
      <c r="G1272" s="1" t="s">
        <v>2067</v>
      </c>
      <c r="H1272" s="1" t="s">
        <v>2087</v>
      </c>
      <c r="I1272" s="1">
        <v>3</v>
      </c>
      <c r="J1272" s="1">
        <v>932.91</v>
      </c>
      <c r="K1272" s="1">
        <v>12.57</v>
      </c>
      <c r="L1272" s="1">
        <v>2446.9299999999998</v>
      </c>
      <c r="M1272" s="1">
        <v>132.69999999999999</v>
      </c>
      <c r="N1272" s="1" t="s">
        <v>2090</v>
      </c>
    </row>
    <row r="1273" spans="1:14">
      <c r="A1273" s="1" t="s">
        <v>1285</v>
      </c>
      <c r="B1273" s="2">
        <v>45756</v>
      </c>
      <c r="C1273" s="1" t="s">
        <v>2027</v>
      </c>
      <c r="D1273" s="1" t="s">
        <v>2040</v>
      </c>
      <c r="E1273" s="1" t="s">
        <v>2045</v>
      </c>
      <c r="F1273" s="1" t="s">
        <v>2049</v>
      </c>
      <c r="G1273" s="1" t="s">
        <v>2074</v>
      </c>
      <c r="H1273" s="1" t="s">
        <v>2086</v>
      </c>
      <c r="I1273" s="1">
        <v>4</v>
      </c>
      <c r="J1273" s="1">
        <v>2192.2399999999998</v>
      </c>
      <c r="K1273" s="1">
        <v>15.3</v>
      </c>
      <c r="L1273" s="1">
        <v>7427.31</v>
      </c>
      <c r="M1273" s="1">
        <v>612.30999999999995</v>
      </c>
      <c r="N1273" s="1" t="s">
        <v>2090</v>
      </c>
    </row>
    <row r="1274" spans="1:14">
      <c r="A1274" s="1" t="s">
        <v>1286</v>
      </c>
      <c r="B1274" s="2">
        <v>45756</v>
      </c>
      <c r="C1274" s="1" t="s">
        <v>2026</v>
      </c>
      <c r="D1274" s="1" t="s">
        <v>2041</v>
      </c>
      <c r="E1274" s="1" t="s">
        <v>2046</v>
      </c>
      <c r="F1274" s="1" t="s">
        <v>2054</v>
      </c>
      <c r="G1274" s="1" t="s">
        <v>2081</v>
      </c>
      <c r="H1274" s="1" t="s">
        <v>2085</v>
      </c>
      <c r="I1274" s="1">
        <v>2</v>
      </c>
      <c r="J1274" s="1">
        <v>26134.400000000001</v>
      </c>
      <c r="K1274" s="1">
        <v>27.78</v>
      </c>
      <c r="L1274" s="1">
        <v>37748.53</v>
      </c>
      <c r="M1274" s="1">
        <v>9371.15</v>
      </c>
      <c r="N1274" s="1" t="s">
        <v>2092</v>
      </c>
    </row>
    <row r="1275" spans="1:14">
      <c r="A1275" s="1" t="s">
        <v>1287</v>
      </c>
      <c r="B1275" s="2">
        <v>45756</v>
      </c>
      <c r="C1275" s="1" t="s">
        <v>2023</v>
      </c>
      <c r="D1275" s="1" t="s">
        <v>2042</v>
      </c>
      <c r="E1275" s="1" t="s">
        <v>2045</v>
      </c>
      <c r="F1275" s="1" t="s">
        <v>2052</v>
      </c>
      <c r="G1275" s="1" t="s">
        <v>2072</v>
      </c>
      <c r="H1275" s="1" t="s">
        <v>2085</v>
      </c>
      <c r="I1275" s="1">
        <v>7</v>
      </c>
      <c r="J1275" s="1">
        <v>1023.22</v>
      </c>
      <c r="K1275" s="1">
        <v>20.45</v>
      </c>
      <c r="L1275" s="1">
        <v>5697.8</v>
      </c>
      <c r="M1275" s="1">
        <v>1253.67</v>
      </c>
      <c r="N1275" s="1" t="s">
        <v>2089</v>
      </c>
    </row>
    <row r="1276" spans="1:14">
      <c r="A1276" s="1" t="s">
        <v>1288</v>
      </c>
      <c r="B1276" s="2">
        <v>45757</v>
      </c>
      <c r="C1276" s="1" t="s">
        <v>2015</v>
      </c>
      <c r="D1276" s="1" t="s">
        <v>2043</v>
      </c>
      <c r="E1276" s="1" t="s">
        <v>2046</v>
      </c>
      <c r="F1276" s="1" t="s">
        <v>2052</v>
      </c>
      <c r="G1276" s="1" t="s">
        <v>2078</v>
      </c>
      <c r="H1276" s="1" t="s">
        <v>2086</v>
      </c>
      <c r="I1276" s="1">
        <v>3</v>
      </c>
      <c r="J1276" s="1">
        <v>9552.82</v>
      </c>
      <c r="K1276" s="1">
        <v>27.64</v>
      </c>
      <c r="L1276" s="1">
        <v>20737.259999999998</v>
      </c>
      <c r="M1276" s="1">
        <v>1316.81</v>
      </c>
      <c r="N1276" s="1" t="s">
        <v>2092</v>
      </c>
    </row>
    <row r="1277" spans="1:14">
      <c r="A1277" s="1" t="s">
        <v>1289</v>
      </c>
      <c r="B1277" s="2">
        <v>45757</v>
      </c>
      <c r="C1277" s="1" t="s">
        <v>2025</v>
      </c>
      <c r="D1277" s="1" t="s">
        <v>2029</v>
      </c>
      <c r="E1277" s="1" t="s">
        <v>2048</v>
      </c>
      <c r="F1277" s="1" t="s">
        <v>2050</v>
      </c>
      <c r="G1277" s="1" t="s">
        <v>2056</v>
      </c>
      <c r="H1277" s="1" t="s">
        <v>2087</v>
      </c>
      <c r="I1277" s="1">
        <v>10</v>
      </c>
      <c r="J1277" s="1">
        <v>982.47</v>
      </c>
      <c r="K1277" s="1">
        <v>27.67</v>
      </c>
      <c r="L1277" s="1">
        <v>7106.21</v>
      </c>
      <c r="M1277" s="1">
        <v>1208.48</v>
      </c>
      <c r="N1277" s="1" t="s">
        <v>2090</v>
      </c>
    </row>
    <row r="1278" spans="1:14">
      <c r="A1278" s="1" t="s">
        <v>1290</v>
      </c>
      <c r="B1278" s="2">
        <v>45757</v>
      </c>
      <c r="C1278" s="1" t="s">
        <v>2028</v>
      </c>
      <c r="D1278" s="1" t="s">
        <v>2030</v>
      </c>
      <c r="E1278" s="1" t="s">
        <v>2045</v>
      </c>
      <c r="F1278" s="1" t="s">
        <v>2054</v>
      </c>
      <c r="G1278" s="1" t="s">
        <v>2079</v>
      </c>
      <c r="H1278" s="1" t="s">
        <v>2085</v>
      </c>
      <c r="I1278" s="1">
        <v>10</v>
      </c>
      <c r="J1278" s="1">
        <v>79763.23</v>
      </c>
      <c r="K1278" s="1">
        <v>13.68</v>
      </c>
      <c r="L1278" s="1">
        <v>688516.2</v>
      </c>
      <c r="M1278" s="1">
        <v>163320.76999999999</v>
      </c>
      <c r="N1278" s="1" t="s">
        <v>2091</v>
      </c>
    </row>
    <row r="1279" spans="1:14">
      <c r="A1279" s="1" t="s">
        <v>1291</v>
      </c>
      <c r="B1279" s="2">
        <v>45758</v>
      </c>
      <c r="C1279" s="1" t="s">
        <v>2017</v>
      </c>
      <c r="D1279" s="1" t="s">
        <v>2031</v>
      </c>
      <c r="E1279" s="1" t="s">
        <v>2046</v>
      </c>
      <c r="F1279" s="1" t="s">
        <v>2053</v>
      </c>
      <c r="G1279" s="1" t="s">
        <v>2067</v>
      </c>
      <c r="H1279" s="1" t="s">
        <v>2087</v>
      </c>
      <c r="I1279" s="1">
        <v>6</v>
      </c>
      <c r="J1279" s="1">
        <v>242.41</v>
      </c>
      <c r="K1279" s="1">
        <v>19.73</v>
      </c>
      <c r="L1279" s="1">
        <v>1167.5</v>
      </c>
      <c r="M1279" s="1">
        <v>316.14</v>
      </c>
      <c r="N1279" s="1" t="s">
        <v>2092</v>
      </c>
    </row>
    <row r="1280" spans="1:14">
      <c r="A1280" s="1" t="s">
        <v>1292</v>
      </c>
      <c r="B1280" s="2">
        <v>45758</v>
      </c>
      <c r="C1280" s="1" t="s">
        <v>2016</v>
      </c>
      <c r="D1280" s="1" t="s">
        <v>2032</v>
      </c>
      <c r="E1280" s="1" t="s">
        <v>2044</v>
      </c>
      <c r="F1280" s="1" t="s">
        <v>2053</v>
      </c>
      <c r="G1280" s="1" t="s">
        <v>2060</v>
      </c>
      <c r="H1280" s="1" t="s">
        <v>2086</v>
      </c>
      <c r="I1280" s="1">
        <v>7</v>
      </c>
      <c r="J1280" s="1">
        <v>2197.85</v>
      </c>
      <c r="K1280" s="1">
        <v>10.77</v>
      </c>
      <c r="L1280" s="1">
        <v>13727.99</v>
      </c>
      <c r="M1280" s="1">
        <v>842.51</v>
      </c>
      <c r="N1280" s="1" t="s">
        <v>2089</v>
      </c>
    </row>
    <row r="1281" spans="1:14">
      <c r="A1281" s="1" t="s">
        <v>1293</v>
      </c>
      <c r="B1281" s="2">
        <v>45759</v>
      </c>
      <c r="C1281" s="1" t="s">
        <v>2017</v>
      </c>
      <c r="D1281" s="1" t="s">
        <v>2033</v>
      </c>
      <c r="E1281" s="1" t="s">
        <v>2045</v>
      </c>
      <c r="F1281" s="1" t="s">
        <v>2052</v>
      </c>
      <c r="G1281" s="1" t="s">
        <v>2059</v>
      </c>
      <c r="H1281" s="1" t="s">
        <v>2087</v>
      </c>
      <c r="I1281" s="1">
        <v>2</v>
      </c>
      <c r="J1281" s="1">
        <v>7191.93</v>
      </c>
      <c r="K1281" s="1">
        <v>0.11</v>
      </c>
      <c r="L1281" s="1">
        <v>14368.04</v>
      </c>
      <c r="M1281" s="1">
        <v>885.58</v>
      </c>
      <c r="N1281" s="1" t="s">
        <v>2088</v>
      </c>
    </row>
    <row r="1282" spans="1:14">
      <c r="A1282" s="1" t="s">
        <v>1294</v>
      </c>
      <c r="B1282" s="2">
        <v>45759</v>
      </c>
      <c r="C1282" s="1" t="s">
        <v>2022</v>
      </c>
      <c r="D1282" s="1" t="s">
        <v>2034</v>
      </c>
      <c r="E1282" s="1" t="s">
        <v>2044</v>
      </c>
      <c r="F1282" s="1" t="s">
        <v>2049</v>
      </c>
      <c r="G1282" s="1" t="s">
        <v>2082</v>
      </c>
      <c r="H1282" s="1" t="s">
        <v>2087</v>
      </c>
      <c r="I1282" s="1">
        <v>9</v>
      </c>
      <c r="J1282" s="1">
        <v>2742.47</v>
      </c>
      <c r="K1282" s="1">
        <v>5.78</v>
      </c>
      <c r="L1282" s="1">
        <v>23255.599999999999</v>
      </c>
      <c r="M1282" s="1">
        <v>3426.53</v>
      </c>
      <c r="N1282" s="1" t="s">
        <v>2088</v>
      </c>
    </row>
    <row r="1283" spans="1:14">
      <c r="A1283" s="1" t="s">
        <v>1295</v>
      </c>
      <c r="B1283" s="2">
        <v>45759</v>
      </c>
      <c r="C1283" s="1" t="s">
        <v>2023</v>
      </c>
      <c r="D1283" s="1" t="s">
        <v>2035</v>
      </c>
      <c r="E1283" s="1" t="s">
        <v>2047</v>
      </c>
      <c r="F1283" s="1" t="s">
        <v>2053</v>
      </c>
      <c r="G1283" s="1" t="s">
        <v>2073</v>
      </c>
      <c r="H1283" s="1" t="s">
        <v>2086</v>
      </c>
      <c r="I1283" s="1">
        <v>7</v>
      </c>
      <c r="J1283" s="1">
        <v>1114.6199999999999</v>
      </c>
      <c r="K1283" s="1">
        <v>24.02</v>
      </c>
      <c r="L1283" s="1">
        <v>5928.22</v>
      </c>
      <c r="M1283" s="1">
        <v>672.55</v>
      </c>
      <c r="N1283" s="1" t="s">
        <v>2092</v>
      </c>
    </row>
    <row r="1284" spans="1:14">
      <c r="A1284" s="1" t="s">
        <v>1296</v>
      </c>
      <c r="B1284" s="2">
        <v>45760</v>
      </c>
      <c r="C1284" s="1" t="s">
        <v>2027</v>
      </c>
      <c r="D1284" s="1" t="s">
        <v>2036</v>
      </c>
      <c r="E1284" s="1" t="s">
        <v>2045</v>
      </c>
      <c r="F1284" s="1" t="s">
        <v>2051</v>
      </c>
      <c r="G1284" s="1" t="s">
        <v>2077</v>
      </c>
      <c r="H1284" s="1" t="s">
        <v>2087</v>
      </c>
      <c r="I1284" s="1">
        <v>9</v>
      </c>
      <c r="J1284" s="1">
        <v>20162.61</v>
      </c>
      <c r="K1284" s="1">
        <v>26.17</v>
      </c>
      <c r="L1284" s="1">
        <v>133974.49</v>
      </c>
      <c r="M1284" s="1">
        <v>30548.31</v>
      </c>
      <c r="N1284" s="1" t="s">
        <v>2092</v>
      </c>
    </row>
    <row r="1285" spans="1:14">
      <c r="A1285" s="1" t="s">
        <v>1297</v>
      </c>
      <c r="B1285" s="2">
        <v>45760</v>
      </c>
      <c r="C1285" s="1" t="s">
        <v>2024</v>
      </c>
      <c r="D1285" s="1" t="s">
        <v>2037</v>
      </c>
      <c r="E1285" s="1" t="s">
        <v>2047</v>
      </c>
      <c r="F1285" s="1" t="s">
        <v>2050</v>
      </c>
      <c r="G1285" s="1" t="s">
        <v>2070</v>
      </c>
      <c r="H1285" s="1" t="s">
        <v>2087</v>
      </c>
      <c r="I1285" s="1">
        <v>9</v>
      </c>
      <c r="J1285" s="1">
        <v>2225.44</v>
      </c>
      <c r="K1285" s="1">
        <v>12.51</v>
      </c>
      <c r="L1285" s="1">
        <v>17523.34</v>
      </c>
      <c r="M1285" s="1">
        <v>2411.52</v>
      </c>
      <c r="N1285" s="1" t="s">
        <v>2091</v>
      </c>
    </row>
    <row r="1286" spans="1:14">
      <c r="A1286" s="1" t="s">
        <v>1298</v>
      </c>
      <c r="B1286" s="2">
        <v>45760</v>
      </c>
      <c r="C1286" s="1" t="s">
        <v>2024</v>
      </c>
      <c r="D1286" s="1" t="s">
        <v>2038</v>
      </c>
      <c r="E1286" s="1" t="s">
        <v>2047</v>
      </c>
      <c r="F1286" s="1" t="s">
        <v>2052</v>
      </c>
      <c r="G1286" s="1" t="s">
        <v>2083</v>
      </c>
      <c r="H1286" s="1" t="s">
        <v>2087</v>
      </c>
      <c r="I1286" s="1">
        <v>10</v>
      </c>
      <c r="J1286" s="1">
        <v>8329.32</v>
      </c>
      <c r="K1286" s="1">
        <v>29.25</v>
      </c>
      <c r="L1286" s="1">
        <v>58929.94</v>
      </c>
      <c r="M1286" s="1">
        <v>15814.93</v>
      </c>
      <c r="N1286" s="1" t="s">
        <v>2092</v>
      </c>
    </row>
    <row r="1287" spans="1:14">
      <c r="A1287" s="1" t="s">
        <v>1299</v>
      </c>
      <c r="B1287" s="2">
        <v>45761</v>
      </c>
      <c r="C1287" s="1" t="s">
        <v>2028</v>
      </c>
      <c r="D1287" s="1" t="s">
        <v>2039</v>
      </c>
      <c r="E1287" s="1" t="s">
        <v>2044</v>
      </c>
      <c r="F1287" s="1" t="s">
        <v>2049</v>
      </c>
      <c r="G1287" s="1" t="s">
        <v>2071</v>
      </c>
      <c r="H1287" s="1" t="s">
        <v>2085</v>
      </c>
      <c r="I1287" s="1">
        <v>7</v>
      </c>
      <c r="J1287" s="1">
        <v>889.79</v>
      </c>
      <c r="K1287" s="1">
        <v>22.95</v>
      </c>
      <c r="L1287" s="1">
        <v>4799.08</v>
      </c>
      <c r="M1287" s="1">
        <v>804.26</v>
      </c>
      <c r="N1287" s="1" t="s">
        <v>2092</v>
      </c>
    </row>
    <row r="1288" spans="1:14">
      <c r="A1288" s="1" t="s">
        <v>1300</v>
      </c>
      <c r="B1288" s="2">
        <v>45761</v>
      </c>
      <c r="C1288" s="1" t="s">
        <v>2022</v>
      </c>
      <c r="D1288" s="1" t="s">
        <v>2040</v>
      </c>
      <c r="E1288" s="1" t="s">
        <v>2048</v>
      </c>
      <c r="F1288" s="1" t="s">
        <v>2052</v>
      </c>
      <c r="G1288" s="1" t="s">
        <v>2078</v>
      </c>
      <c r="H1288" s="1" t="s">
        <v>2085</v>
      </c>
      <c r="I1288" s="1">
        <v>7</v>
      </c>
      <c r="J1288" s="1">
        <v>8825.2900000000009</v>
      </c>
      <c r="K1288" s="1">
        <v>26.63</v>
      </c>
      <c r="L1288" s="1">
        <v>45325.81</v>
      </c>
      <c r="M1288" s="1">
        <v>13118.01</v>
      </c>
      <c r="N1288" s="1" t="s">
        <v>2092</v>
      </c>
    </row>
    <row r="1289" spans="1:14">
      <c r="A1289" s="1" t="s">
        <v>1301</v>
      </c>
      <c r="B1289" s="2">
        <v>45761</v>
      </c>
      <c r="C1289" s="1" t="s">
        <v>2023</v>
      </c>
      <c r="D1289" s="1" t="s">
        <v>2041</v>
      </c>
      <c r="E1289" s="1" t="s">
        <v>2048</v>
      </c>
      <c r="F1289" s="1" t="s">
        <v>2054</v>
      </c>
      <c r="G1289" s="1" t="s">
        <v>2079</v>
      </c>
      <c r="H1289" s="1" t="s">
        <v>2086</v>
      </c>
      <c r="I1289" s="1">
        <v>4</v>
      </c>
      <c r="J1289" s="1">
        <v>48323.11</v>
      </c>
      <c r="K1289" s="1">
        <v>18.190000000000001</v>
      </c>
      <c r="L1289" s="1">
        <v>158132.54999999999</v>
      </c>
      <c r="M1289" s="1">
        <v>22337.22</v>
      </c>
      <c r="N1289" s="1" t="s">
        <v>2088</v>
      </c>
    </row>
    <row r="1290" spans="1:14">
      <c r="A1290" s="1" t="s">
        <v>1302</v>
      </c>
      <c r="B1290" s="2">
        <v>45762</v>
      </c>
      <c r="C1290" s="1" t="s">
        <v>2015</v>
      </c>
      <c r="D1290" s="1" t="s">
        <v>2042</v>
      </c>
      <c r="E1290" s="1" t="s">
        <v>2047</v>
      </c>
      <c r="F1290" s="1" t="s">
        <v>2050</v>
      </c>
      <c r="G1290" s="1" t="s">
        <v>2064</v>
      </c>
      <c r="H1290" s="1" t="s">
        <v>2085</v>
      </c>
      <c r="I1290" s="1">
        <v>3</v>
      </c>
      <c r="J1290" s="1">
        <v>1673.67</v>
      </c>
      <c r="K1290" s="1">
        <v>15.39</v>
      </c>
      <c r="L1290" s="1">
        <v>4248.28</v>
      </c>
      <c r="M1290" s="1">
        <v>1076.96</v>
      </c>
      <c r="N1290" s="1" t="s">
        <v>2089</v>
      </c>
    </row>
    <row r="1291" spans="1:14">
      <c r="A1291" s="1" t="s">
        <v>1303</v>
      </c>
      <c r="B1291" s="2">
        <v>45762</v>
      </c>
      <c r="C1291" s="1" t="s">
        <v>2021</v>
      </c>
      <c r="D1291" s="1" t="s">
        <v>2043</v>
      </c>
      <c r="E1291" s="1" t="s">
        <v>2046</v>
      </c>
      <c r="F1291" s="1" t="s">
        <v>2051</v>
      </c>
      <c r="G1291" s="1" t="s">
        <v>2077</v>
      </c>
      <c r="H1291" s="1" t="s">
        <v>2086</v>
      </c>
      <c r="I1291" s="1">
        <v>5</v>
      </c>
      <c r="J1291" s="1">
        <v>1750.71</v>
      </c>
      <c r="K1291" s="1">
        <v>24.76</v>
      </c>
      <c r="L1291" s="1">
        <v>6586.17</v>
      </c>
      <c r="M1291" s="1">
        <v>564.30999999999995</v>
      </c>
      <c r="N1291" s="1" t="s">
        <v>2090</v>
      </c>
    </row>
    <row r="1292" spans="1:14">
      <c r="A1292" s="1" t="s">
        <v>1304</v>
      </c>
      <c r="B1292" s="2">
        <v>45763</v>
      </c>
      <c r="C1292" s="1" t="s">
        <v>2020</v>
      </c>
      <c r="D1292" s="1" t="s">
        <v>2029</v>
      </c>
      <c r="E1292" s="1" t="s">
        <v>2048</v>
      </c>
      <c r="F1292" s="1" t="s">
        <v>2054</v>
      </c>
      <c r="G1292" s="1" t="s">
        <v>2066</v>
      </c>
      <c r="H1292" s="1" t="s">
        <v>2085</v>
      </c>
      <c r="I1292" s="1">
        <v>2</v>
      </c>
      <c r="J1292" s="1">
        <v>37907.769999999997</v>
      </c>
      <c r="K1292" s="1">
        <v>28.47</v>
      </c>
      <c r="L1292" s="1">
        <v>54230.86</v>
      </c>
      <c r="M1292" s="1">
        <v>14201.71</v>
      </c>
      <c r="N1292" s="1" t="s">
        <v>2091</v>
      </c>
    </row>
    <row r="1293" spans="1:14">
      <c r="A1293" s="1" t="s">
        <v>1305</v>
      </c>
      <c r="B1293" s="2">
        <v>45763</v>
      </c>
      <c r="C1293" s="1" t="s">
        <v>2017</v>
      </c>
      <c r="D1293" s="1" t="s">
        <v>2030</v>
      </c>
      <c r="E1293" s="1" t="s">
        <v>2047</v>
      </c>
      <c r="F1293" s="1" t="s">
        <v>2052</v>
      </c>
      <c r="G1293" s="1" t="s">
        <v>2078</v>
      </c>
      <c r="H1293" s="1" t="s">
        <v>2086</v>
      </c>
      <c r="I1293" s="1">
        <v>9</v>
      </c>
      <c r="J1293" s="1">
        <v>1756.76</v>
      </c>
      <c r="K1293" s="1">
        <v>5.87</v>
      </c>
      <c r="L1293" s="1">
        <v>14882.74</v>
      </c>
      <c r="M1293" s="1">
        <v>4364.28</v>
      </c>
      <c r="N1293" s="1" t="s">
        <v>2088</v>
      </c>
    </row>
    <row r="1294" spans="1:14">
      <c r="A1294" s="1" t="s">
        <v>1306</v>
      </c>
      <c r="B1294" s="2">
        <v>45763</v>
      </c>
      <c r="C1294" s="1" t="s">
        <v>2019</v>
      </c>
      <c r="D1294" s="1" t="s">
        <v>2031</v>
      </c>
      <c r="E1294" s="1" t="s">
        <v>2045</v>
      </c>
      <c r="F1294" s="1" t="s">
        <v>2052</v>
      </c>
      <c r="G1294" s="1" t="s">
        <v>2072</v>
      </c>
      <c r="H1294" s="1" t="s">
        <v>2085</v>
      </c>
      <c r="I1294" s="1">
        <v>2</v>
      </c>
      <c r="J1294" s="1">
        <v>1932.22</v>
      </c>
      <c r="K1294" s="1">
        <v>25.95</v>
      </c>
      <c r="L1294" s="1">
        <v>2861.62</v>
      </c>
      <c r="M1294" s="1">
        <v>545.78</v>
      </c>
      <c r="N1294" s="1" t="s">
        <v>2088</v>
      </c>
    </row>
    <row r="1295" spans="1:14">
      <c r="A1295" s="1" t="s">
        <v>1307</v>
      </c>
      <c r="B1295" s="2">
        <v>45764</v>
      </c>
      <c r="C1295" s="1" t="s">
        <v>2025</v>
      </c>
      <c r="D1295" s="1" t="s">
        <v>2032</v>
      </c>
      <c r="E1295" s="1" t="s">
        <v>2044</v>
      </c>
      <c r="F1295" s="1" t="s">
        <v>2049</v>
      </c>
      <c r="G1295" s="1" t="s">
        <v>2058</v>
      </c>
      <c r="H1295" s="1" t="s">
        <v>2087</v>
      </c>
      <c r="I1295" s="1">
        <v>4</v>
      </c>
      <c r="J1295" s="1">
        <v>1683.83</v>
      </c>
      <c r="K1295" s="1">
        <v>11.48</v>
      </c>
      <c r="L1295" s="1">
        <v>5962.11</v>
      </c>
      <c r="M1295" s="1">
        <v>532.53</v>
      </c>
      <c r="N1295" s="1" t="s">
        <v>2089</v>
      </c>
    </row>
    <row r="1296" spans="1:14">
      <c r="A1296" s="1" t="s">
        <v>1308</v>
      </c>
      <c r="B1296" s="2">
        <v>45764</v>
      </c>
      <c r="C1296" s="1" t="s">
        <v>2019</v>
      </c>
      <c r="D1296" s="1" t="s">
        <v>2033</v>
      </c>
      <c r="E1296" s="1" t="s">
        <v>2046</v>
      </c>
      <c r="F1296" s="1" t="s">
        <v>2052</v>
      </c>
      <c r="G1296" s="1" t="s">
        <v>2072</v>
      </c>
      <c r="H1296" s="1" t="s">
        <v>2086</v>
      </c>
      <c r="I1296" s="1">
        <v>4</v>
      </c>
      <c r="J1296" s="1">
        <v>7508.24</v>
      </c>
      <c r="K1296" s="1">
        <v>6.16</v>
      </c>
      <c r="L1296" s="1">
        <v>28182.93</v>
      </c>
      <c r="M1296" s="1">
        <v>3472.88</v>
      </c>
      <c r="N1296" s="1" t="s">
        <v>2089</v>
      </c>
    </row>
    <row r="1297" spans="1:14">
      <c r="A1297" s="1" t="s">
        <v>1309</v>
      </c>
      <c r="B1297" s="2">
        <v>45764</v>
      </c>
      <c r="C1297" s="1" t="s">
        <v>2024</v>
      </c>
      <c r="D1297" s="1" t="s">
        <v>2034</v>
      </c>
      <c r="E1297" s="1" t="s">
        <v>2044</v>
      </c>
      <c r="F1297" s="1" t="s">
        <v>2051</v>
      </c>
      <c r="G1297" s="1" t="s">
        <v>2069</v>
      </c>
      <c r="H1297" s="1" t="s">
        <v>2085</v>
      </c>
      <c r="I1297" s="1">
        <v>5</v>
      </c>
      <c r="J1297" s="1">
        <v>12568.21</v>
      </c>
      <c r="K1297" s="1">
        <v>26.68</v>
      </c>
      <c r="L1297" s="1">
        <v>46075.06</v>
      </c>
      <c r="M1297" s="1">
        <v>13815.2</v>
      </c>
      <c r="N1297" s="1" t="s">
        <v>2092</v>
      </c>
    </row>
    <row r="1298" spans="1:14">
      <c r="A1298" s="1" t="s">
        <v>1310</v>
      </c>
      <c r="B1298" s="2">
        <v>45765</v>
      </c>
      <c r="C1298" s="1" t="s">
        <v>2027</v>
      </c>
      <c r="D1298" s="1" t="s">
        <v>2035</v>
      </c>
      <c r="E1298" s="1" t="s">
        <v>2044</v>
      </c>
      <c r="F1298" s="1" t="s">
        <v>2052</v>
      </c>
      <c r="G1298" s="1" t="s">
        <v>2072</v>
      </c>
      <c r="H1298" s="1" t="s">
        <v>2087</v>
      </c>
      <c r="I1298" s="1">
        <v>7</v>
      </c>
      <c r="J1298" s="1">
        <v>4443.08</v>
      </c>
      <c r="K1298" s="1">
        <v>4.32</v>
      </c>
      <c r="L1298" s="1">
        <v>29757.97</v>
      </c>
      <c r="M1298" s="1">
        <v>7608.74</v>
      </c>
      <c r="N1298" s="1" t="s">
        <v>2092</v>
      </c>
    </row>
    <row r="1299" spans="1:14">
      <c r="A1299" s="1" t="s">
        <v>1311</v>
      </c>
      <c r="B1299" s="2">
        <v>45765</v>
      </c>
      <c r="C1299" s="1" t="s">
        <v>2028</v>
      </c>
      <c r="D1299" s="1" t="s">
        <v>2036</v>
      </c>
      <c r="E1299" s="1" t="s">
        <v>2047</v>
      </c>
      <c r="F1299" s="1" t="s">
        <v>2052</v>
      </c>
      <c r="G1299" s="1" t="s">
        <v>2072</v>
      </c>
      <c r="H1299" s="1" t="s">
        <v>2086</v>
      </c>
      <c r="I1299" s="1">
        <v>7</v>
      </c>
      <c r="J1299" s="1">
        <v>4063.73</v>
      </c>
      <c r="K1299" s="1">
        <v>20.309999999999999</v>
      </c>
      <c r="L1299" s="1">
        <v>22668.71</v>
      </c>
      <c r="M1299" s="1">
        <v>3830.91</v>
      </c>
      <c r="N1299" s="1" t="s">
        <v>2089</v>
      </c>
    </row>
    <row r="1300" spans="1:14">
      <c r="A1300" s="1" t="s">
        <v>1312</v>
      </c>
      <c r="B1300" s="2">
        <v>45766</v>
      </c>
      <c r="C1300" s="1" t="s">
        <v>2019</v>
      </c>
      <c r="D1300" s="1" t="s">
        <v>2037</v>
      </c>
      <c r="E1300" s="1" t="s">
        <v>2048</v>
      </c>
      <c r="F1300" s="1" t="s">
        <v>2053</v>
      </c>
      <c r="G1300" s="1" t="s">
        <v>2073</v>
      </c>
      <c r="H1300" s="1" t="s">
        <v>2085</v>
      </c>
      <c r="I1300" s="1">
        <v>10</v>
      </c>
      <c r="J1300" s="1">
        <v>2054.61</v>
      </c>
      <c r="K1300" s="1">
        <v>13.77</v>
      </c>
      <c r="L1300" s="1">
        <v>17716.900000000001</v>
      </c>
      <c r="M1300" s="1">
        <v>2001.07</v>
      </c>
      <c r="N1300" s="1" t="s">
        <v>2091</v>
      </c>
    </row>
    <row r="1301" spans="1:14">
      <c r="A1301" s="1" t="s">
        <v>1313</v>
      </c>
      <c r="B1301" s="2">
        <v>45766</v>
      </c>
      <c r="C1301" s="1" t="s">
        <v>2016</v>
      </c>
      <c r="D1301" s="1" t="s">
        <v>2038</v>
      </c>
      <c r="E1301" s="1" t="s">
        <v>2048</v>
      </c>
      <c r="F1301" s="1" t="s">
        <v>2053</v>
      </c>
      <c r="G1301" s="1" t="s">
        <v>2076</v>
      </c>
      <c r="H1301" s="1" t="s">
        <v>2086</v>
      </c>
      <c r="I1301" s="1">
        <v>5</v>
      </c>
      <c r="J1301" s="1">
        <v>2437.67</v>
      </c>
      <c r="K1301" s="1">
        <v>27.34</v>
      </c>
      <c r="L1301" s="1">
        <v>8856.06</v>
      </c>
      <c r="M1301" s="1">
        <v>800.84</v>
      </c>
      <c r="N1301" s="1" t="s">
        <v>2089</v>
      </c>
    </row>
    <row r="1302" spans="1:14">
      <c r="A1302" s="1" t="s">
        <v>1314</v>
      </c>
      <c r="B1302" s="2">
        <v>45766</v>
      </c>
      <c r="C1302" s="1" t="s">
        <v>2027</v>
      </c>
      <c r="D1302" s="1" t="s">
        <v>2039</v>
      </c>
      <c r="E1302" s="1" t="s">
        <v>2048</v>
      </c>
      <c r="F1302" s="1" t="s">
        <v>2051</v>
      </c>
      <c r="G1302" s="1" t="s">
        <v>2061</v>
      </c>
      <c r="H1302" s="1" t="s">
        <v>2087</v>
      </c>
      <c r="I1302" s="1">
        <v>8</v>
      </c>
      <c r="J1302" s="1">
        <v>27623.15</v>
      </c>
      <c r="K1302" s="1">
        <v>6.25</v>
      </c>
      <c r="L1302" s="1">
        <v>207173.62</v>
      </c>
      <c r="M1302" s="1">
        <v>34275.339999999997</v>
      </c>
      <c r="N1302" s="1" t="s">
        <v>2088</v>
      </c>
    </row>
    <row r="1303" spans="1:14">
      <c r="A1303" s="1" t="s">
        <v>1315</v>
      </c>
      <c r="B1303" s="2">
        <v>45767</v>
      </c>
      <c r="C1303" s="1" t="s">
        <v>2016</v>
      </c>
      <c r="D1303" s="1" t="s">
        <v>2040</v>
      </c>
      <c r="E1303" s="1" t="s">
        <v>2044</v>
      </c>
      <c r="F1303" s="1" t="s">
        <v>2050</v>
      </c>
      <c r="G1303" s="1" t="s">
        <v>2064</v>
      </c>
      <c r="H1303" s="1" t="s">
        <v>2085</v>
      </c>
      <c r="I1303" s="1">
        <v>4</v>
      </c>
      <c r="J1303" s="1">
        <v>5957.25</v>
      </c>
      <c r="K1303" s="1">
        <v>22.43</v>
      </c>
      <c r="L1303" s="1">
        <v>18484.16</v>
      </c>
      <c r="M1303" s="1">
        <v>2090.25</v>
      </c>
      <c r="N1303" s="1" t="s">
        <v>2091</v>
      </c>
    </row>
    <row r="1304" spans="1:14">
      <c r="A1304" s="1" t="s">
        <v>1316</v>
      </c>
      <c r="B1304" s="2">
        <v>45767</v>
      </c>
      <c r="C1304" s="1" t="s">
        <v>2027</v>
      </c>
      <c r="D1304" s="1" t="s">
        <v>2041</v>
      </c>
      <c r="E1304" s="1" t="s">
        <v>2044</v>
      </c>
      <c r="F1304" s="1" t="s">
        <v>2050</v>
      </c>
      <c r="G1304" s="1" t="s">
        <v>2075</v>
      </c>
      <c r="H1304" s="1" t="s">
        <v>2085</v>
      </c>
      <c r="I1304" s="1">
        <v>8</v>
      </c>
      <c r="J1304" s="1">
        <v>7515.77</v>
      </c>
      <c r="K1304" s="1">
        <v>18.829999999999998</v>
      </c>
      <c r="L1304" s="1">
        <v>48804.4</v>
      </c>
      <c r="M1304" s="1">
        <v>6367.1</v>
      </c>
      <c r="N1304" s="1" t="s">
        <v>2088</v>
      </c>
    </row>
    <row r="1305" spans="1:14">
      <c r="A1305" s="1" t="s">
        <v>1317</v>
      </c>
      <c r="B1305" s="2">
        <v>45767</v>
      </c>
      <c r="C1305" s="1" t="s">
        <v>2014</v>
      </c>
      <c r="D1305" s="1" t="s">
        <v>2042</v>
      </c>
      <c r="E1305" s="1" t="s">
        <v>2048</v>
      </c>
      <c r="F1305" s="1" t="s">
        <v>2053</v>
      </c>
      <c r="G1305" s="1" t="s">
        <v>2060</v>
      </c>
      <c r="H1305" s="1" t="s">
        <v>2086</v>
      </c>
      <c r="I1305" s="1">
        <v>10</v>
      </c>
      <c r="J1305" s="1">
        <v>1368.71</v>
      </c>
      <c r="K1305" s="1">
        <v>17.7</v>
      </c>
      <c r="L1305" s="1">
        <v>11264.48</v>
      </c>
      <c r="M1305" s="1">
        <v>1402.55</v>
      </c>
      <c r="N1305" s="1" t="s">
        <v>2091</v>
      </c>
    </row>
    <row r="1306" spans="1:14">
      <c r="A1306" s="1" t="s">
        <v>1318</v>
      </c>
      <c r="B1306" s="2">
        <v>45768</v>
      </c>
      <c r="C1306" s="1" t="s">
        <v>2017</v>
      </c>
      <c r="D1306" s="1" t="s">
        <v>2043</v>
      </c>
      <c r="E1306" s="1" t="s">
        <v>2048</v>
      </c>
      <c r="F1306" s="1" t="s">
        <v>2054</v>
      </c>
      <c r="G1306" s="1" t="s">
        <v>2079</v>
      </c>
      <c r="H1306" s="1" t="s">
        <v>2087</v>
      </c>
      <c r="I1306" s="1">
        <v>9</v>
      </c>
      <c r="J1306" s="1">
        <v>34822.76</v>
      </c>
      <c r="K1306" s="1">
        <v>13.59</v>
      </c>
      <c r="L1306" s="1">
        <v>270813.12</v>
      </c>
      <c r="M1306" s="1">
        <v>48264.49</v>
      </c>
      <c r="N1306" s="1" t="s">
        <v>2091</v>
      </c>
    </row>
    <row r="1307" spans="1:14">
      <c r="A1307" s="1" t="s">
        <v>1319</v>
      </c>
      <c r="B1307" s="2">
        <v>45768</v>
      </c>
      <c r="C1307" s="1" t="s">
        <v>2018</v>
      </c>
      <c r="D1307" s="1" t="s">
        <v>2029</v>
      </c>
      <c r="E1307" s="1" t="s">
        <v>2046</v>
      </c>
      <c r="F1307" s="1" t="s">
        <v>2053</v>
      </c>
      <c r="G1307" s="1" t="s">
        <v>2073</v>
      </c>
      <c r="H1307" s="1" t="s">
        <v>2085</v>
      </c>
      <c r="I1307" s="1">
        <v>7</v>
      </c>
      <c r="J1307" s="1">
        <v>892.27</v>
      </c>
      <c r="K1307" s="1">
        <v>9.67</v>
      </c>
      <c r="L1307" s="1">
        <v>5641.91</v>
      </c>
      <c r="M1307" s="1">
        <v>1068.8599999999999</v>
      </c>
      <c r="N1307" s="1" t="s">
        <v>2092</v>
      </c>
    </row>
    <row r="1308" spans="1:14">
      <c r="A1308" s="1" t="s">
        <v>1320</v>
      </c>
      <c r="B1308" s="2">
        <v>45768</v>
      </c>
      <c r="C1308" s="1" t="s">
        <v>2020</v>
      </c>
      <c r="D1308" s="1" t="s">
        <v>2030</v>
      </c>
      <c r="E1308" s="1" t="s">
        <v>2044</v>
      </c>
      <c r="F1308" s="1" t="s">
        <v>2049</v>
      </c>
      <c r="G1308" s="1" t="s">
        <v>2074</v>
      </c>
      <c r="H1308" s="1" t="s">
        <v>2087</v>
      </c>
      <c r="I1308" s="1">
        <v>6</v>
      </c>
      <c r="J1308" s="1">
        <v>314.36</v>
      </c>
      <c r="K1308" s="1">
        <v>3.8</v>
      </c>
      <c r="L1308" s="1">
        <v>1814.49</v>
      </c>
      <c r="M1308" s="1">
        <v>465.71</v>
      </c>
      <c r="N1308" s="1" t="s">
        <v>2088</v>
      </c>
    </row>
    <row r="1309" spans="1:14">
      <c r="A1309" s="1" t="s">
        <v>1321</v>
      </c>
      <c r="B1309" s="2">
        <v>45769</v>
      </c>
      <c r="C1309" s="1" t="s">
        <v>2026</v>
      </c>
      <c r="D1309" s="1" t="s">
        <v>2031</v>
      </c>
      <c r="E1309" s="1" t="s">
        <v>2046</v>
      </c>
      <c r="F1309" s="1" t="s">
        <v>2050</v>
      </c>
      <c r="G1309" s="1" t="s">
        <v>2056</v>
      </c>
      <c r="H1309" s="1" t="s">
        <v>2085</v>
      </c>
      <c r="I1309" s="1">
        <v>5</v>
      </c>
      <c r="J1309" s="1">
        <v>632.08000000000004</v>
      </c>
      <c r="K1309" s="1">
        <v>17.22</v>
      </c>
      <c r="L1309" s="1">
        <v>2616.1799999999998</v>
      </c>
      <c r="M1309" s="1">
        <v>689.02</v>
      </c>
      <c r="N1309" s="1" t="s">
        <v>2088</v>
      </c>
    </row>
    <row r="1310" spans="1:14">
      <c r="A1310" s="1" t="s">
        <v>1322</v>
      </c>
      <c r="B1310" s="2">
        <v>45769</v>
      </c>
      <c r="C1310" s="1" t="s">
        <v>2018</v>
      </c>
      <c r="D1310" s="1" t="s">
        <v>2032</v>
      </c>
      <c r="E1310" s="1" t="s">
        <v>2046</v>
      </c>
      <c r="F1310" s="1" t="s">
        <v>2053</v>
      </c>
      <c r="G1310" s="1" t="s">
        <v>2073</v>
      </c>
      <c r="H1310" s="1" t="s">
        <v>2086</v>
      </c>
      <c r="I1310" s="1">
        <v>9</v>
      </c>
      <c r="J1310" s="1">
        <v>316.76</v>
      </c>
      <c r="K1310" s="1">
        <v>16.88</v>
      </c>
      <c r="L1310" s="1">
        <v>2369.62</v>
      </c>
      <c r="M1310" s="1">
        <v>402.27</v>
      </c>
      <c r="N1310" s="1" t="s">
        <v>2088</v>
      </c>
    </row>
    <row r="1311" spans="1:14">
      <c r="A1311" s="1" t="s">
        <v>1323</v>
      </c>
      <c r="B1311" s="2">
        <v>45770</v>
      </c>
      <c r="C1311" s="1" t="s">
        <v>2016</v>
      </c>
      <c r="D1311" s="1" t="s">
        <v>2033</v>
      </c>
      <c r="E1311" s="1" t="s">
        <v>2048</v>
      </c>
      <c r="F1311" s="1" t="s">
        <v>2054</v>
      </c>
      <c r="G1311" s="1" t="s">
        <v>2079</v>
      </c>
      <c r="H1311" s="1" t="s">
        <v>2087</v>
      </c>
      <c r="I1311" s="1">
        <v>9</v>
      </c>
      <c r="J1311" s="1">
        <v>72477.17</v>
      </c>
      <c r="K1311" s="1">
        <v>12.28</v>
      </c>
      <c r="L1311" s="1">
        <v>572192.76</v>
      </c>
      <c r="M1311" s="1">
        <v>164944.97</v>
      </c>
      <c r="N1311" s="1" t="s">
        <v>2089</v>
      </c>
    </row>
    <row r="1312" spans="1:14">
      <c r="A1312" s="1" t="s">
        <v>1324</v>
      </c>
      <c r="B1312" s="2">
        <v>45770</v>
      </c>
      <c r="C1312" s="1" t="s">
        <v>2015</v>
      </c>
      <c r="D1312" s="1" t="s">
        <v>2034</v>
      </c>
      <c r="E1312" s="1" t="s">
        <v>2044</v>
      </c>
      <c r="F1312" s="1" t="s">
        <v>2053</v>
      </c>
      <c r="G1312" s="1" t="s">
        <v>2067</v>
      </c>
      <c r="H1312" s="1" t="s">
        <v>2087</v>
      </c>
      <c r="I1312" s="1">
        <v>3</v>
      </c>
      <c r="J1312" s="1">
        <v>1481.73</v>
      </c>
      <c r="K1312" s="1">
        <v>17.5</v>
      </c>
      <c r="L1312" s="1">
        <v>3667.28</v>
      </c>
      <c r="M1312" s="1">
        <v>870.97</v>
      </c>
      <c r="N1312" s="1" t="s">
        <v>2092</v>
      </c>
    </row>
    <row r="1313" spans="1:14">
      <c r="A1313" s="1" t="s">
        <v>1325</v>
      </c>
      <c r="B1313" s="2">
        <v>45770</v>
      </c>
      <c r="C1313" s="1" t="s">
        <v>2018</v>
      </c>
      <c r="D1313" s="1" t="s">
        <v>2035</v>
      </c>
      <c r="E1313" s="1" t="s">
        <v>2045</v>
      </c>
      <c r="F1313" s="1" t="s">
        <v>2054</v>
      </c>
      <c r="G1313" s="1" t="s">
        <v>2079</v>
      </c>
      <c r="H1313" s="1" t="s">
        <v>2085</v>
      </c>
      <c r="I1313" s="1">
        <v>2</v>
      </c>
      <c r="J1313" s="1">
        <v>9869.8799999999992</v>
      </c>
      <c r="K1313" s="1">
        <v>28.75</v>
      </c>
      <c r="L1313" s="1">
        <v>14064.58</v>
      </c>
      <c r="M1313" s="1">
        <v>1023.24</v>
      </c>
      <c r="N1313" s="1" t="s">
        <v>2091</v>
      </c>
    </row>
    <row r="1314" spans="1:14">
      <c r="A1314" s="1" t="s">
        <v>1326</v>
      </c>
      <c r="B1314" s="2">
        <v>45771</v>
      </c>
      <c r="C1314" s="1" t="s">
        <v>2018</v>
      </c>
      <c r="D1314" s="1" t="s">
        <v>2036</v>
      </c>
      <c r="E1314" s="1" t="s">
        <v>2047</v>
      </c>
      <c r="F1314" s="1" t="s">
        <v>2049</v>
      </c>
      <c r="G1314" s="1" t="s">
        <v>2071</v>
      </c>
      <c r="H1314" s="1" t="s">
        <v>2085</v>
      </c>
      <c r="I1314" s="1">
        <v>6</v>
      </c>
      <c r="J1314" s="1">
        <v>1791.38</v>
      </c>
      <c r="K1314" s="1">
        <v>18.899999999999999</v>
      </c>
      <c r="L1314" s="1">
        <v>8716.86</v>
      </c>
      <c r="M1314" s="1">
        <v>2278.19</v>
      </c>
      <c r="N1314" s="1" t="s">
        <v>2089</v>
      </c>
    </row>
    <row r="1315" spans="1:14">
      <c r="A1315" s="1" t="s">
        <v>1327</v>
      </c>
      <c r="B1315" s="2">
        <v>45771</v>
      </c>
      <c r="C1315" s="1" t="s">
        <v>2028</v>
      </c>
      <c r="D1315" s="1" t="s">
        <v>2037</v>
      </c>
      <c r="E1315" s="1" t="s">
        <v>2047</v>
      </c>
      <c r="F1315" s="1" t="s">
        <v>2049</v>
      </c>
      <c r="G1315" s="1" t="s">
        <v>2058</v>
      </c>
      <c r="H1315" s="1" t="s">
        <v>2085</v>
      </c>
      <c r="I1315" s="1">
        <v>6</v>
      </c>
      <c r="J1315" s="1">
        <v>2479.9899999999998</v>
      </c>
      <c r="K1315" s="1">
        <v>12.3</v>
      </c>
      <c r="L1315" s="1">
        <v>13049.71</v>
      </c>
      <c r="M1315" s="1">
        <v>3884.9</v>
      </c>
      <c r="N1315" s="1" t="s">
        <v>2088</v>
      </c>
    </row>
    <row r="1316" spans="1:14">
      <c r="A1316" s="1" t="s">
        <v>1328</v>
      </c>
      <c r="B1316" s="2">
        <v>45771</v>
      </c>
      <c r="C1316" s="1" t="s">
        <v>2017</v>
      </c>
      <c r="D1316" s="1" t="s">
        <v>2038</v>
      </c>
      <c r="E1316" s="1" t="s">
        <v>2046</v>
      </c>
      <c r="F1316" s="1" t="s">
        <v>2053</v>
      </c>
      <c r="G1316" s="1" t="s">
        <v>2076</v>
      </c>
      <c r="H1316" s="1" t="s">
        <v>2086</v>
      </c>
      <c r="I1316" s="1">
        <v>10</v>
      </c>
      <c r="J1316" s="1">
        <v>486.51</v>
      </c>
      <c r="K1316" s="1">
        <v>9.6300000000000008</v>
      </c>
      <c r="L1316" s="1">
        <v>4396.59</v>
      </c>
      <c r="M1316" s="1">
        <v>467.08</v>
      </c>
      <c r="N1316" s="1" t="s">
        <v>2090</v>
      </c>
    </row>
    <row r="1317" spans="1:14">
      <c r="A1317" s="1" t="s">
        <v>1329</v>
      </c>
      <c r="B1317" s="2">
        <v>45772</v>
      </c>
      <c r="C1317" s="1" t="s">
        <v>2024</v>
      </c>
      <c r="D1317" s="1" t="s">
        <v>2039</v>
      </c>
      <c r="E1317" s="1" t="s">
        <v>2046</v>
      </c>
      <c r="F1317" s="1" t="s">
        <v>2050</v>
      </c>
      <c r="G1317" s="1" t="s">
        <v>2075</v>
      </c>
      <c r="H1317" s="1" t="s">
        <v>2087</v>
      </c>
      <c r="I1317" s="1">
        <v>9</v>
      </c>
      <c r="J1317" s="1">
        <v>4115.78</v>
      </c>
      <c r="K1317" s="1">
        <v>0.54</v>
      </c>
      <c r="L1317" s="1">
        <v>36841.99</v>
      </c>
      <c r="M1317" s="1">
        <v>4925.0600000000004</v>
      </c>
      <c r="N1317" s="1" t="s">
        <v>2092</v>
      </c>
    </row>
    <row r="1318" spans="1:14">
      <c r="A1318" s="1" t="s">
        <v>1330</v>
      </c>
      <c r="B1318" s="2">
        <v>45772</v>
      </c>
      <c r="C1318" s="1" t="s">
        <v>2017</v>
      </c>
      <c r="D1318" s="1" t="s">
        <v>2040</v>
      </c>
      <c r="E1318" s="1" t="s">
        <v>2047</v>
      </c>
      <c r="F1318" s="1" t="s">
        <v>2049</v>
      </c>
      <c r="G1318" s="1" t="s">
        <v>2055</v>
      </c>
      <c r="H1318" s="1" t="s">
        <v>2086</v>
      </c>
      <c r="I1318" s="1">
        <v>10</v>
      </c>
      <c r="J1318" s="1">
        <v>664.73</v>
      </c>
      <c r="K1318" s="1">
        <v>19.84</v>
      </c>
      <c r="L1318" s="1">
        <v>5328.48</v>
      </c>
      <c r="M1318" s="1">
        <v>1480.33</v>
      </c>
      <c r="N1318" s="1" t="s">
        <v>2090</v>
      </c>
    </row>
    <row r="1319" spans="1:14">
      <c r="A1319" s="1" t="s">
        <v>1331</v>
      </c>
      <c r="B1319" s="2">
        <v>45772</v>
      </c>
      <c r="C1319" s="1" t="s">
        <v>2025</v>
      </c>
      <c r="D1319" s="1" t="s">
        <v>2041</v>
      </c>
      <c r="E1319" s="1" t="s">
        <v>2048</v>
      </c>
      <c r="F1319" s="1" t="s">
        <v>2052</v>
      </c>
      <c r="G1319" s="1" t="s">
        <v>2065</v>
      </c>
      <c r="H1319" s="1" t="s">
        <v>2087</v>
      </c>
      <c r="I1319" s="1">
        <v>3</v>
      </c>
      <c r="J1319" s="1">
        <v>1572.63</v>
      </c>
      <c r="K1319" s="1">
        <v>10.45</v>
      </c>
      <c r="L1319" s="1">
        <v>4224.87</v>
      </c>
      <c r="M1319" s="1">
        <v>622.69000000000005</v>
      </c>
      <c r="N1319" s="1" t="s">
        <v>2091</v>
      </c>
    </row>
    <row r="1320" spans="1:14">
      <c r="A1320" s="1" t="s">
        <v>1332</v>
      </c>
      <c r="B1320" s="2">
        <v>45773</v>
      </c>
      <c r="C1320" s="1" t="s">
        <v>2016</v>
      </c>
      <c r="D1320" s="1" t="s">
        <v>2042</v>
      </c>
      <c r="E1320" s="1" t="s">
        <v>2047</v>
      </c>
      <c r="F1320" s="1" t="s">
        <v>2050</v>
      </c>
      <c r="G1320" s="1" t="s">
        <v>2070</v>
      </c>
      <c r="H1320" s="1" t="s">
        <v>2085</v>
      </c>
      <c r="I1320" s="1">
        <v>7</v>
      </c>
      <c r="J1320" s="1">
        <v>1145.33</v>
      </c>
      <c r="K1320" s="1">
        <v>17.190000000000001</v>
      </c>
      <c r="L1320" s="1">
        <v>6639.13</v>
      </c>
      <c r="M1320" s="1">
        <v>371.42</v>
      </c>
      <c r="N1320" s="1" t="s">
        <v>2088</v>
      </c>
    </row>
    <row r="1321" spans="1:14">
      <c r="A1321" s="1" t="s">
        <v>1333</v>
      </c>
      <c r="B1321" s="2">
        <v>45773</v>
      </c>
      <c r="C1321" s="1" t="s">
        <v>2018</v>
      </c>
      <c r="D1321" s="1" t="s">
        <v>2043</v>
      </c>
      <c r="E1321" s="1" t="s">
        <v>2044</v>
      </c>
      <c r="F1321" s="1" t="s">
        <v>2051</v>
      </c>
      <c r="G1321" s="1" t="s">
        <v>2057</v>
      </c>
      <c r="H1321" s="1" t="s">
        <v>2086</v>
      </c>
      <c r="I1321" s="1">
        <v>5</v>
      </c>
      <c r="J1321" s="1">
        <v>27617.23</v>
      </c>
      <c r="K1321" s="1">
        <v>25.43</v>
      </c>
      <c r="L1321" s="1">
        <v>102970.84</v>
      </c>
      <c r="M1321" s="1">
        <v>23004.14</v>
      </c>
      <c r="N1321" s="1" t="s">
        <v>2091</v>
      </c>
    </row>
    <row r="1322" spans="1:14">
      <c r="A1322" s="1" t="s">
        <v>1334</v>
      </c>
      <c r="B1322" s="2">
        <v>45774</v>
      </c>
      <c r="C1322" s="1" t="s">
        <v>2027</v>
      </c>
      <c r="D1322" s="1" t="s">
        <v>2029</v>
      </c>
      <c r="E1322" s="1" t="s">
        <v>2046</v>
      </c>
      <c r="F1322" s="1" t="s">
        <v>2049</v>
      </c>
      <c r="G1322" s="1" t="s">
        <v>2074</v>
      </c>
      <c r="H1322" s="1" t="s">
        <v>2087</v>
      </c>
      <c r="I1322" s="1">
        <v>1</v>
      </c>
      <c r="J1322" s="1">
        <v>1287.6400000000001</v>
      </c>
      <c r="K1322" s="1">
        <v>14.55</v>
      </c>
      <c r="L1322" s="1">
        <v>1100.29</v>
      </c>
      <c r="M1322" s="1">
        <v>125.51</v>
      </c>
      <c r="N1322" s="1" t="s">
        <v>2092</v>
      </c>
    </row>
    <row r="1323" spans="1:14">
      <c r="A1323" s="1" t="s">
        <v>1335</v>
      </c>
      <c r="B1323" s="2">
        <v>45774</v>
      </c>
      <c r="C1323" s="1" t="s">
        <v>2016</v>
      </c>
      <c r="D1323" s="1" t="s">
        <v>2030</v>
      </c>
      <c r="E1323" s="1" t="s">
        <v>2044</v>
      </c>
      <c r="F1323" s="1" t="s">
        <v>2052</v>
      </c>
      <c r="G1323" s="1" t="s">
        <v>2083</v>
      </c>
      <c r="H1323" s="1" t="s">
        <v>2087</v>
      </c>
      <c r="I1323" s="1">
        <v>3</v>
      </c>
      <c r="J1323" s="1">
        <v>4696.3100000000004</v>
      </c>
      <c r="K1323" s="1">
        <v>29.51</v>
      </c>
      <c r="L1323" s="1">
        <v>9931.2900000000009</v>
      </c>
      <c r="M1323" s="1">
        <v>1470.94</v>
      </c>
      <c r="N1323" s="1" t="s">
        <v>2091</v>
      </c>
    </row>
    <row r="1324" spans="1:14">
      <c r="A1324" s="1" t="s">
        <v>1336</v>
      </c>
      <c r="B1324" s="2">
        <v>45774</v>
      </c>
      <c r="C1324" s="1" t="s">
        <v>2019</v>
      </c>
      <c r="D1324" s="1" t="s">
        <v>2031</v>
      </c>
      <c r="E1324" s="1" t="s">
        <v>2047</v>
      </c>
      <c r="F1324" s="1" t="s">
        <v>2049</v>
      </c>
      <c r="G1324" s="1" t="s">
        <v>2055</v>
      </c>
      <c r="H1324" s="1" t="s">
        <v>2087</v>
      </c>
      <c r="I1324" s="1">
        <v>4</v>
      </c>
      <c r="J1324" s="1">
        <v>583.41</v>
      </c>
      <c r="K1324" s="1">
        <v>16.23</v>
      </c>
      <c r="L1324" s="1">
        <v>1954.89</v>
      </c>
      <c r="M1324" s="1">
        <v>231.97</v>
      </c>
      <c r="N1324" s="1" t="s">
        <v>2092</v>
      </c>
    </row>
    <row r="1325" spans="1:14">
      <c r="A1325" s="1" t="s">
        <v>1337</v>
      </c>
      <c r="B1325" s="2">
        <v>45775</v>
      </c>
      <c r="C1325" s="1" t="s">
        <v>2028</v>
      </c>
      <c r="D1325" s="1" t="s">
        <v>2032</v>
      </c>
      <c r="E1325" s="1" t="s">
        <v>2047</v>
      </c>
      <c r="F1325" s="1" t="s">
        <v>2051</v>
      </c>
      <c r="G1325" s="1" t="s">
        <v>2061</v>
      </c>
      <c r="H1325" s="1" t="s">
        <v>2087</v>
      </c>
      <c r="I1325" s="1">
        <v>1</v>
      </c>
      <c r="J1325" s="1">
        <v>35399.879999999997</v>
      </c>
      <c r="K1325" s="1">
        <v>13.33</v>
      </c>
      <c r="L1325" s="1">
        <v>30681.08</v>
      </c>
      <c r="M1325" s="1">
        <v>6051.41</v>
      </c>
      <c r="N1325" s="1" t="s">
        <v>2091</v>
      </c>
    </row>
    <row r="1326" spans="1:14">
      <c r="A1326" s="1" t="s">
        <v>1338</v>
      </c>
      <c r="B1326" s="2">
        <v>45775</v>
      </c>
      <c r="C1326" s="1" t="s">
        <v>2016</v>
      </c>
      <c r="D1326" s="1" t="s">
        <v>2033</v>
      </c>
      <c r="E1326" s="1" t="s">
        <v>2046</v>
      </c>
      <c r="F1326" s="1" t="s">
        <v>2052</v>
      </c>
      <c r="G1326" s="1" t="s">
        <v>2083</v>
      </c>
      <c r="H1326" s="1" t="s">
        <v>2086</v>
      </c>
      <c r="I1326" s="1">
        <v>8</v>
      </c>
      <c r="J1326" s="1">
        <v>2205.02</v>
      </c>
      <c r="K1326" s="1">
        <v>5.45</v>
      </c>
      <c r="L1326" s="1">
        <v>16678.77</v>
      </c>
      <c r="M1326" s="1">
        <v>892.24</v>
      </c>
      <c r="N1326" s="1" t="s">
        <v>2088</v>
      </c>
    </row>
    <row r="1327" spans="1:14">
      <c r="A1327" s="1" t="s">
        <v>1339</v>
      </c>
      <c r="B1327" s="2">
        <v>45775</v>
      </c>
      <c r="C1327" s="1" t="s">
        <v>2023</v>
      </c>
      <c r="D1327" s="1" t="s">
        <v>2034</v>
      </c>
      <c r="E1327" s="1" t="s">
        <v>2047</v>
      </c>
      <c r="F1327" s="1" t="s">
        <v>2049</v>
      </c>
      <c r="G1327" s="1" t="s">
        <v>2071</v>
      </c>
      <c r="H1327" s="1" t="s">
        <v>2087</v>
      </c>
      <c r="I1327" s="1">
        <v>9</v>
      </c>
      <c r="J1327" s="1">
        <v>2865.32</v>
      </c>
      <c r="K1327" s="1">
        <v>7.42</v>
      </c>
      <c r="L1327" s="1">
        <v>23874.42</v>
      </c>
      <c r="M1327" s="1">
        <v>5560.63</v>
      </c>
      <c r="N1327" s="1" t="s">
        <v>2091</v>
      </c>
    </row>
    <row r="1328" spans="1:14">
      <c r="A1328" s="1" t="s">
        <v>1340</v>
      </c>
      <c r="B1328" s="2">
        <v>45776</v>
      </c>
      <c r="C1328" s="1" t="s">
        <v>2026</v>
      </c>
      <c r="D1328" s="1" t="s">
        <v>2035</v>
      </c>
      <c r="E1328" s="1" t="s">
        <v>2044</v>
      </c>
      <c r="F1328" s="1" t="s">
        <v>2053</v>
      </c>
      <c r="G1328" s="1" t="s">
        <v>2062</v>
      </c>
      <c r="H1328" s="1" t="s">
        <v>2087</v>
      </c>
      <c r="I1328" s="1">
        <v>8</v>
      </c>
      <c r="J1328" s="1">
        <v>683.92</v>
      </c>
      <c r="K1328" s="1">
        <v>21.76</v>
      </c>
      <c r="L1328" s="1">
        <v>4280.79</v>
      </c>
      <c r="M1328" s="1">
        <v>287.19</v>
      </c>
      <c r="N1328" s="1" t="s">
        <v>2090</v>
      </c>
    </row>
    <row r="1329" spans="1:14">
      <c r="A1329" s="1" t="s">
        <v>1341</v>
      </c>
      <c r="B1329" s="2">
        <v>45776</v>
      </c>
      <c r="C1329" s="1" t="s">
        <v>2026</v>
      </c>
      <c r="D1329" s="1" t="s">
        <v>2036</v>
      </c>
      <c r="E1329" s="1" t="s">
        <v>2044</v>
      </c>
      <c r="F1329" s="1" t="s">
        <v>2053</v>
      </c>
      <c r="G1329" s="1" t="s">
        <v>2067</v>
      </c>
      <c r="H1329" s="1" t="s">
        <v>2085</v>
      </c>
      <c r="I1329" s="1">
        <v>7</v>
      </c>
      <c r="J1329" s="1">
        <v>1845.75</v>
      </c>
      <c r="K1329" s="1">
        <v>11.12</v>
      </c>
      <c r="L1329" s="1">
        <v>11483.52</v>
      </c>
      <c r="M1329" s="1">
        <v>1103.48</v>
      </c>
      <c r="N1329" s="1" t="s">
        <v>2091</v>
      </c>
    </row>
    <row r="1330" spans="1:14">
      <c r="A1330" s="1" t="s">
        <v>1342</v>
      </c>
      <c r="B1330" s="2">
        <v>45776</v>
      </c>
      <c r="C1330" s="1" t="s">
        <v>2022</v>
      </c>
      <c r="D1330" s="1" t="s">
        <v>2037</v>
      </c>
      <c r="E1330" s="1" t="s">
        <v>2047</v>
      </c>
      <c r="F1330" s="1" t="s">
        <v>2052</v>
      </c>
      <c r="G1330" s="1" t="s">
        <v>2065</v>
      </c>
      <c r="H1330" s="1" t="s">
        <v>2086</v>
      </c>
      <c r="I1330" s="1">
        <v>3</v>
      </c>
      <c r="J1330" s="1">
        <v>6339.35</v>
      </c>
      <c r="K1330" s="1">
        <v>16.14</v>
      </c>
      <c r="L1330" s="1">
        <v>15948.54</v>
      </c>
      <c r="M1330" s="1">
        <v>3437.65</v>
      </c>
      <c r="N1330" s="1" t="s">
        <v>2089</v>
      </c>
    </row>
    <row r="1331" spans="1:14">
      <c r="A1331" s="1" t="s">
        <v>1343</v>
      </c>
      <c r="B1331" s="2">
        <v>45777</v>
      </c>
      <c r="C1331" s="1" t="s">
        <v>2028</v>
      </c>
      <c r="D1331" s="1" t="s">
        <v>2038</v>
      </c>
      <c r="E1331" s="1" t="s">
        <v>2046</v>
      </c>
      <c r="F1331" s="1" t="s">
        <v>2054</v>
      </c>
      <c r="G1331" s="1" t="s">
        <v>2081</v>
      </c>
      <c r="H1331" s="1" t="s">
        <v>2086</v>
      </c>
      <c r="I1331" s="1">
        <v>2</v>
      </c>
      <c r="J1331" s="1">
        <v>71881.73</v>
      </c>
      <c r="K1331" s="1">
        <v>7.28</v>
      </c>
      <c r="L1331" s="1">
        <v>133297.48000000001</v>
      </c>
      <c r="M1331" s="1">
        <v>18432.97</v>
      </c>
      <c r="N1331" s="1" t="s">
        <v>2092</v>
      </c>
    </row>
    <row r="1332" spans="1:14">
      <c r="A1332" s="1" t="s">
        <v>1344</v>
      </c>
      <c r="B1332" s="2">
        <v>45777</v>
      </c>
      <c r="C1332" s="1" t="s">
        <v>2022</v>
      </c>
      <c r="D1332" s="1" t="s">
        <v>2039</v>
      </c>
      <c r="E1332" s="1" t="s">
        <v>2047</v>
      </c>
      <c r="F1332" s="1" t="s">
        <v>2052</v>
      </c>
      <c r="G1332" s="1" t="s">
        <v>2059</v>
      </c>
      <c r="H1332" s="1" t="s">
        <v>2085</v>
      </c>
      <c r="I1332" s="1">
        <v>1</v>
      </c>
      <c r="J1332" s="1">
        <v>1129.73</v>
      </c>
      <c r="K1332" s="1">
        <v>29.91</v>
      </c>
      <c r="L1332" s="1">
        <v>791.83</v>
      </c>
      <c r="M1332" s="1">
        <v>92.61</v>
      </c>
      <c r="N1332" s="1" t="s">
        <v>2088</v>
      </c>
    </row>
    <row r="1333" spans="1:14">
      <c r="A1333" s="1" t="s">
        <v>1345</v>
      </c>
      <c r="B1333" s="2">
        <v>45778</v>
      </c>
      <c r="C1333" s="1" t="s">
        <v>2015</v>
      </c>
      <c r="D1333" s="1" t="s">
        <v>2040</v>
      </c>
      <c r="E1333" s="1" t="s">
        <v>2044</v>
      </c>
      <c r="F1333" s="1" t="s">
        <v>2050</v>
      </c>
      <c r="G1333" s="1" t="s">
        <v>2084</v>
      </c>
      <c r="H1333" s="1" t="s">
        <v>2087</v>
      </c>
      <c r="I1333" s="1">
        <v>1</v>
      </c>
      <c r="J1333" s="1">
        <v>5181.8100000000004</v>
      </c>
      <c r="K1333" s="1">
        <v>10.92</v>
      </c>
      <c r="L1333" s="1">
        <v>4615.96</v>
      </c>
      <c r="M1333" s="1">
        <v>1214.42</v>
      </c>
      <c r="N1333" s="1" t="s">
        <v>2091</v>
      </c>
    </row>
    <row r="1334" spans="1:14">
      <c r="A1334" s="1" t="s">
        <v>1346</v>
      </c>
      <c r="B1334" s="2">
        <v>45778</v>
      </c>
      <c r="C1334" s="1" t="s">
        <v>2024</v>
      </c>
      <c r="D1334" s="1" t="s">
        <v>2041</v>
      </c>
      <c r="E1334" s="1" t="s">
        <v>2044</v>
      </c>
      <c r="F1334" s="1" t="s">
        <v>2054</v>
      </c>
      <c r="G1334" s="1" t="s">
        <v>2068</v>
      </c>
      <c r="H1334" s="1" t="s">
        <v>2085</v>
      </c>
      <c r="I1334" s="1">
        <v>8</v>
      </c>
      <c r="J1334" s="1">
        <v>39169.519999999997</v>
      </c>
      <c r="K1334" s="1">
        <v>6.74</v>
      </c>
      <c r="L1334" s="1">
        <v>292235.95</v>
      </c>
      <c r="M1334" s="1">
        <v>28871.06</v>
      </c>
      <c r="N1334" s="1" t="s">
        <v>2092</v>
      </c>
    </row>
    <row r="1335" spans="1:14">
      <c r="A1335" s="1" t="s">
        <v>1347</v>
      </c>
      <c r="B1335" s="2">
        <v>45778</v>
      </c>
      <c r="C1335" s="1" t="s">
        <v>2028</v>
      </c>
      <c r="D1335" s="1" t="s">
        <v>2042</v>
      </c>
      <c r="E1335" s="1" t="s">
        <v>2047</v>
      </c>
      <c r="F1335" s="1" t="s">
        <v>2053</v>
      </c>
      <c r="G1335" s="1" t="s">
        <v>2060</v>
      </c>
      <c r="H1335" s="1" t="s">
        <v>2087</v>
      </c>
      <c r="I1335" s="1">
        <v>6</v>
      </c>
      <c r="J1335" s="1">
        <v>2205.17</v>
      </c>
      <c r="K1335" s="1">
        <v>26.03</v>
      </c>
      <c r="L1335" s="1">
        <v>9786.99</v>
      </c>
      <c r="M1335" s="1">
        <v>1593.02</v>
      </c>
      <c r="N1335" s="1" t="s">
        <v>2092</v>
      </c>
    </row>
    <row r="1336" spans="1:14">
      <c r="A1336" s="1" t="s">
        <v>1348</v>
      </c>
      <c r="B1336" s="2">
        <v>45779</v>
      </c>
      <c r="C1336" s="1" t="s">
        <v>2020</v>
      </c>
      <c r="D1336" s="1" t="s">
        <v>2043</v>
      </c>
      <c r="E1336" s="1" t="s">
        <v>2045</v>
      </c>
      <c r="F1336" s="1" t="s">
        <v>2049</v>
      </c>
      <c r="G1336" s="1" t="s">
        <v>2055</v>
      </c>
      <c r="H1336" s="1" t="s">
        <v>2085</v>
      </c>
      <c r="I1336" s="1">
        <v>1</v>
      </c>
      <c r="J1336" s="1">
        <v>2269.8000000000002</v>
      </c>
      <c r="K1336" s="1">
        <v>0.92</v>
      </c>
      <c r="L1336" s="1">
        <v>2248.92</v>
      </c>
      <c r="M1336" s="1">
        <v>271.73</v>
      </c>
      <c r="N1336" s="1" t="s">
        <v>2091</v>
      </c>
    </row>
    <row r="1337" spans="1:14">
      <c r="A1337" s="1" t="s">
        <v>1349</v>
      </c>
      <c r="B1337" s="2">
        <v>45779</v>
      </c>
      <c r="C1337" s="1" t="s">
        <v>2015</v>
      </c>
      <c r="D1337" s="1" t="s">
        <v>2029</v>
      </c>
      <c r="E1337" s="1" t="s">
        <v>2048</v>
      </c>
      <c r="F1337" s="1" t="s">
        <v>2052</v>
      </c>
      <c r="G1337" s="1" t="s">
        <v>2065</v>
      </c>
      <c r="H1337" s="1" t="s">
        <v>2085</v>
      </c>
      <c r="I1337" s="1">
        <v>5</v>
      </c>
      <c r="J1337" s="1">
        <v>9772.98</v>
      </c>
      <c r="K1337" s="1">
        <v>22.19</v>
      </c>
      <c r="L1337" s="1">
        <v>38021.78</v>
      </c>
      <c r="M1337" s="1">
        <v>4298.3599999999997</v>
      </c>
      <c r="N1337" s="1" t="s">
        <v>2090</v>
      </c>
    </row>
    <row r="1338" spans="1:14">
      <c r="A1338" s="1" t="s">
        <v>1350</v>
      </c>
      <c r="B1338" s="2">
        <v>45779</v>
      </c>
      <c r="C1338" s="1" t="s">
        <v>2021</v>
      </c>
      <c r="D1338" s="1" t="s">
        <v>2030</v>
      </c>
      <c r="E1338" s="1" t="s">
        <v>2046</v>
      </c>
      <c r="F1338" s="1" t="s">
        <v>2054</v>
      </c>
      <c r="G1338" s="1" t="s">
        <v>2081</v>
      </c>
      <c r="H1338" s="1" t="s">
        <v>2086</v>
      </c>
      <c r="I1338" s="1">
        <v>2</v>
      </c>
      <c r="J1338" s="1">
        <v>47989.27</v>
      </c>
      <c r="K1338" s="1">
        <v>14.17</v>
      </c>
      <c r="L1338" s="1">
        <v>82378.38</v>
      </c>
      <c r="M1338" s="1">
        <v>18500.400000000001</v>
      </c>
      <c r="N1338" s="1" t="s">
        <v>2090</v>
      </c>
    </row>
    <row r="1339" spans="1:14">
      <c r="A1339" s="1" t="s">
        <v>1351</v>
      </c>
      <c r="B1339" s="2">
        <v>45780</v>
      </c>
      <c r="C1339" s="1" t="s">
        <v>2028</v>
      </c>
      <c r="D1339" s="1" t="s">
        <v>2031</v>
      </c>
      <c r="E1339" s="1" t="s">
        <v>2044</v>
      </c>
      <c r="F1339" s="1" t="s">
        <v>2049</v>
      </c>
      <c r="G1339" s="1" t="s">
        <v>2055</v>
      </c>
      <c r="H1339" s="1" t="s">
        <v>2086</v>
      </c>
      <c r="I1339" s="1">
        <v>10</v>
      </c>
      <c r="J1339" s="1">
        <v>1506.82</v>
      </c>
      <c r="K1339" s="1">
        <v>9.36</v>
      </c>
      <c r="L1339" s="1">
        <v>13657.82</v>
      </c>
      <c r="M1339" s="1">
        <v>2327.8200000000002</v>
      </c>
      <c r="N1339" s="1" t="s">
        <v>2091</v>
      </c>
    </row>
    <row r="1340" spans="1:14">
      <c r="A1340" s="1" t="s">
        <v>1352</v>
      </c>
      <c r="B1340" s="2">
        <v>45780</v>
      </c>
      <c r="C1340" s="1" t="s">
        <v>2018</v>
      </c>
      <c r="D1340" s="1" t="s">
        <v>2032</v>
      </c>
      <c r="E1340" s="1" t="s">
        <v>2045</v>
      </c>
      <c r="F1340" s="1" t="s">
        <v>2052</v>
      </c>
      <c r="G1340" s="1" t="s">
        <v>2059</v>
      </c>
      <c r="H1340" s="1" t="s">
        <v>2086</v>
      </c>
      <c r="I1340" s="1">
        <v>10</v>
      </c>
      <c r="J1340" s="1">
        <v>2355.91</v>
      </c>
      <c r="K1340" s="1">
        <v>0.26</v>
      </c>
      <c r="L1340" s="1">
        <v>23497.85</v>
      </c>
      <c r="M1340" s="1">
        <v>5381.76</v>
      </c>
      <c r="N1340" s="1" t="s">
        <v>2091</v>
      </c>
    </row>
    <row r="1341" spans="1:14">
      <c r="A1341" s="1" t="s">
        <v>1353</v>
      </c>
      <c r="B1341" s="2">
        <v>45780</v>
      </c>
      <c r="C1341" s="1" t="s">
        <v>2024</v>
      </c>
      <c r="D1341" s="1" t="s">
        <v>2033</v>
      </c>
      <c r="E1341" s="1" t="s">
        <v>2046</v>
      </c>
      <c r="F1341" s="1" t="s">
        <v>2053</v>
      </c>
      <c r="G1341" s="1" t="s">
        <v>2076</v>
      </c>
      <c r="H1341" s="1" t="s">
        <v>2087</v>
      </c>
      <c r="I1341" s="1">
        <v>8</v>
      </c>
      <c r="J1341" s="1">
        <v>413.68</v>
      </c>
      <c r="K1341" s="1">
        <v>5.2</v>
      </c>
      <c r="L1341" s="1">
        <v>3137.35</v>
      </c>
      <c r="M1341" s="1">
        <v>424.23</v>
      </c>
      <c r="N1341" s="1" t="s">
        <v>2090</v>
      </c>
    </row>
    <row r="1342" spans="1:14">
      <c r="A1342" s="1" t="s">
        <v>1354</v>
      </c>
      <c r="B1342" s="2">
        <v>45781</v>
      </c>
      <c r="C1342" s="1" t="s">
        <v>2016</v>
      </c>
      <c r="D1342" s="1" t="s">
        <v>2034</v>
      </c>
      <c r="E1342" s="1" t="s">
        <v>2047</v>
      </c>
      <c r="F1342" s="1" t="s">
        <v>2054</v>
      </c>
      <c r="G1342" s="1" t="s">
        <v>2081</v>
      </c>
      <c r="H1342" s="1" t="s">
        <v>2086</v>
      </c>
      <c r="I1342" s="1">
        <v>5</v>
      </c>
      <c r="J1342" s="1">
        <v>67060.58</v>
      </c>
      <c r="K1342" s="1">
        <v>2</v>
      </c>
      <c r="L1342" s="1">
        <v>328596.84000000003</v>
      </c>
      <c r="M1342" s="1">
        <v>93842.62</v>
      </c>
      <c r="N1342" s="1" t="s">
        <v>2088</v>
      </c>
    </row>
    <row r="1343" spans="1:14">
      <c r="A1343" s="1" t="s">
        <v>1355</v>
      </c>
      <c r="B1343" s="2">
        <v>45781</v>
      </c>
      <c r="C1343" s="1" t="s">
        <v>2028</v>
      </c>
      <c r="D1343" s="1" t="s">
        <v>2035</v>
      </c>
      <c r="E1343" s="1" t="s">
        <v>2044</v>
      </c>
      <c r="F1343" s="1" t="s">
        <v>2050</v>
      </c>
      <c r="G1343" s="1" t="s">
        <v>2070</v>
      </c>
      <c r="H1343" s="1" t="s">
        <v>2086</v>
      </c>
      <c r="I1343" s="1">
        <v>6</v>
      </c>
      <c r="J1343" s="1">
        <v>4453.22</v>
      </c>
      <c r="K1343" s="1">
        <v>23.3</v>
      </c>
      <c r="L1343" s="1">
        <v>20493.72</v>
      </c>
      <c r="M1343" s="1">
        <v>2670.54</v>
      </c>
      <c r="N1343" s="1" t="s">
        <v>2090</v>
      </c>
    </row>
    <row r="1344" spans="1:14">
      <c r="A1344" s="1" t="s">
        <v>1356</v>
      </c>
      <c r="B1344" s="2">
        <v>45782</v>
      </c>
      <c r="C1344" s="1" t="s">
        <v>2027</v>
      </c>
      <c r="D1344" s="1" t="s">
        <v>2036</v>
      </c>
      <c r="E1344" s="1" t="s">
        <v>2047</v>
      </c>
      <c r="F1344" s="1" t="s">
        <v>2052</v>
      </c>
      <c r="G1344" s="1" t="s">
        <v>2072</v>
      </c>
      <c r="H1344" s="1" t="s">
        <v>2087</v>
      </c>
      <c r="I1344" s="1">
        <v>3</v>
      </c>
      <c r="J1344" s="1">
        <v>1727.83</v>
      </c>
      <c r="K1344" s="1">
        <v>21.67</v>
      </c>
      <c r="L1344" s="1">
        <v>4060.23</v>
      </c>
      <c r="M1344" s="1">
        <v>935.9</v>
      </c>
      <c r="N1344" s="1" t="s">
        <v>2089</v>
      </c>
    </row>
    <row r="1345" spans="1:14">
      <c r="A1345" s="1" t="s">
        <v>1357</v>
      </c>
      <c r="B1345" s="2">
        <v>45782</v>
      </c>
      <c r="C1345" s="1" t="s">
        <v>2028</v>
      </c>
      <c r="D1345" s="1" t="s">
        <v>2037</v>
      </c>
      <c r="E1345" s="1" t="s">
        <v>2044</v>
      </c>
      <c r="F1345" s="1" t="s">
        <v>2049</v>
      </c>
      <c r="G1345" s="1" t="s">
        <v>2058</v>
      </c>
      <c r="H1345" s="1" t="s">
        <v>2085</v>
      </c>
      <c r="I1345" s="1">
        <v>10</v>
      </c>
      <c r="J1345" s="1">
        <v>2459.0300000000002</v>
      </c>
      <c r="K1345" s="1">
        <v>19.66</v>
      </c>
      <c r="L1345" s="1">
        <v>19755.849999999999</v>
      </c>
      <c r="M1345" s="1">
        <v>3492.85</v>
      </c>
      <c r="N1345" s="1" t="s">
        <v>2091</v>
      </c>
    </row>
    <row r="1346" spans="1:14">
      <c r="A1346" s="1" t="s">
        <v>1358</v>
      </c>
      <c r="B1346" s="2">
        <v>45782</v>
      </c>
      <c r="C1346" s="1" t="s">
        <v>2021</v>
      </c>
      <c r="D1346" s="1" t="s">
        <v>2038</v>
      </c>
      <c r="E1346" s="1" t="s">
        <v>2047</v>
      </c>
      <c r="F1346" s="1" t="s">
        <v>2052</v>
      </c>
      <c r="G1346" s="1" t="s">
        <v>2065</v>
      </c>
      <c r="H1346" s="1" t="s">
        <v>2087</v>
      </c>
      <c r="I1346" s="1">
        <v>3</v>
      </c>
      <c r="J1346" s="1">
        <v>2443.63</v>
      </c>
      <c r="K1346" s="1">
        <v>3.65</v>
      </c>
      <c r="L1346" s="1">
        <v>7063.31</v>
      </c>
      <c r="M1346" s="1">
        <v>994.85</v>
      </c>
      <c r="N1346" s="1" t="s">
        <v>2091</v>
      </c>
    </row>
    <row r="1347" spans="1:14">
      <c r="A1347" s="1" t="s">
        <v>1359</v>
      </c>
      <c r="B1347" s="2">
        <v>45783</v>
      </c>
      <c r="C1347" s="1" t="s">
        <v>2023</v>
      </c>
      <c r="D1347" s="1" t="s">
        <v>2039</v>
      </c>
      <c r="E1347" s="1" t="s">
        <v>2044</v>
      </c>
      <c r="F1347" s="1" t="s">
        <v>2052</v>
      </c>
      <c r="G1347" s="1" t="s">
        <v>2065</v>
      </c>
      <c r="H1347" s="1" t="s">
        <v>2085</v>
      </c>
      <c r="I1347" s="1">
        <v>4</v>
      </c>
      <c r="J1347" s="1">
        <v>576.57000000000005</v>
      </c>
      <c r="K1347" s="1">
        <v>12.05</v>
      </c>
      <c r="L1347" s="1">
        <v>2028.37</v>
      </c>
      <c r="M1347" s="1">
        <v>506.62</v>
      </c>
      <c r="N1347" s="1" t="s">
        <v>2088</v>
      </c>
    </row>
    <row r="1348" spans="1:14">
      <c r="A1348" s="1" t="s">
        <v>1360</v>
      </c>
      <c r="B1348" s="2">
        <v>45783</v>
      </c>
      <c r="C1348" s="1" t="s">
        <v>2024</v>
      </c>
      <c r="D1348" s="1" t="s">
        <v>2040</v>
      </c>
      <c r="E1348" s="1" t="s">
        <v>2045</v>
      </c>
      <c r="F1348" s="1" t="s">
        <v>2051</v>
      </c>
      <c r="G1348" s="1" t="s">
        <v>2061</v>
      </c>
      <c r="H1348" s="1" t="s">
        <v>2086</v>
      </c>
      <c r="I1348" s="1">
        <v>2</v>
      </c>
      <c r="J1348" s="1">
        <v>39185.03</v>
      </c>
      <c r="K1348" s="1">
        <v>21.36</v>
      </c>
      <c r="L1348" s="1">
        <v>61630.22</v>
      </c>
      <c r="M1348" s="1">
        <v>10681.19</v>
      </c>
      <c r="N1348" s="1" t="s">
        <v>2090</v>
      </c>
    </row>
    <row r="1349" spans="1:14">
      <c r="A1349" s="1" t="s">
        <v>1361</v>
      </c>
      <c r="B1349" s="2">
        <v>45783</v>
      </c>
      <c r="C1349" s="1" t="s">
        <v>2018</v>
      </c>
      <c r="D1349" s="1" t="s">
        <v>2041</v>
      </c>
      <c r="E1349" s="1" t="s">
        <v>2047</v>
      </c>
      <c r="F1349" s="1" t="s">
        <v>2053</v>
      </c>
      <c r="G1349" s="1" t="s">
        <v>2060</v>
      </c>
      <c r="H1349" s="1" t="s">
        <v>2085</v>
      </c>
      <c r="I1349" s="1">
        <v>5</v>
      </c>
      <c r="J1349" s="1">
        <v>1800.95</v>
      </c>
      <c r="K1349" s="1">
        <v>4.03</v>
      </c>
      <c r="L1349" s="1">
        <v>8641.86</v>
      </c>
      <c r="M1349" s="1">
        <v>2190.86</v>
      </c>
      <c r="N1349" s="1" t="s">
        <v>2088</v>
      </c>
    </row>
    <row r="1350" spans="1:14">
      <c r="A1350" s="1" t="s">
        <v>1362</v>
      </c>
      <c r="B1350" s="2">
        <v>45784</v>
      </c>
      <c r="C1350" s="1" t="s">
        <v>2019</v>
      </c>
      <c r="D1350" s="1" t="s">
        <v>2042</v>
      </c>
      <c r="E1350" s="1" t="s">
        <v>2047</v>
      </c>
      <c r="F1350" s="1" t="s">
        <v>2054</v>
      </c>
      <c r="G1350" s="1" t="s">
        <v>2063</v>
      </c>
      <c r="H1350" s="1" t="s">
        <v>2087</v>
      </c>
      <c r="I1350" s="1">
        <v>10</v>
      </c>
      <c r="J1350" s="1">
        <v>7321.96</v>
      </c>
      <c r="K1350" s="1">
        <v>29.09</v>
      </c>
      <c r="L1350" s="1">
        <v>51920.02</v>
      </c>
      <c r="M1350" s="1">
        <v>3098.13</v>
      </c>
      <c r="N1350" s="1" t="s">
        <v>2092</v>
      </c>
    </row>
    <row r="1351" spans="1:14">
      <c r="A1351" s="1" t="s">
        <v>1363</v>
      </c>
      <c r="B1351" s="2">
        <v>45784</v>
      </c>
      <c r="C1351" s="1" t="s">
        <v>2015</v>
      </c>
      <c r="D1351" s="1" t="s">
        <v>2043</v>
      </c>
      <c r="E1351" s="1" t="s">
        <v>2044</v>
      </c>
      <c r="F1351" s="1" t="s">
        <v>2054</v>
      </c>
      <c r="G1351" s="1" t="s">
        <v>2079</v>
      </c>
      <c r="H1351" s="1" t="s">
        <v>2087</v>
      </c>
      <c r="I1351" s="1">
        <v>2</v>
      </c>
      <c r="J1351" s="1">
        <v>72862.63</v>
      </c>
      <c r="K1351" s="1">
        <v>9.1199999999999992</v>
      </c>
      <c r="L1351" s="1">
        <v>132435.12</v>
      </c>
      <c r="M1351" s="1">
        <v>21511.62</v>
      </c>
      <c r="N1351" s="1" t="s">
        <v>2088</v>
      </c>
    </row>
    <row r="1352" spans="1:14">
      <c r="A1352" s="1" t="s">
        <v>1364</v>
      </c>
      <c r="B1352" s="2">
        <v>45784</v>
      </c>
      <c r="C1352" s="1" t="s">
        <v>2022</v>
      </c>
      <c r="D1352" s="1" t="s">
        <v>2029</v>
      </c>
      <c r="E1352" s="1" t="s">
        <v>2044</v>
      </c>
      <c r="F1352" s="1" t="s">
        <v>2053</v>
      </c>
      <c r="G1352" s="1" t="s">
        <v>2060</v>
      </c>
      <c r="H1352" s="1" t="s">
        <v>2086</v>
      </c>
      <c r="I1352" s="1">
        <v>2</v>
      </c>
      <c r="J1352" s="1">
        <v>293.87</v>
      </c>
      <c r="K1352" s="1">
        <v>11.62</v>
      </c>
      <c r="L1352" s="1">
        <v>519.44000000000005</v>
      </c>
      <c r="M1352" s="1">
        <v>103.91</v>
      </c>
      <c r="N1352" s="1" t="s">
        <v>2089</v>
      </c>
    </row>
    <row r="1353" spans="1:14">
      <c r="A1353" s="1" t="s">
        <v>1365</v>
      </c>
      <c r="B1353" s="2">
        <v>45785</v>
      </c>
      <c r="C1353" s="1" t="s">
        <v>2026</v>
      </c>
      <c r="D1353" s="1" t="s">
        <v>2030</v>
      </c>
      <c r="E1353" s="1" t="s">
        <v>2044</v>
      </c>
      <c r="F1353" s="1" t="s">
        <v>2049</v>
      </c>
      <c r="G1353" s="1" t="s">
        <v>2071</v>
      </c>
      <c r="H1353" s="1" t="s">
        <v>2087</v>
      </c>
      <c r="I1353" s="1">
        <v>2</v>
      </c>
      <c r="J1353" s="1">
        <v>2208.2399999999998</v>
      </c>
      <c r="K1353" s="1">
        <v>7.71</v>
      </c>
      <c r="L1353" s="1">
        <v>4075.97</v>
      </c>
      <c r="M1353" s="1">
        <v>382.33</v>
      </c>
      <c r="N1353" s="1" t="s">
        <v>2088</v>
      </c>
    </row>
    <row r="1354" spans="1:14">
      <c r="A1354" s="1" t="s">
        <v>1366</v>
      </c>
      <c r="B1354" s="2">
        <v>45785</v>
      </c>
      <c r="C1354" s="1" t="s">
        <v>2020</v>
      </c>
      <c r="D1354" s="1" t="s">
        <v>2031</v>
      </c>
      <c r="E1354" s="1" t="s">
        <v>2048</v>
      </c>
      <c r="F1354" s="1" t="s">
        <v>2054</v>
      </c>
      <c r="G1354" s="1" t="s">
        <v>2063</v>
      </c>
      <c r="H1354" s="1" t="s">
        <v>2087</v>
      </c>
      <c r="I1354" s="1">
        <v>1</v>
      </c>
      <c r="J1354" s="1">
        <v>39822.129999999997</v>
      </c>
      <c r="K1354" s="1">
        <v>3.96</v>
      </c>
      <c r="L1354" s="1">
        <v>38245.17</v>
      </c>
      <c r="M1354" s="1">
        <v>11051.24</v>
      </c>
      <c r="N1354" s="1" t="s">
        <v>2088</v>
      </c>
    </row>
    <row r="1355" spans="1:14">
      <c r="A1355" s="1" t="s">
        <v>1367</v>
      </c>
      <c r="B1355" s="2">
        <v>45786</v>
      </c>
      <c r="C1355" s="1" t="s">
        <v>2021</v>
      </c>
      <c r="D1355" s="1" t="s">
        <v>2032</v>
      </c>
      <c r="E1355" s="1" t="s">
        <v>2045</v>
      </c>
      <c r="F1355" s="1" t="s">
        <v>2049</v>
      </c>
      <c r="G1355" s="1" t="s">
        <v>2058</v>
      </c>
      <c r="H1355" s="1" t="s">
        <v>2085</v>
      </c>
      <c r="I1355" s="1">
        <v>6</v>
      </c>
      <c r="J1355" s="1">
        <v>934.92</v>
      </c>
      <c r="K1355" s="1">
        <v>4.8099999999999996</v>
      </c>
      <c r="L1355" s="1">
        <v>5339.7</v>
      </c>
      <c r="M1355" s="1">
        <v>1131.46</v>
      </c>
      <c r="N1355" s="1" t="s">
        <v>2089</v>
      </c>
    </row>
    <row r="1356" spans="1:14">
      <c r="A1356" s="1" t="s">
        <v>1368</v>
      </c>
      <c r="B1356" s="2">
        <v>45786</v>
      </c>
      <c r="C1356" s="1" t="s">
        <v>2015</v>
      </c>
      <c r="D1356" s="1" t="s">
        <v>2033</v>
      </c>
      <c r="E1356" s="1" t="s">
        <v>2047</v>
      </c>
      <c r="F1356" s="1" t="s">
        <v>2050</v>
      </c>
      <c r="G1356" s="1" t="s">
        <v>2056</v>
      </c>
      <c r="H1356" s="1" t="s">
        <v>2087</v>
      </c>
      <c r="I1356" s="1">
        <v>8</v>
      </c>
      <c r="J1356" s="1">
        <v>2563.21</v>
      </c>
      <c r="K1356" s="1">
        <v>7.62</v>
      </c>
      <c r="L1356" s="1">
        <v>18943.150000000001</v>
      </c>
      <c r="M1356" s="1">
        <v>3883.19</v>
      </c>
      <c r="N1356" s="1" t="s">
        <v>2088</v>
      </c>
    </row>
    <row r="1357" spans="1:14">
      <c r="A1357" s="1" t="s">
        <v>1369</v>
      </c>
      <c r="B1357" s="2">
        <v>45786</v>
      </c>
      <c r="C1357" s="1" t="s">
        <v>2019</v>
      </c>
      <c r="D1357" s="1" t="s">
        <v>2034</v>
      </c>
      <c r="E1357" s="1" t="s">
        <v>2046</v>
      </c>
      <c r="F1357" s="1" t="s">
        <v>2051</v>
      </c>
      <c r="G1357" s="1" t="s">
        <v>2069</v>
      </c>
      <c r="H1357" s="1" t="s">
        <v>2085</v>
      </c>
      <c r="I1357" s="1">
        <v>2</v>
      </c>
      <c r="J1357" s="1">
        <v>24201.72</v>
      </c>
      <c r="K1357" s="1">
        <v>9.74</v>
      </c>
      <c r="L1357" s="1">
        <v>43688.94</v>
      </c>
      <c r="M1357" s="1">
        <v>2461.56</v>
      </c>
      <c r="N1357" s="1" t="s">
        <v>2092</v>
      </c>
    </row>
    <row r="1358" spans="1:14">
      <c r="A1358" s="1" t="s">
        <v>1370</v>
      </c>
      <c r="B1358" s="2">
        <v>45787</v>
      </c>
      <c r="C1358" s="1" t="s">
        <v>2016</v>
      </c>
      <c r="D1358" s="1" t="s">
        <v>2035</v>
      </c>
      <c r="E1358" s="1" t="s">
        <v>2044</v>
      </c>
      <c r="F1358" s="1" t="s">
        <v>2050</v>
      </c>
      <c r="G1358" s="1" t="s">
        <v>2075</v>
      </c>
      <c r="H1358" s="1" t="s">
        <v>2086</v>
      </c>
      <c r="I1358" s="1">
        <v>1</v>
      </c>
      <c r="J1358" s="1">
        <v>4743.5</v>
      </c>
      <c r="K1358" s="1">
        <v>26.19</v>
      </c>
      <c r="L1358" s="1">
        <v>3501.18</v>
      </c>
      <c r="M1358" s="1">
        <v>930.98</v>
      </c>
      <c r="N1358" s="1" t="s">
        <v>2090</v>
      </c>
    </row>
    <row r="1359" spans="1:14">
      <c r="A1359" s="1" t="s">
        <v>1371</v>
      </c>
      <c r="B1359" s="2">
        <v>45787</v>
      </c>
      <c r="C1359" s="1" t="s">
        <v>2027</v>
      </c>
      <c r="D1359" s="1" t="s">
        <v>2036</v>
      </c>
      <c r="E1359" s="1" t="s">
        <v>2045</v>
      </c>
      <c r="F1359" s="1" t="s">
        <v>2051</v>
      </c>
      <c r="G1359" s="1" t="s">
        <v>2057</v>
      </c>
      <c r="H1359" s="1" t="s">
        <v>2087</v>
      </c>
      <c r="I1359" s="1">
        <v>6</v>
      </c>
      <c r="J1359" s="1">
        <v>8726.06</v>
      </c>
      <c r="K1359" s="1">
        <v>0.77</v>
      </c>
      <c r="L1359" s="1">
        <v>51953.22</v>
      </c>
      <c r="M1359" s="1">
        <v>2861.06</v>
      </c>
      <c r="N1359" s="1" t="s">
        <v>2091</v>
      </c>
    </row>
    <row r="1360" spans="1:14">
      <c r="A1360" s="1" t="s">
        <v>1372</v>
      </c>
      <c r="B1360" s="2">
        <v>45787</v>
      </c>
      <c r="C1360" s="1" t="s">
        <v>2027</v>
      </c>
      <c r="D1360" s="1" t="s">
        <v>2037</v>
      </c>
      <c r="E1360" s="1" t="s">
        <v>2044</v>
      </c>
      <c r="F1360" s="1" t="s">
        <v>2050</v>
      </c>
      <c r="G1360" s="1" t="s">
        <v>2075</v>
      </c>
      <c r="H1360" s="1" t="s">
        <v>2086</v>
      </c>
      <c r="I1360" s="1">
        <v>1</v>
      </c>
      <c r="J1360" s="1">
        <v>7608.61</v>
      </c>
      <c r="K1360" s="1">
        <v>24.77</v>
      </c>
      <c r="L1360" s="1">
        <v>5723.96</v>
      </c>
      <c r="M1360" s="1">
        <v>789.4</v>
      </c>
      <c r="N1360" s="1" t="s">
        <v>2088</v>
      </c>
    </row>
    <row r="1361" spans="1:14">
      <c r="A1361" s="1" t="s">
        <v>1373</v>
      </c>
      <c r="B1361" s="2">
        <v>45788</v>
      </c>
      <c r="C1361" s="1" t="s">
        <v>2023</v>
      </c>
      <c r="D1361" s="1" t="s">
        <v>2038</v>
      </c>
      <c r="E1361" s="1" t="s">
        <v>2044</v>
      </c>
      <c r="F1361" s="1" t="s">
        <v>2052</v>
      </c>
      <c r="G1361" s="1" t="s">
        <v>2078</v>
      </c>
      <c r="H1361" s="1" t="s">
        <v>2085</v>
      </c>
      <c r="I1361" s="1">
        <v>9</v>
      </c>
      <c r="J1361" s="1">
        <v>2034.09</v>
      </c>
      <c r="K1361" s="1">
        <v>0.98</v>
      </c>
      <c r="L1361" s="1">
        <v>18127.400000000001</v>
      </c>
      <c r="M1361" s="1">
        <v>5192.7299999999996</v>
      </c>
      <c r="N1361" s="1" t="s">
        <v>2092</v>
      </c>
    </row>
    <row r="1362" spans="1:14">
      <c r="A1362" s="1" t="s">
        <v>1374</v>
      </c>
      <c r="B1362" s="2">
        <v>45788</v>
      </c>
      <c r="C1362" s="1" t="s">
        <v>2026</v>
      </c>
      <c r="D1362" s="1" t="s">
        <v>2039</v>
      </c>
      <c r="E1362" s="1" t="s">
        <v>2044</v>
      </c>
      <c r="F1362" s="1" t="s">
        <v>2051</v>
      </c>
      <c r="G1362" s="1" t="s">
        <v>2061</v>
      </c>
      <c r="H1362" s="1" t="s">
        <v>2087</v>
      </c>
      <c r="I1362" s="1">
        <v>4</v>
      </c>
      <c r="J1362" s="1">
        <v>26779.01</v>
      </c>
      <c r="K1362" s="1">
        <v>11.84</v>
      </c>
      <c r="L1362" s="1">
        <v>94433.5</v>
      </c>
      <c r="M1362" s="1">
        <v>22290.34</v>
      </c>
      <c r="N1362" s="1" t="s">
        <v>2092</v>
      </c>
    </row>
    <row r="1363" spans="1:14">
      <c r="A1363" s="1" t="s">
        <v>1375</v>
      </c>
      <c r="B1363" s="2">
        <v>45789</v>
      </c>
      <c r="C1363" s="1" t="s">
        <v>2023</v>
      </c>
      <c r="D1363" s="1" t="s">
        <v>2040</v>
      </c>
      <c r="E1363" s="1" t="s">
        <v>2046</v>
      </c>
      <c r="F1363" s="1" t="s">
        <v>2051</v>
      </c>
      <c r="G1363" s="1" t="s">
        <v>2069</v>
      </c>
      <c r="H1363" s="1" t="s">
        <v>2087</v>
      </c>
      <c r="I1363" s="1">
        <v>10</v>
      </c>
      <c r="J1363" s="1">
        <v>6479.4</v>
      </c>
      <c r="K1363" s="1">
        <v>11.68</v>
      </c>
      <c r="L1363" s="1">
        <v>57226.06</v>
      </c>
      <c r="M1363" s="1">
        <v>8749.23</v>
      </c>
      <c r="N1363" s="1" t="s">
        <v>2092</v>
      </c>
    </row>
    <row r="1364" spans="1:14">
      <c r="A1364" s="1" t="s">
        <v>1376</v>
      </c>
      <c r="B1364" s="2">
        <v>45789</v>
      </c>
      <c r="C1364" s="1" t="s">
        <v>2024</v>
      </c>
      <c r="D1364" s="1" t="s">
        <v>2041</v>
      </c>
      <c r="E1364" s="1" t="s">
        <v>2048</v>
      </c>
      <c r="F1364" s="1" t="s">
        <v>2052</v>
      </c>
      <c r="G1364" s="1" t="s">
        <v>2072</v>
      </c>
      <c r="H1364" s="1" t="s">
        <v>2085</v>
      </c>
      <c r="I1364" s="1">
        <v>4</v>
      </c>
      <c r="J1364" s="1">
        <v>3306.24</v>
      </c>
      <c r="K1364" s="1">
        <v>21.13</v>
      </c>
      <c r="L1364" s="1">
        <v>10430.530000000001</v>
      </c>
      <c r="M1364" s="1">
        <v>1180.76</v>
      </c>
      <c r="N1364" s="1" t="s">
        <v>2088</v>
      </c>
    </row>
    <row r="1365" spans="1:14">
      <c r="A1365" s="1" t="s">
        <v>1377</v>
      </c>
      <c r="B1365" s="2">
        <v>45789</v>
      </c>
      <c r="C1365" s="1" t="s">
        <v>2028</v>
      </c>
      <c r="D1365" s="1" t="s">
        <v>2042</v>
      </c>
      <c r="E1365" s="1" t="s">
        <v>2045</v>
      </c>
      <c r="F1365" s="1" t="s">
        <v>2053</v>
      </c>
      <c r="G1365" s="1" t="s">
        <v>2062</v>
      </c>
      <c r="H1365" s="1" t="s">
        <v>2087</v>
      </c>
      <c r="I1365" s="1">
        <v>8</v>
      </c>
      <c r="J1365" s="1">
        <v>2274.63</v>
      </c>
      <c r="K1365" s="1">
        <v>3.92</v>
      </c>
      <c r="L1365" s="1">
        <v>17483.72</v>
      </c>
      <c r="M1365" s="1">
        <v>3371.58</v>
      </c>
      <c r="N1365" s="1" t="s">
        <v>2090</v>
      </c>
    </row>
    <row r="1366" spans="1:14">
      <c r="A1366" s="1" t="s">
        <v>1378</v>
      </c>
      <c r="B1366" s="2">
        <v>45790</v>
      </c>
      <c r="C1366" s="1" t="s">
        <v>2022</v>
      </c>
      <c r="D1366" s="1" t="s">
        <v>2043</v>
      </c>
      <c r="E1366" s="1" t="s">
        <v>2044</v>
      </c>
      <c r="F1366" s="1" t="s">
        <v>2050</v>
      </c>
      <c r="G1366" s="1" t="s">
        <v>2064</v>
      </c>
      <c r="H1366" s="1" t="s">
        <v>2086</v>
      </c>
      <c r="I1366" s="1">
        <v>8</v>
      </c>
      <c r="J1366" s="1">
        <v>6838.99</v>
      </c>
      <c r="K1366" s="1">
        <v>14.41</v>
      </c>
      <c r="L1366" s="1">
        <v>46827.93</v>
      </c>
      <c r="M1366" s="1">
        <v>12531.28</v>
      </c>
      <c r="N1366" s="1" t="s">
        <v>2090</v>
      </c>
    </row>
    <row r="1367" spans="1:14">
      <c r="A1367" s="1" t="s">
        <v>1379</v>
      </c>
      <c r="B1367" s="2">
        <v>45790</v>
      </c>
      <c r="C1367" s="1" t="s">
        <v>2017</v>
      </c>
      <c r="D1367" s="1" t="s">
        <v>2029</v>
      </c>
      <c r="E1367" s="1" t="s">
        <v>2044</v>
      </c>
      <c r="F1367" s="1" t="s">
        <v>2050</v>
      </c>
      <c r="G1367" s="1" t="s">
        <v>2064</v>
      </c>
      <c r="H1367" s="1" t="s">
        <v>2086</v>
      </c>
      <c r="I1367" s="1">
        <v>3</v>
      </c>
      <c r="J1367" s="1">
        <v>7364.89</v>
      </c>
      <c r="K1367" s="1">
        <v>16.399999999999999</v>
      </c>
      <c r="L1367" s="1">
        <v>18471.14</v>
      </c>
      <c r="M1367" s="1">
        <v>3260</v>
      </c>
      <c r="N1367" s="1" t="s">
        <v>2092</v>
      </c>
    </row>
    <row r="1368" spans="1:14">
      <c r="A1368" s="1" t="s">
        <v>1380</v>
      </c>
      <c r="B1368" s="2">
        <v>45790</v>
      </c>
      <c r="C1368" s="1" t="s">
        <v>2018</v>
      </c>
      <c r="D1368" s="1" t="s">
        <v>2030</v>
      </c>
      <c r="E1368" s="1" t="s">
        <v>2047</v>
      </c>
      <c r="F1368" s="1" t="s">
        <v>2050</v>
      </c>
      <c r="G1368" s="1" t="s">
        <v>2064</v>
      </c>
      <c r="H1368" s="1" t="s">
        <v>2085</v>
      </c>
      <c r="I1368" s="1">
        <v>3</v>
      </c>
      <c r="J1368" s="1">
        <v>7950.99</v>
      </c>
      <c r="K1368" s="1">
        <v>2.76</v>
      </c>
      <c r="L1368" s="1">
        <v>23194.63</v>
      </c>
      <c r="M1368" s="1">
        <v>2555.31</v>
      </c>
      <c r="N1368" s="1" t="s">
        <v>2092</v>
      </c>
    </row>
    <row r="1369" spans="1:14">
      <c r="A1369" s="1" t="s">
        <v>1381</v>
      </c>
      <c r="B1369" s="2">
        <v>45791</v>
      </c>
      <c r="C1369" s="1" t="s">
        <v>2025</v>
      </c>
      <c r="D1369" s="1" t="s">
        <v>2031</v>
      </c>
      <c r="E1369" s="1" t="s">
        <v>2046</v>
      </c>
      <c r="F1369" s="1" t="s">
        <v>2053</v>
      </c>
      <c r="G1369" s="1" t="s">
        <v>2067</v>
      </c>
      <c r="H1369" s="1" t="s">
        <v>2085</v>
      </c>
      <c r="I1369" s="1">
        <v>10</v>
      </c>
      <c r="J1369" s="1">
        <v>174.55</v>
      </c>
      <c r="K1369" s="1">
        <v>26.86</v>
      </c>
      <c r="L1369" s="1">
        <v>1276.6600000000001</v>
      </c>
      <c r="M1369" s="1">
        <v>79.959999999999994</v>
      </c>
      <c r="N1369" s="1" t="s">
        <v>2088</v>
      </c>
    </row>
    <row r="1370" spans="1:14">
      <c r="A1370" s="1" t="s">
        <v>1382</v>
      </c>
      <c r="B1370" s="2">
        <v>45791</v>
      </c>
      <c r="C1370" s="1" t="s">
        <v>2018</v>
      </c>
      <c r="D1370" s="1" t="s">
        <v>2032</v>
      </c>
      <c r="E1370" s="1" t="s">
        <v>2044</v>
      </c>
      <c r="F1370" s="1" t="s">
        <v>2050</v>
      </c>
      <c r="G1370" s="1" t="s">
        <v>2056</v>
      </c>
      <c r="H1370" s="1" t="s">
        <v>2086</v>
      </c>
      <c r="I1370" s="1">
        <v>5</v>
      </c>
      <c r="J1370" s="1">
        <v>4661.79</v>
      </c>
      <c r="K1370" s="1">
        <v>4.4800000000000004</v>
      </c>
      <c r="L1370" s="1">
        <v>22264.71</v>
      </c>
      <c r="M1370" s="1">
        <v>3724.7</v>
      </c>
      <c r="N1370" s="1" t="s">
        <v>2091</v>
      </c>
    </row>
    <row r="1371" spans="1:14">
      <c r="A1371" s="1" t="s">
        <v>1383</v>
      </c>
      <c r="B1371" s="2">
        <v>45791</v>
      </c>
      <c r="C1371" s="1" t="s">
        <v>2018</v>
      </c>
      <c r="D1371" s="1" t="s">
        <v>2033</v>
      </c>
      <c r="E1371" s="1" t="s">
        <v>2046</v>
      </c>
      <c r="F1371" s="1" t="s">
        <v>2050</v>
      </c>
      <c r="G1371" s="1" t="s">
        <v>2056</v>
      </c>
      <c r="H1371" s="1" t="s">
        <v>2086</v>
      </c>
      <c r="I1371" s="1">
        <v>10</v>
      </c>
      <c r="J1371" s="1">
        <v>5908.03</v>
      </c>
      <c r="K1371" s="1">
        <v>23.96</v>
      </c>
      <c r="L1371" s="1">
        <v>44924.66</v>
      </c>
      <c r="M1371" s="1">
        <v>12861.82</v>
      </c>
      <c r="N1371" s="1" t="s">
        <v>2089</v>
      </c>
    </row>
    <row r="1372" spans="1:14">
      <c r="A1372" s="1" t="s">
        <v>1384</v>
      </c>
      <c r="B1372" s="2">
        <v>45792</v>
      </c>
      <c r="C1372" s="1" t="s">
        <v>2021</v>
      </c>
      <c r="D1372" s="1" t="s">
        <v>2034</v>
      </c>
      <c r="E1372" s="1" t="s">
        <v>2048</v>
      </c>
      <c r="F1372" s="1" t="s">
        <v>2051</v>
      </c>
      <c r="G1372" s="1" t="s">
        <v>2069</v>
      </c>
      <c r="H1372" s="1" t="s">
        <v>2087</v>
      </c>
      <c r="I1372" s="1">
        <v>8</v>
      </c>
      <c r="J1372" s="1">
        <v>37753.71</v>
      </c>
      <c r="K1372" s="1">
        <v>13.83</v>
      </c>
      <c r="L1372" s="1">
        <v>260258.98</v>
      </c>
      <c r="M1372" s="1">
        <v>33258.949999999997</v>
      </c>
      <c r="N1372" s="1" t="s">
        <v>2091</v>
      </c>
    </row>
    <row r="1373" spans="1:14">
      <c r="A1373" s="1" t="s">
        <v>1385</v>
      </c>
      <c r="B1373" s="2">
        <v>45792</v>
      </c>
      <c r="C1373" s="1" t="s">
        <v>2024</v>
      </c>
      <c r="D1373" s="1" t="s">
        <v>2035</v>
      </c>
      <c r="E1373" s="1" t="s">
        <v>2046</v>
      </c>
      <c r="F1373" s="1" t="s">
        <v>2051</v>
      </c>
      <c r="G1373" s="1" t="s">
        <v>2057</v>
      </c>
      <c r="H1373" s="1" t="s">
        <v>2085</v>
      </c>
      <c r="I1373" s="1">
        <v>1</v>
      </c>
      <c r="J1373" s="1">
        <v>34767.85</v>
      </c>
      <c r="K1373" s="1">
        <v>3.96</v>
      </c>
      <c r="L1373" s="1">
        <v>33391.040000000001</v>
      </c>
      <c r="M1373" s="1">
        <v>6640.47</v>
      </c>
      <c r="N1373" s="1" t="s">
        <v>2090</v>
      </c>
    </row>
    <row r="1374" spans="1:14">
      <c r="A1374" s="1" t="s">
        <v>1386</v>
      </c>
      <c r="B1374" s="2">
        <v>45793</v>
      </c>
      <c r="C1374" s="1" t="s">
        <v>2021</v>
      </c>
      <c r="D1374" s="1" t="s">
        <v>2036</v>
      </c>
      <c r="E1374" s="1" t="s">
        <v>2047</v>
      </c>
      <c r="F1374" s="1" t="s">
        <v>2051</v>
      </c>
      <c r="G1374" s="1" t="s">
        <v>2077</v>
      </c>
      <c r="H1374" s="1" t="s">
        <v>2087</v>
      </c>
      <c r="I1374" s="1">
        <v>7</v>
      </c>
      <c r="J1374" s="1">
        <v>4470.05</v>
      </c>
      <c r="K1374" s="1">
        <v>25.84</v>
      </c>
      <c r="L1374" s="1">
        <v>23204.92</v>
      </c>
      <c r="M1374" s="1">
        <v>5877.26</v>
      </c>
      <c r="N1374" s="1" t="s">
        <v>2091</v>
      </c>
    </row>
    <row r="1375" spans="1:14">
      <c r="A1375" s="1" t="s">
        <v>1387</v>
      </c>
      <c r="B1375" s="2">
        <v>45793</v>
      </c>
      <c r="C1375" s="1" t="s">
        <v>2025</v>
      </c>
      <c r="D1375" s="1" t="s">
        <v>2037</v>
      </c>
      <c r="E1375" s="1" t="s">
        <v>2046</v>
      </c>
      <c r="F1375" s="1" t="s">
        <v>2053</v>
      </c>
      <c r="G1375" s="1" t="s">
        <v>2076</v>
      </c>
      <c r="H1375" s="1" t="s">
        <v>2086</v>
      </c>
      <c r="I1375" s="1">
        <v>7</v>
      </c>
      <c r="J1375" s="1">
        <v>1322.29</v>
      </c>
      <c r="K1375" s="1">
        <v>15.97</v>
      </c>
      <c r="L1375" s="1">
        <v>7777.84</v>
      </c>
      <c r="M1375" s="1">
        <v>909.36</v>
      </c>
      <c r="N1375" s="1" t="s">
        <v>2092</v>
      </c>
    </row>
    <row r="1376" spans="1:14">
      <c r="A1376" s="1" t="s">
        <v>1388</v>
      </c>
      <c r="B1376" s="2">
        <v>45793</v>
      </c>
      <c r="C1376" s="1" t="s">
        <v>2019</v>
      </c>
      <c r="D1376" s="1" t="s">
        <v>2038</v>
      </c>
      <c r="E1376" s="1" t="s">
        <v>2044</v>
      </c>
      <c r="F1376" s="1" t="s">
        <v>2051</v>
      </c>
      <c r="G1376" s="1" t="s">
        <v>2061</v>
      </c>
      <c r="H1376" s="1" t="s">
        <v>2086</v>
      </c>
      <c r="I1376" s="1">
        <v>4</v>
      </c>
      <c r="J1376" s="1">
        <v>1517.47</v>
      </c>
      <c r="K1376" s="1">
        <v>16.43</v>
      </c>
      <c r="L1376" s="1">
        <v>5072.6000000000004</v>
      </c>
      <c r="M1376" s="1">
        <v>1196.24</v>
      </c>
      <c r="N1376" s="1" t="s">
        <v>2088</v>
      </c>
    </row>
    <row r="1377" spans="1:14">
      <c r="A1377" s="1" t="s">
        <v>1389</v>
      </c>
      <c r="B1377" s="2">
        <v>45794</v>
      </c>
      <c r="C1377" s="1" t="s">
        <v>2022</v>
      </c>
      <c r="D1377" s="1" t="s">
        <v>2039</v>
      </c>
      <c r="E1377" s="1" t="s">
        <v>2044</v>
      </c>
      <c r="F1377" s="1" t="s">
        <v>2050</v>
      </c>
      <c r="G1377" s="1" t="s">
        <v>2056</v>
      </c>
      <c r="H1377" s="1" t="s">
        <v>2087</v>
      </c>
      <c r="I1377" s="1">
        <v>8</v>
      </c>
      <c r="J1377" s="1">
        <v>5058.8900000000003</v>
      </c>
      <c r="K1377" s="1">
        <v>21.55</v>
      </c>
      <c r="L1377" s="1">
        <v>31749.59</v>
      </c>
      <c r="M1377" s="1">
        <v>4699.17</v>
      </c>
      <c r="N1377" s="1" t="s">
        <v>2089</v>
      </c>
    </row>
    <row r="1378" spans="1:14">
      <c r="A1378" s="1" t="s">
        <v>1390</v>
      </c>
      <c r="B1378" s="2">
        <v>45794</v>
      </c>
      <c r="C1378" s="1" t="s">
        <v>2020</v>
      </c>
      <c r="D1378" s="1" t="s">
        <v>2040</v>
      </c>
      <c r="E1378" s="1" t="s">
        <v>2044</v>
      </c>
      <c r="F1378" s="1" t="s">
        <v>2049</v>
      </c>
      <c r="G1378" s="1" t="s">
        <v>2071</v>
      </c>
      <c r="H1378" s="1" t="s">
        <v>2087</v>
      </c>
      <c r="I1378" s="1">
        <v>7</v>
      </c>
      <c r="J1378" s="1">
        <v>2393.9299999999998</v>
      </c>
      <c r="K1378" s="1">
        <v>1.2</v>
      </c>
      <c r="L1378" s="1">
        <v>16556.419999999998</v>
      </c>
      <c r="M1378" s="1">
        <v>2203.29</v>
      </c>
      <c r="N1378" s="1" t="s">
        <v>2090</v>
      </c>
    </row>
    <row r="1379" spans="1:14">
      <c r="A1379" s="1" t="s">
        <v>1391</v>
      </c>
      <c r="B1379" s="2">
        <v>45794</v>
      </c>
      <c r="C1379" s="1" t="s">
        <v>2028</v>
      </c>
      <c r="D1379" s="1" t="s">
        <v>2041</v>
      </c>
      <c r="E1379" s="1" t="s">
        <v>2044</v>
      </c>
      <c r="F1379" s="1" t="s">
        <v>2052</v>
      </c>
      <c r="G1379" s="1" t="s">
        <v>2072</v>
      </c>
      <c r="H1379" s="1" t="s">
        <v>2086</v>
      </c>
      <c r="I1379" s="1">
        <v>4</v>
      </c>
      <c r="J1379" s="1">
        <v>2870.97</v>
      </c>
      <c r="K1379" s="1">
        <v>26.25</v>
      </c>
      <c r="L1379" s="1">
        <v>8469.36</v>
      </c>
      <c r="M1379" s="1">
        <v>2046.67</v>
      </c>
      <c r="N1379" s="1" t="s">
        <v>2090</v>
      </c>
    </row>
    <row r="1380" spans="1:14">
      <c r="A1380" s="1" t="s">
        <v>1392</v>
      </c>
      <c r="B1380" s="2">
        <v>45795</v>
      </c>
      <c r="C1380" s="1" t="s">
        <v>2014</v>
      </c>
      <c r="D1380" s="1" t="s">
        <v>2042</v>
      </c>
      <c r="E1380" s="1" t="s">
        <v>2047</v>
      </c>
      <c r="F1380" s="1" t="s">
        <v>2050</v>
      </c>
      <c r="G1380" s="1" t="s">
        <v>2064</v>
      </c>
      <c r="H1380" s="1" t="s">
        <v>2085</v>
      </c>
      <c r="I1380" s="1">
        <v>3</v>
      </c>
      <c r="J1380" s="1">
        <v>485.66</v>
      </c>
      <c r="K1380" s="1">
        <v>26.93</v>
      </c>
      <c r="L1380" s="1">
        <v>1064.6199999999999</v>
      </c>
      <c r="M1380" s="1">
        <v>191.48</v>
      </c>
      <c r="N1380" s="1" t="s">
        <v>2088</v>
      </c>
    </row>
    <row r="1381" spans="1:14">
      <c r="A1381" s="1" t="s">
        <v>1393</v>
      </c>
      <c r="B1381" s="2">
        <v>45795</v>
      </c>
      <c r="C1381" s="1" t="s">
        <v>2019</v>
      </c>
      <c r="D1381" s="1" t="s">
        <v>2043</v>
      </c>
      <c r="E1381" s="1" t="s">
        <v>2045</v>
      </c>
      <c r="F1381" s="1" t="s">
        <v>2050</v>
      </c>
      <c r="G1381" s="1" t="s">
        <v>2056</v>
      </c>
      <c r="H1381" s="1" t="s">
        <v>2085</v>
      </c>
      <c r="I1381" s="1">
        <v>9</v>
      </c>
      <c r="J1381" s="1">
        <v>1627.8</v>
      </c>
      <c r="K1381" s="1">
        <v>24.47</v>
      </c>
      <c r="L1381" s="1">
        <v>11065.3</v>
      </c>
      <c r="M1381" s="1">
        <v>1668.81</v>
      </c>
      <c r="N1381" s="1" t="s">
        <v>2088</v>
      </c>
    </row>
    <row r="1382" spans="1:14">
      <c r="A1382" s="1" t="s">
        <v>1394</v>
      </c>
      <c r="B1382" s="2">
        <v>45795</v>
      </c>
      <c r="C1382" s="1" t="s">
        <v>2023</v>
      </c>
      <c r="D1382" s="1" t="s">
        <v>2029</v>
      </c>
      <c r="E1382" s="1" t="s">
        <v>2046</v>
      </c>
      <c r="F1382" s="1" t="s">
        <v>2050</v>
      </c>
      <c r="G1382" s="1" t="s">
        <v>2056</v>
      </c>
      <c r="H1382" s="1" t="s">
        <v>2087</v>
      </c>
      <c r="I1382" s="1">
        <v>3</v>
      </c>
      <c r="J1382" s="1">
        <v>439.82</v>
      </c>
      <c r="K1382" s="1">
        <v>21.67</v>
      </c>
      <c r="L1382" s="1">
        <v>1033.53</v>
      </c>
      <c r="M1382" s="1">
        <v>267.56</v>
      </c>
      <c r="N1382" s="1" t="s">
        <v>2091</v>
      </c>
    </row>
    <row r="1383" spans="1:14">
      <c r="A1383" s="1" t="s">
        <v>1395</v>
      </c>
      <c r="B1383" s="2">
        <v>45796</v>
      </c>
      <c r="C1383" s="1" t="s">
        <v>2017</v>
      </c>
      <c r="D1383" s="1" t="s">
        <v>2030</v>
      </c>
      <c r="E1383" s="1" t="s">
        <v>2046</v>
      </c>
      <c r="F1383" s="1" t="s">
        <v>2052</v>
      </c>
      <c r="G1383" s="1" t="s">
        <v>2059</v>
      </c>
      <c r="H1383" s="1" t="s">
        <v>2085</v>
      </c>
      <c r="I1383" s="1">
        <v>8</v>
      </c>
      <c r="J1383" s="1">
        <v>7475.72</v>
      </c>
      <c r="K1383" s="1">
        <v>28.47</v>
      </c>
      <c r="L1383" s="1">
        <v>42779.06</v>
      </c>
      <c r="M1383" s="1">
        <v>12193.34</v>
      </c>
      <c r="N1383" s="1" t="s">
        <v>2092</v>
      </c>
    </row>
    <row r="1384" spans="1:14">
      <c r="A1384" s="1" t="s">
        <v>1396</v>
      </c>
      <c r="B1384" s="2">
        <v>45796</v>
      </c>
      <c r="C1384" s="1" t="s">
        <v>2015</v>
      </c>
      <c r="D1384" s="1" t="s">
        <v>2031</v>
      </c>
      <c r="E1384" s="1" t="s">
        <v>2048</v>
      </c>
      <c r="F1384" s="1" t="s">
        <v>2051</v>
      </c>
      <c r="G1384" s="1" t="s">
        <v>2061</v>
      </c>
      <c r="H1384" s="1" t="s">
        <v>2087</v>
      </c>
      <c r="I1384" s="1">
        <v>8</v>
      </c>
      <c r="J1384" s="1">
        <v>15217.14</v>
      </c>
      <c r="K1384" s="1">
        <v>23.58</v>
      </c>
      <c r="L1384" s="1">
        <v>93031.51</v>
      </c>
      <c r="M1384" s="1">
        <v>7478.59</v>
      </c>
      <c r="N1384" s="1" t="s">
        <v>2090</v>
      </c>
    </row>
    <row r="1385" spans="1:14">
      <c r="A1385" s="1" t="s">
        <v>1397</v>
      </c>
      <c r="B1385" s="2">
        <v>45797</v>
      </c>
      <c r="C1385" s="1" t="s">
        <v>2021</v>
      </c>
      <c r="D1385" s="1" t="s">
        <v>2032</v>
      </c>
      <c r="E1385" s="1" t="s">
        <v>2046</v>
      </c>
      <c r="F1385" s="1" t="s">
        <v>2054</v>
      </c>
      <c r="G1385" s="1" t="s">
        <v>2081</v>
      </c>
      <c r="H1385" s="1" t="s">
        <v>2086</v>
      </c>
      <c r="I1385" s="1">
        <v>9</v>
      </c>
      <c r="J1385" s="1">
        <v>28067.43</v>
      </c>
      <c r="K1385" s="1">
        <v>25.87</v>
      </c>
      <c r="L1385" s="1">
        <v>187257.47</v>
      </c>
      <c r="M1385" s="1">
        <v>49354.879999999997</v>
      </c>
      <c r="N1385" s="1" t="s">
        <v>2088</v>
      </c>
    </row>
    <row r="1386" spans="1:14">
      <c r="A1386" s="1" t="s">
        <v>1398</v>
      </c>
      <c r="B1386" s="2">
        <v>45797</v>
      </c>
      <c r="C1386" s="1" t="s">
        <v>2023</v>
      </c>
      <c r="D1386" s="1" t="s">
        <v>2033</v>
      </c>
      <c r="E1386" s="1" t="s">
        <v>2046</v>
      </c>
      <c r="F1386" s="1" t="s">
        <v>2051</v>
      </c>
      <c r="G1386" s="1" t="s">
        <v>2080</v>
      </c>
      <c r="H1386" s="1" t="s">
        <v>2086</v>
      </c>
      <c r="I1386" s="1">
        <v>5</v>
      </c>
      <c r="J1386" s="1">
        <v>37778.9</v>
      </c>
      <c r="K1386" s="1">
        <v>5.39</v>
      </c>
      <c r="L1386" s="1">
        <v>178713.09</v>
      </c>
      <c r="M1386" s="1">
        <v>38544.949999999997</v>
      </c>
      <c r="N1386" s="1" t="s">
        <v>2088</v>
      </c>
    </row>
    <row r="1387" spans="1:14">
      <c r="A1387" s="1" t="s">
        <v>1399</v>
      </c>
      <c r="B1387" s="2">
        <v>45797</v>
      </c>
      <c r="C1387" s="1" t="s">
        <v>2020</v>
      </c>
      <c r="D1387" s="1" t="s">
        <v>2034</v>
      </c>
      <c r="E1387" s="1" t="s">
        <v>2047</v>
      </c>
      <c r="F1387" s="1" t="s">
        <v>2050</v>
      </c>
      <c r="G1387" s="1" t="s">
        <v>2075</v>
      </c>
      <c r="H1387" s="1" t="s">
        <v>2086</v>
      </c>
      <c r="I1387" s="1">
        <v>8</v>
      </c>
      <c r="J1387" s="1">
        <v>2995.05</v>
      </c>
      <c r="K1387" s="1">
        <v>17.41</v>
      </c>
      <c r="L1387" s="1">
        <v>19788.89</v>
      </c>
      <c r="M1387" s="1">
        <v>2104.83</v>
      </c>
      <c r="N1387" s="1" t="s">
        <v>2091</v>
      </c>
    </row>
    <row r="1388" spans="1:14">
      <c r="A1388" s="1" t="s">
        <v>1400</v>
      </c>
      <c r="B1388" s="2">
        <v>45798</v>
      </c>
      <c r="C1388" s="1" t="s">
        <v>2019</v>
      </c>
      <c r="D1388" s="1" t="s">
        <v>2035</v>
      </c>
      <c r="E1388" s="1" t="s">
        <v>2048</v>
      </c>
      <c r="F1388" s="1" t="s">
        <v>2049</v>
      </c>
      <c r="G1388" s="1" t="s">
        <v>2082</v>
      </c>
      <c r="H1388" s="1" t="s">
        <v>2086</v>
      </c>
      <c r="I1388" s="1">
        <v>10</v>
      </c>
      <c r="J1388" s="1">
        <v>1799.68</v>
      </c>
      <c r="K1388" s="1">
        <v>11.17</v>
      </c>
      <c r="L1388" s="1">
        <v>15986.56</v>
      </c>
      <c r="M1388" s="1">
        <v>1918.6</v>
      </c>
      <c r="N1388" s="1" t="s">
        <v>2089</v>
      </c>
    </row>
    <row r="1389" spans="1:14">
      <c r="A1389" s="1" t="s">
        <v>1401</v>
      </c>
      <c r="B1389" s="2">
        <v>45798</v>
      </c>
      <c r="C1389" s="1" t="s">
        <v>2020</v>
      </c>
      <c r="D1389" s="1" t="s">
        <v>2036</v>
      </c>
      <c r="E1389" s="1" t="s">
        <v>2047</v>
      </c>
      <c r="F1389" s="1" t="s">
        <v>2054</v>
      </c>
      <c r="G1389" s="1" t="s">
        <v>2079</v>
      </c>
      <c r="H1389" s="1" t="s">
        <v>2087</v>
      </c>
      <c r="I1389" s="1">
        <v>5</v>
      </c>
      <c r="J1389" s="1">
        <v>45740.83</v>
      </c>
      <c r="K1389" s="1">
        <v>11.48</v>
      </c>
      <c r="L1389" s="1">
        <v>202448.91</v>
      </c>
      <c r="M1389" s="1">
        <v>26613.43</v>
      </c>
      <c r="N1389" s="1" t="s">
        <v>2091</v>
      </c>
    </row>
    <row r="1390" spans="1:14">
      <c r="A1390" s="1" t="s">
        <v>1402</v>
      </c>
      <c r="B1390" s="2">
        <v>45798</v>
      </c>
      <c r="C1390" s="1" t="s">
        <v>2025</v>
      </c>
      <c r="D1390" s="1" t="s">
        <v>2037</v>
      </c>
      <c r="E1390" s="1" t="s">
        <v>2045</v>
      </c>
      <c r="F1390" s="1" t="s">
        <v>2051</v>
      </c>
      <c r="G1390" s="1" t="s">
        <v>2061</v>
      </c>
      <c r="H1390" s="1" t="s">
        <v>2086</v>
      </c>
      <c r="I1390" s="1">
        <v>4</v>
      </c>
      <c r="J1390" s="1">
        <v>25243.55</v>
      </c>
      <c r="K1390" s="1">
        <v>3.85</v>
      </c>
      <c r="L1390" s="1">
        <v>97086.69</v>
      </c>
      <c r="M1390" s="1">
        <v>11290.72</v>
      </c>
      <c r="N1390" s="1" t="s">
        <v>2090</v>
      </c>
    </row>
    <row r="1391" spans="1:14">
      <c r="A1391" s="1" t="s">
        <v>1403</v>
      </c>
      <c r="B1391" s="2">
        <v>45799</v>
      </c>
      <c r="C1391" s="1" t="s">
        <v>2026</v>
      </c>
      <c r="D1391" s="1" t="s">
        <v>2038</v>
      </c>
      <c r="E1391" s="1" t="s">
        <v>2045</v>
      </c>
      <c r="F1391" s="1" t="s">
        <v>2051</v>
      </c>
      <c r="G1391" s="1" t="s">
        <v>2061</v>
      </c>
      <c r="H1391" s="1" t="s">
        <v>2086</v>
      </c>
      <c r="I1391" s="1">
        <v>4</v>
      </c>
      <c r="J1391" s="1">
        <v>25217.64</v>
      </c>
      <c r="K1391" s="1">
        <v>24.58</v>
      </c>
      <c r="L1391" s="1">
        <v>76076.58</v>
      </c>
      <c r="M1391" s="1">
        <v>18284.79</v>
      </c>
      <c r="N1391" s="1" t="s">
        <v>2089</v>
      </c>
    </row>
    <row r="1392" spans="1:14">
      <c r="A1392" s="1" t="s">
        <v>1404</v>
      </c>
      <c r="B1392" s="2">
        <v>45799</v>
      </c>
      <c r="C1392" s="1" t="s">
        <v>2021</v>
      </c>
      <c r="D1392" s="1" t="s">
        <v>2039</v>
      </c>
      <c r="E1392" s="1" t="s">
        <v>2045</v>
      </c>
      <c r="F1392" s="1" t="s">
        <v>2054</v>
      </c>
      <c r="G1392" s="1" t="s">
        <v>2066</v>
      </c>
      <c r="H1392" s="1" t="s">
        <v>2086</v>
      </c>
      <c r="I1392" s="1">
        <v>6</v>
      </c>
      <c r="J1392" s="1">
        <v>11753.13</v>
      </c>
      <c r="K1392" s="1">
        <v>21.31</v>
      </c>
      <c r="L1392" s="1">
        <v>55491.23</v>
      </c>
      <c r="M1392" s="1">
        <v>11946.3</v>
      </c>
      <c r="N1392" s="1" t="s">
        <v>2091</v>
      </c>
    </row>
    <row r="1393" spans="1:14">
      <c r="A1393" s="1" t="s">
        <v>1405</v>
      </c>
      <c r="B1393" s="2">
        <v>45799</v>
      </c>
      <c r="C1393" s="1" t="s">
        <v>2026</v>
      </c>
      <c r="D1393" s="1" t="s">
        <v>2040</v>
      </c>
      <c r="E1393" s="1" t="s">
        <v>2047</v>
      </c>
      <c r="F1393" s="1" t="s">
        <v>2054</v>
      </c>
      <c r="G1393" s="1" t="s">
        <v>2066</v>
      </c>
      <c r="H1393" s="1" t="s">
        <v>2087</v>
      </c>
      <c r="I1393" s="1">
        <v>2</v>
      </c>
      <c r="J1393" s="1">
        <v>34638.79</v>
      </c>
      <c r="K1393" s="1">
        <v>13.24</v>
      </c>
      <c r="L1393" s="1">
        <v>60105.23</v>
      </c>
      <c r="M1393" s="1">
        <v>3991.41</v>
      </c>
      <c r="N1393" s="1" t="s">
        <v>2088</v>
      </c>
    </row>
    <row r="1394" spans="1:14">
      <c r="A1394" s="1" t="s">
        <v>1406</v>
      </c>
      <c r="B1394" s="2">
        <v>45800</v>
      </c>
      <c r="C1394" s="1" t="s">
        <v>2027</v>
      </c>
      <c r="D1394" s="1" t="s">
        <v>2041</v>
      </c>
      <c r="E1394" s="1" t="s">
        <v>2044</v>
      </c>
      <c r="F1394" s="1" t="s">
        <v>2052</v>
      </c>
      <c r="G1394" s="1" t="s">
        <v>2059</v>
      </c>
      <c r="H1394" s="1" t="s">
        <v>2085</v>
      </c>
      <c r="I1394" s="1">
        <v>8</v>
      </c>
      <c r="J1394" s="1">
        <v>9439.17</v>
      </c>
      <c r="K1394" s="1">
        <v>8.01</v>
      </c>
      <c r="L1394" s="1">
        <v>69464.740000000005</v>
      </c>
      <c r="M1394" s="1">
        <v>11116.86</v>
      </c>
      <c r="N1394" s="1" t="s">
        <v>2091</v>
      </c>
    </row>
    <row r="1395" spans="1:14">
      <c r="A1395" s="1" t="s">
        <v>1407</v>
      </c>
      <c r="B1395" s="2">
        <v>45800</v>
      </c>
      <c r="C1395" s="1" t="s">
        <v>2018</v>
      </c>
      <c r="D1395" s="1" t="s">
        <v>2042</v>
      </c>
      <c r="E1395" s="1" t="s">
        <v>2047</v>
      </c>
      <c r="F1395" s="1" t="s">
        <v>2053</v>
      </c>
      <c r="G1395" s="1" t="s">
        <v>2060</v>
      </c>
      <c r="H1395" s="1" t="s">
        <v>2086</v>
      </c>
      <c r="I1395" s="1">
        <v>3</v>
      </c>
      <c r="J1395" s="1">
        <v>174.63</v>
      </c>
      <c r="K1395" s="1">
        <v>13.84</v>
      </c>
      <c r="L1395" s="1">
        <v>451.38</v>
      </c>
      <c r="M1395" s="1">
        <v>74.790000000000006</v>
      </c>
      <c r="N1395" s="1" t="s">
        <v>2089</v>
      </c>
    </row>
    <row r="1396" spans="1:14">
      <c r="A1396" s="1" t="s">
        <v>1408</v>
      </c>
      <c r="B1396" s="2">
        <v>45801</v>
      </c>
      <c r="C1396" s="1" t="s">
        <v>2019</v>
      </c>
      <c r="D1396" s="1" t="s">
        <v>2043</v>
      </c>
      <c r="E1396" s="1" t="s">
        <v>2044</v>
      </c>
      <c r="F1396" s="1" t="s">
        <v>2052</v>
      </c>
      <c r="G1396" s="1" t="s">
        <v>2065</v>
      </c>
      <c r="H1396" s="1" t="s">
        <v>2085</v>
      </c>
      <c r="I1396" s="1">
        <v>9</v>
      </c>
      <c r="J1396" s="1">
        <v>1875.91</v>
      </c>
      <c r="K1396" s="1">
        <v>12.78</v>
      </c>
      <c r="L1396" s="1">
        <v>14725.52</v>
      </c>
      <c r="M1396" s="1">
        <v>1425.33</v>
      </c>
      <c r="N1396" s="1" t="s">
        <v>2090</v>
      </c>
    </row>
    <row r="1397" spans="1:14">
      <c r="A1397" s="1" t="s">
        <v>1409</v>
      </c>
      <c r="B1397" s="2">
        <v>45801</v>
      </c>
      <c r="C1397" s="1" t="s">
        <v>2024</v>
      </c>
      <c r="D1397" s="1" t="s">
        <v>2029</v>
      </c>
      <c r="E1397" s="1" t="s">
        <v>2045</v>
      </c>
      <c r="F1397" s="1" t="s">
        <v>2050</v>
      </c>
      <c r="G1397" s="1" t="s">
        <v>2084</v>
      </c>
      <c r="H1397" s="1" t="s">
        <v>2085</v>
      </c>
      <c r="I1397" s="1">
        <v>9</v>
      </c>
      <c r="J1397" s="1">
        <v>7207.2</v>
      </c>
      <c r="K1397" s="1">
        <v>27.05</v>
      </c>
      <c r="L1397" s="1">
        <v>47318.87</v>
      </c>
      <c r="M1397" s="1">
        <v>6252.11</v>
      </c>
      <c r="N1397" s="1" t="s">
        <v>2091</v>
      </c>
    </row>
    <row r="1398" spans="1:14">
      <c r="A1398" s="1" t="s">
        <v>1410</v>
      </c>
      <c r="B1398" s="2">
        <v>45801</v>
      </c>
      <c r="C1398" s="1" t="s">
        <v>2015</v>
      </c>
      <c r="D1398" s="1" t="s">
        <v>2030</v>
      </c>
      <c r="E1398" s="1" t="s">
        <v>2044</v>
      </c>
      <c r="F1398" s="1" t="s">
        <v>2050</v>
      </c>
      <c r="G1398" s="1" t="s">
        <v>2084</v>
      </c>
      <c r="H1398" s="1" t="s">
        <v>2086</v>
      </c>
      <c r="I1398" s="1">
        <v>8</v>
      </c>
      <c r="J1398" s="1">
        <v>2414.6999999999998</v>
      </c>
      <c r="K1398" s="1">
        <v>8.19</v>
      </c>
      <c r="L1398" s="1">
        <v>17735.490000000002</v>
      </c>
      <c r="M1398" s="1">
        <v>2228.56</v>
      </c>
      <c r="N1398" s="1" t="s">
        <v>2088</v>
      </c>
    </row>
    <row r="1399" spans="1:14">
      <c r="A1399" s="1" t="s">
        <v>1411</v>
      </c>
      <c r="B1399" s="2">
        <v>45802</v>
      </c>
      <c r="C1399" s="1" t="s">
        <v>2027</v>
      </c>
      <c r="D1399" s="1" t="s">
        <v>2031</v>
      </c>
      <c r="E1399" s="1" t="s">
        <v>2046</v>
      </c>
      <c r="F1399" s="1" t="s">
        <v>2049</v>
      </c>
      <c r="G1399" s="1" t="s">
        <v>2074</v>
      </c>
      <c r="H1399" s="1" t="s">
        <v>2086</v>
      </c>
      <c r="I1399" s="1">
        <v>5</v>
      </c>
      <c r="J1399" s="1">
        <v>2801.41</v>
      </c>
      <c r="K1399" s="1">
        <v>7.93</v>
      </c>
      <c r="L1399" s="1">
        <v>12896.29</v>
      </c>
      <c r="M1399" s="1">
        <v>1128.08</v>
      </c>
      <c r="N1399" s="1" t="s">
        <v>2089</v>
      </c>
    </row>
    <row r="1400" spans="1:14">
      <c r="A1400" s="1" t="s">
        <v>1412</v>
      </c>
      <c r="B1400" s="2">
        <v>45802</v>
      </c>
      <c r="C1400" s="1" t="s">
        <v>2026</v>
      </c>
      <c r="D1400" s="1" t="s">
        <v>2032</v>
      </c>
      <c r="E1400" s="1" t="s">
        <v>2047</v>
      </c>
      <c r="F1400" s="1" t="s">
        <v>2053</v>
      </c>
      <c r="G1400" s="1" t="s">
        <v>2076</v>
      </c>
      <c r="H1400" s="1" t="s">
        <v>2086</v>
      </c>
      <c r="I1400" s="1">
        <v>7</v>
      </c>
      <c r="J1400" s="1">
        <v>206.11</v>
      </c>
      <c r="K1400" s="1">
        <v>7.34</v>
      </c>
      <c r="L1400" s="1">
        <v>1336.87</v>
      </c>
      <c r="M1400" s="1">
        <v>322.7</v>
      </c>
      <c r="N1400" s="1" t="s">
        <v>2088</v>
      </c>
    </row>
    <row r="1401" spans="1:14">
      <c r="A1401" s="1" t="s">
        <v>1413</v>
      </c>
      <c r="B1401" s="2">
        <v>45802</v>
      </c>
      <c r="C1401" s="1" t="s">
        <v>2026</v>
      </c>
      <c r="D1401" s="1" t="s">
        <v>2033</v>
      </c>
      <c r="E1401" s="1" t="s">
        <v>2046</v>
      </c>
      <c r="F1401" s="1" t="s">
        <v>2052</v>
      </c>
      <c r="G1401" s="1" t="s">
        <v>2065</v>
      </c>
      <c r="H1401" s="1" t="s">
        <v>2087</v>
      </c>
      <c r="I1401" s="1">
        <v>8</v>
      </c>
      <c r="J1401" s="1">
        <v>2378.4499999999998</v>
      </c>
      <c r="K1401" s="1">
        <v>1.6</v>
      </c>
      <c r="L1401" s="1">
        <v>18723.16</v>
      </c>
      <c r="M1401" s="1">
        <v>3815.44</v>
      </c>
      <c r="N1401" s="1" t="s">
        <v>2089</v>
      </c>
    </row>
    <row r="1402" spans="1:14">
      <c r="A1402" s="1" t="s">
        <v>1414</v>
      </c>
      <c r="B1402" s="2">
        <v>45803</v>
      </c>
      <c r="C1402" s="1" t="s">
        <v>2019</v>
      </c>
      <c r="D1402" s="1" t="s">
        <v>2034</v>
      </c>
      <c r="E1402" s="1" t="s">
        <v>2048</v>
      </c>
      <c r="F1402" s="1" t="s">
        <v>2052</v>
      </c>
      <c r="G1402" s="1" t="s">
        <v>2065</v>
      </c>
      <c r="H1402" s="1" t="s">
        <v>2085</v>
      </c>
      <c r="I1402" s="1">
        <v>5</v>
      </c>
      <c r="J1402" s="1">
        <v>4855.91</v>
      </c>
      <c r="K1402" s="1">
        <v>6.72</v>
      </c>
      <c r="L1402" s="1">
        <v>22647.96</v>
      </c>
      <c r="M1402" s="1">
        <v>5962.9</v>
      </c>
      <c r="N1402" s="1" t="s">
        <v>2091</v>
      </c>
    </row>
    <row r="1403" spans="1:14">
      <c r="A1403" s="1" t="s">
        <v>1415</v>
      </c>
      <c r="B1403" s="2">
        <v>45803</v>
      </c>
      <c r="C1403" s="1" t="s">
        <v>2026</v>
      </c>
      <c r="D1403" s="1" t="s">
        <v>2035</v>
      </c>
      <c r="E1403" s="1" t="s">
        <v>2044</v>
      </c>
      <c r="F1403" s="1" t="s">
        <v>2054</v>
      </c>
      <c r="G1403" s="1" t="s">
        <v>2063</v>
      </c>
      <c r="H1403" s="1" t="s">
        <v>2087</v>
      </c>
      <c r="I1403" s="1">
        <v>2</v>
      </c>
      <c r="J1403" s="1">
        <v>34911.660000000003</v>
      </c>
      <c r="K1403" s="1">
        <v>5.93</v>
      </c>
      <c r="L1403" s="1">
        <v>65682.8</v>
      </c>
      <c r="M1403" s="1">
        <v>12290.62</v>
      </c>
      <c r="N1403" s="1" t="s">
        <v>2088</v>
      </c>
    </row>
    <row r="1404" spans="1:14">
      <c r="A1404" s="1" t="s">
        <v>1416</v>
      </c>
      <c r="B1404" s="2">
        <v>45803</v>
      </c>
      <c r="C1404" s="1" t="s">
        <v>2022</v>
      </c>
      <c r="D1404" s="1" t="s">
        <v>2036</v>
      </c>
      <c r="E1404" s="1" t="s">
        <v>2045</v>
      </c>
      <c r="F1404" s="1" t="s">
        <v>2054</v>
      </c>
      <c r="G1404" s="1" t="s">
        <v>2081</v>
      </c>
      <c r="H1404" s="1" t="s">
        <v>2087</v>
      </c>
      <c r="I1404" s="1">
        <v>1</v>
      </c>
      <c r="J1404" s="1">
        <v>11811.75</v>
      </c>
      <c r="K1404" s="1">
        <v>21.25</v>
      </c>
      <c r="L1404" s="1">
        <v>9301.75</v>
      </c>
      <c r="M1404" s="1">
        <v>623.04999999999995</v>
      </c>
      <c r="N1404" s="1" t="s">
        <v>2089</v>
      </c>
    </row>
    <row r="1405" spans="1:14">
      <c r="A1405" s="1" t="s">
        <v>1417</v>
      </c>
      <c r="B1405" s="2">
        <v>45804</v>
      </c>
      <c r="C1405" s="1" t="s">
        <v>2023</v>
      </c>
      <c r="D1405" s="1" t="s">
        <v>2037</v>
      </c>
      <c r="E1405" s="1" t="s">
        <v>2047</v>
      </c>
      <c r="F1405" s="1" t="s">
        <v>2054</v>
      </c>
      <c r="G1405" s="1" t="s">
        <v>2081</v>
      </c>
      <c r="H1405" s="1" t="s">
        <v>2085</v>
      </c>
      <c r="I1405" s="1">
        <v>3</v>
      </c>
      <c r="J1405" s="1">
        <v>48367.1</v>
      </c>
      <c r="K1405" s="1">
        <v>13.65</v>
      </c>
      <c r="L1405" s="1">
        <v>125294.97</v>
      </c>
      <c r="M1405" s="1">
        <v>17421.59</v>
      </c>
      <c r="N1405" s="1" t="s">
        <v>2092</v>
      </c>
    </row>
    <row r="1406" spans="1:14">
      <c r="A1406" s="1" t="s">
        <v>1418</v>
      </c>
      <c r="B1406" s="2">
        <v>45804</v>
      </c>
      <c r="C1406" s="1" t="s">
        <v>2020</v>
      </c>
      <c r="D1406" s="1" t="s">
        <v>2038</v>
      </c>
      <c r="E1406" s="1" t="s">
        <v>2048</v>
      </c>
      <c r="F1406" s="1" t="s">
        <v>2053</v>
      </c>
      <c r="G1406" s="1" t="s">
        <v>2076</v>
      </c>
      <c r="H1406" s="1" t="s">
        <v>2087</v>
      </c>
      <c r="I1406" s="1">
        <v>9</v>
      </c>
      <c r="J1406" s="1">
        <v>2368.4499999999998</v>
      </c>
      <c r="K1406" s="1">
        <v>9.41</v>
      </c>
      <c r="L1406" s="1">
        <v>19310.21</v>
      </c>
      <c r="M1406" s="1">
        <v>3102.13</v>
      </c>
      <c r="N1406" s="1" t="s">
        <v>2089</v>
      </c>
    </row>
    <row r="1407" spans="1:14">
      <c r="A1407" s="1" t="s">
        <v>1419</v>
      </c>
      <c r="B1407" s="2">
        <v>45805</v>
      </c>
      <c r="C1407" s="1" t="s">
        <v>2022</v>
      </c>
      <c r="D1407" s="1" t="s">
        <v>2039</v>
      </c>
      <c r="E1407" s="1" t="s">
        <v>2047</v>
      </c>
      <c r="F1407" s="1" t="s">
        <v>2054</v>
      </c>
      <c r="G1407" s="1" t="s">
        <v>2066</v>
      </c>
      <c r="H1407" s="1" t="s">
        <v>2086</v>
      </c>
      <c r="I1407" s="1">
        <v>4</v>
      </c>
      <c r="J1407" s="1">
        <v>58516.92</v>
      </c>
      <c r="K1407" s="1">
        <v>4.9400000000000004</v>
      </c>
      <c r="L1407" s="1">
        <v>222504.74</v>
      </c>
      <c r="M1407" s="1">
        <v>42599.53</v>
      </c>
      <c r="N1407" s="1" t="s">
        <v>2092</v>
      </c>
    </row>
    <row r="1408" spans="1:14">
      <c r="A1408" s="1" t="s">
        <v>1420</v>
      </c>
      <c r="B1408" s="2">
        <v>45805</v>
      </c>
      <c r="C1408" s="1" t="s">
        <v>2014</v>
      </c>
      <c r="D1408" s="1" t="s">
        <v>2040</v>
      </c>
      <c r="E1408" s="1" t="s">
        <v>2046</v>
      </c>
      <c r="F1408" s="1" t="s">
        <v>2050</v>
      </c>
      <c r="G1408" s="1" t="s">
        <v>2064</v>
      </c>
      <c r="H1408" s="1" t="s">
        <v>2086</v>
      </c>
      <c r="I1408" s="1">
        <v>10</v>
      </c>
      <c r="J1408" s="1">
        <v>6851.18</v>
      </c>
      <c r="K1408" s="1">
        <v>15.3</v>
      </c>
      <c r="L1408" s="1">
        <v>58029.49</v>
      </c>
      <c r="M1408" s="1">
        <v>13332.52</v>
      </c>
      <c r="N1408" s="1" t="s">
        <v>2091</v>
      </c>
    </row>
    <row r="1409" spans="1:14">
      <c r="A1409" s="1" t="s">
        <v>1421</v>
      </c>
      <c r="B1409" s="2">
        <v>45805</v>
      </c>
      <c r="C1409" s="1" t="s">
        <v>2023</v>
      </c>
      <c r="D1409" s="1" t="s">
        <v>2041</v>
      </c>
      <c r="E1409" s="1" t="s">
        <v>2046</v>
      </c>
      <c r="F1409" s="1" t="s">
        <v>2050</v>
      </c>
      <c r="G1409" s="1" t="s">
        <v>2064</v>
      </c>
      <c r="H1409" s="1" t="s">
        <v>2086</v>
      </c>
      <c r="I1409" s="1">
        <v>9</v>
      </c>
      <c r="J1409" s="1">
        <v>1665.3</v>
      </c>
      <c r="K1409" s="1">
        <v>25.88</v>
      </c>
      <c r="L1409" s="1">
        <v>11108.88</v>
      </c>
      <c r="M1409" s="1">
        <v>1646.23</v>
      </c>
      <c r="N1409" s="1" t="s">
        <v>2089</v>
      </c>
    </row>
    <row r="1410" spans="1:14">
      <c r="A1410" s="1" t="s">
        <v>1422</v>
      </c>
      <c r="B1410" s="2">
        <v>45806</v>
      </c>
      <c r="C1410" s="1" t="s">
        <v>2024</v>
      </c>
      <c r="D1410" s="1" t="s">
        <v>2042</v>
      </c>
      <c r="E1410" s="1" t="s">
        <v>2047</v>
      </c>
      <c r="F1410" s="1" t="s">
        <v>2050</v>
      </c>
      <c r="G1410" s="1" t="s">
        <v>2070</v>
      </c>
      <c r="H1410" s="1" t="s">
        <v>2086</v>
      </c>
      <c r="I1410" s="1">
        <v>7</v>
      </c>
      <c r="J1410" s="1">
        <v>1151.17</v>
      </c>
      <c r="K1410" s="1">
        <v>27.66</v>
      </c>
      <c r="L1410" s="1">
        <v>5829.29</v>
      </c>
      <c r="M1410" s="1">
        <v>1386.13</v>
      </c>
      <c r="N1410" s="1" t="s">
        <v>2092</v>
      </c>
    </row>
    <row r="1411" spans="1:14">
      <c r="A1411" s="1" t="s">
        <v>1423</v>
      </c>
      <c r="B1411" s="2">
        <v>45806</v>
      </c>
      <c r="C1411" s="1" t="s">
        <v>2024</v>
      </c>
      <c r="D1411" s="1" t="s">
        <v>2043</v>
      </c>
      <c r="E1411" s="1" t="s">
        <v>2048</v>
      </c>
      <c r="F1411" s="1" t="s">
        <v>2051</v>
      </c>
      <c r="G1411" s="1" t="s">
        <v>2069</v>
      </c>
      <c r="H1411" s="1" t="s">
        <v>2085</v>
      </c>
      <c r="I1411" s="1">
        <v>6</v>
      </c>
      <c r="J1411" s="1">
        <v>30346.41</v>
      </c>
      <c r="K1411" s="1">
        <v>28.11</v>
      </c>
      <c r="L1411" s="1">
        <v>130896.2</v>
      </c>
      <c r="M1411" s="1">
        <v>9406.5</v>
      </c>
      <c r="N1411" s="1" t="s">
        <v>2091</v>
      </c>
    </row>
    <row r="1412" spans="1:14">
      <c r="A1412" s="1" t="s">
        <v>1424</v>
      </c>
      <c r="B1412" s="2">
        <v>45806</v>
      </c>
      <c r="C1412" s="1" t="s">
        <v>2025</v>
      </c>
      <c r="D1412" s="1" t="s">
        <v>2029</v>
      </c>
      <c r="E1412" s="1" t="s">
        <v>2048</v>
      </c>
      <c r="F1412" s="1" t="s">
        <v>2051</v>
      </c>
      <c r="G1412" s="1" t="s">
        <v>2061</v>
      </c>
      <c r="H1412" s="1" t="s">
        <v>2087</v>
      </c>
      <c r="I1412" s="1">
        <v>6</v>
      </c>
      <c r="J1412" s="1">
        <v>3540.25</v>
      </c>
      <c r="K1412" s="1">
        <v>13.03</v>
      </c>
      <c r="L1412" s="1">
        <v>18473.73</v>
      </c>
      <c r="M1412" s="1">
        <v>1548.23</v>
      </c>
      <c r="N1412" s="1" t="s">
        <v>2089</v>
      </c>
    </row>
    <row r="1413" spans="1:14">
      <c r="A1413" s="1" t="s">
        <v>1425</v>
      </c>
      <c r="B1413" s="2">
        <v>45807</v>
      </c>
      <c r="C1413" s="1" t="s">
        <v>2027</v>
      </c>
      <c r="D1413" s="1" t="s">
        <v>2030</v>
      </c>
      <c r="E1413" s="1" t="s">
        <v>2047</v>
      </c>
      <c r="F1413" s="1" t="s">
        <v>2053</v>
      </c>
      <c r="G1413" s="1" t="s">
        <v>2067</v>
      </c>
      <c r="H1413" s="1" t="s">
        <v>2087</v>
      </c>
      <c r="I1413" s="1">
        <v>4</v>
      </c>
      <c r="J1413" s="1">
        <v>2184.31</v>
      </c>
      <c r="K1413" s="1">
        <v>11.5</v>
      </c>
      <c r="L1413" s="1">
        <v>7732.46</v>
      </c>
      <c r="M1413" s="1">
        <v>992.49</v>
      </c>
      <c r="N1413" s="1" t="s">
        <v>2089</v>
      </c>
    </row>
    <row r="1414" spans="1:14">
      <c r="A1414" s="1" t="s">
        <v>1426</v>
      </c>
      <c r="B1414" s="2">
        <v>45807</v>
      </c>
      <c r="C1414" s="1" t="s">
        <v>2017</v>
      </c>
      <c r="D1414" s="1" t="s">
        <v>2031</v>
      </c>
      <c r="E1414" s="1" t="s">
        <v>2047</v>
      </c>
      <c r="F1414" s="1" t="s">
        <v>2051</v>
      </c>
      <c r="G1414" s="1" t="s">
        <v>2057</v>
      </c>
      <c r="H1414" s="1" t="s">
        <v>2086</v>
      </c>
      <c r="I1414" s="1">
        <v>1</v>
      </c>
      <c r="J1414" s="1">
        <v>19775.98</v>
      </c>
      <c r="K1414" s="1">
        <v>1.33</v>
      </c>
      <c r="L1414" s="1">
        <v>19512.96</v>
      </c>
      <c r="M1414" s="1">
        <v>4963.7700000000004</v>
      </c>
      <c r="N1414" s="1" t="s">
        <v>2090</v>
      </c>
    </row>
    <row r="1415" spans="1:14">
      <c r="A1415" s="1" t="s">
        <v>1427</v>
      </c>
      <c r="B1415" s="2">
        <v>45808</v>
      </c>
      <c r="C1415" s="1" t="s">
        <v>2016</v>
      </c>
      <c r="D1415" s="1" t="s">
        <v>2032</v>
      </c>
      <c r="E1415" s="1" t="s">
        <v>2046</v>
      </c>
      <c r="F1415" s="1" t="s">
        <v>2049</v>
      </c>
      <c r="G1415" s="1" t="s">
        <v>2082</v>
      </c>
      <c r="H1415" s="1" t="s">
        <v>2085</v>
      </c>
      <c r="I1415" s="1">
        <v>6</v>
      </c>
      <c r="J1415" s="1">
        <v>1920.68</v>
      </c>
      <c r="K1415" s="1">
        <v>3.8</v>
      </c>
      <c r="L1415" s="1">
        <v>11086.16</v>
      </c>
      <c r="M1415" s="1">
        <v>2585.91</v>
      </c>
      <c r="N1415" s="1" t="s">
        <v>2090</v>
      </c>
    </row>
    <row r="1416" spans="1:14">
      <c r="A1416" s="1" t="s">
        <v>1428</v>
      </c>
      <c r="B1416" s="2">
        <v>45808</v>
      </c>
      <c r="C1416" s="1" t="s">
        <v>2021</v>
      </c>
      <c r="D1416" s="1" t="s">
        <v>2033</v>
      </c>
      <c r="E1416" s="1" t="s">
        <v>2048</v>
      </c>
      <c r="F1416" s="1" t="s">
        <v>2054</v>
      </c>
      <c r="G1416" s="1" t="s">
        <v>2081</v>
      </c>
      <c r="H1416" s="1" t="s">
        <v>2086</v>
      </c>
      <c r="I1416" s="1">
        <v>9</v>
      </c>
      <c r="J1416" s="1">
        <v>33984.71</v>
      </c>
      <c r="K1416" s="1">
        <v>25.19</v>
      </c>
      <c r="L1416" s="1">
        <v>228815.65</v>
      </c>
      <c r="M1416" s="1">
        <v>45205.58</v>
      </c>
      <c r="N1416" s="1" t="s">
        <v>2091</v>
      </c>
    </row>
    <row r="1417" spans="1:14">
      <c r="A1417" s="1" t="s">
        <v>1429</v>
      </c>
      <c r="B1417" s="2">
        <v>45808</v>
      </c>
      <c r="C1417" s="1" t="s">
        <v>2023</v>
      </c>
      <c r="D1417" s="1" t="s">
        <v>2034</v>
      </c>
      <c r="E1417" s="1" t="s">
        <v>2045</v>
      </c>
      <c r="F1417" s="1" t="s">
        <v>2049</v>
      </c>
      <c r="G1417" s="1" t="s">
        <v>2082</v>
      </c>
      <c r="H1417" s="1" t="s">
        <v>2086</v>
      </c>
      <c r="I1417" s="1">
        <v>10</v>
      </c>
      <c r="J1417" s="1">
        <v>1279.29</v>
      </c>
      <c r="K1417" s="1">
        <v>2.1800000000000002</v>
      </c>
      <c r="L1417" s="1">
        <v>12514.01</v>
      </c>
      <c r="M1417" s="1">
        <v>934.7</v>
      </c>
      <c r="N1417" s="1" t="s">
        <v>2091</v>
      </c>
    </row>
    <row r="1418" spans="1:14">
      <c r="A1418" s="1" t="s">
        <v>1430</v>
      </c>
      <c r="B1418" s="2">
        <v>45809</v>
      </c>
      <c r="C1418" s="1" t="s">
        <v>2023</v>
      </c>
      <c r="D1418" s="1" t="s">
        <v>2035</v>
      </c>
      <c r="E1418" s="1" t="s">
        <v>2044</v>
      </c>
      <c r="F1418" s="1" t="s">
        <v>2050</v>
      </c>
      <c r="G1418" s="1" t="s">
        <v>2064</v>
      </c>
      <c r="H1418" s="1" t="s">
        <v>2087</v>
      </c>
      <c r="I1418" s="1">
        <v>10</v>
      </c>
      <c r="J1418" s="1">
        <v>2539.65</v>
      </c>
      <c r="K1418" s="1">
        <v>7.99</v>
      </c>
      <c r="L1418" s="1">
        <v>23367.32</v>
      </c>
      <c r="M1418" s="1">
        <v>5622.97</v>
      </c>
      <c r="N1418" s="1" t="s">
        <v>2092</v>
      </c>
    </row>
    <row r="1419" spans="1:14">
      <c r="A1419" s="1" t="s">
        <v>1431</v>
      </c>
      <c r="B1419" s="2">
        <v>45809</v>
      </c>
      <c r="C1419" s="1" t="s">
        <v>2015</v>
      </c>
      <c r="D1419" s="1" t="s">
        <v>2036</v>
      </c>
      <c r="E1419" s="1" t="s">
        <v>2046</v>
      </c>
      <c r="F1419" s="1" t="s">
        <v>2053</v>
      </c>
      <c r="G1419" s="1" t="s">
        <v>2073</v>
      </c>
      <c r="H1419" s="1" t="s">
        <v>2085</v>
      </c>
      <c r="I1419" s="1">
        <v>4</v>
      </c>
      <c r="J1419" s="1">
        <v>1742.15</v>
      </c>
      <c r="K1419" s="1">
        <v>11.1</v>
      </c>
      <c r="L1419" s="1">
        <v>6195.09</v>
      </c>
      <c r="M1419" s="1">
        <v>1005.12</v>
      </c>
      <c r="N1419" s="1" t="s">
        <v>2090</v>
      </c>
    </row>
    <row r="1420" spans="1:14">
      <c r="A1420" s="1" t="s">
        <v>1432</v>
      </c>
      <c r="B1420" s="2">
        <v>45809</v>
      </c>
      <c r="C1420" s="1" t="s">
        <v>2025</v>
      </c>
      <c r="D1420" s="1" t="s">
        <v>2037</v>
      </c>
      <c r="E1420" s="1" t="s">
        <v>2045</v>
      </c>
      <c r="F1420" s="1" t="s">
        <v>2051</v>
      </c>
      <c r="G1420" s="1" t="s">
        <v>2077</v>
      </c>
      <c r="H1420" s="1" t="s">
        <v>2086</v>
      </c>
      <c r="I1420" s="1">
        <v>9</v>
      </c>
      <c r="J1420" s="1">
        <v>25758.61</v>
      </c>
      <c r="K1420" s="1">
        <v>26.61</v>
      </c>
      <c r="L1420" s="1">
        <v>170138.19</v>
      </c>
      <c r="M1420" s="1">
        <v>26636.47</v>
      </c>
      <c r="N1420" s="1" t="s">
        <v>2089</v>
      </c>
    </row>
    <row r="1421" spans="1:14">
      <c r="A1421" s="1" t="s">
        <v>1433</v>
      </c>
      <c r="B1421" s="2">
        <v>45810</v>
      </c>
      <c r="C1421" s="1" t="s">
        <v>2019</v>
      </c>
      <c r="D1421" s="1" t="s">
        <v>2038</v>
      </c>
      <c r="E1421" s="1" t="s">
        <v>2048</v>
      </c>
      <c r="F1421" s="1" t="s">
        <v>2053</v>
      </c>
      <c r="G1421" s="1" t="s">
        <v>2062</v>
      </c>
      <c r="H1421" s="1" t="s">
        <v>2086</v>
      </c>
      <c r="I1421" s="1">
        <v>7</v>
      </c>
      <c r="J1421" s="1">
        <v>1165.4000000000001</v>
      </c>
      <c r="K1421" s="1">
        <v>14.53</v>
      </c>
      <c r="L1421" s="1">
        <v>6972.47</v>
      </c>
      <c r="M1421" s="1">
        <v>1798.27</v>
      </c>
      <c r="N1421" s="1" t="s">
        <v>2090</v>
      </c>
    </row>
    <row r="1422" spans="1:14">
      <c r="A1422" s="1" t="s">
        <v>1434</v>
      </c>
      <c r="B1422" s="2">
        <v>45810</v>
      </c>
      <c r="C1422" s="1" t="s">
        <v>2022</v>
      </c>
      <c r="D1422" s="1" t="s">
        <v>2039</v>
      </c>
      <c r="E1422" s="1" t="s">
        <v>2046</v>
      </c>
      <c r="F1422" s="1" t="s">
        <v>2051</v>
      </c>
      <c r="G1422" s="1" t="s">
        <v>2057</v>
      </c>
      <c r="H1422" s="1" t="s">
        <v>2087</v>
      </c>
      <c r="I1422" s="1">
        <v>10</v>
      </c>
      <c r="J1422" s="1">
        <v>25253.4</v>
      </c>
      <c r="K1422" s="1">
        <v>0.75</v>
      </c>
      <c r="L1422" s="1">
        <v>250639.99</v>
      </c>
      <c r="M1422" s="1">
        <v>37565.07</v>
      </c>
      <c r="N1422" s="1" t="s">
        <v>2088</v>
      </c>
    </row>
    <row r="1423" spans="1:14">
      <c r="A1423" s="1" t="s">
        <v>1435</v>
      </c>
      <c r="B1423" s="2">
        <v>45810</v>
      </c>
      <c r="C1423" s="1" t="s">
        <v>2028</v>
      </c>
      <c r="D1423" s="1" t="s">
        <v>2040</v>
      </c>
      <c r="E1423" s="1" t="s">
        <v>2046</v>
      </c>
      <c r="F1423" s="1" t="s">
        <v>2051</v>
      </c>
      <c r="G1423" s="1" t="s">
        <v>2057</v>
      </c>
      <c r="H1423" s="1" t="s">
        <v>2087</v>
      </c>
      <c r="I1423" s="1">
        <v>1</v>
      </c>
      <c r="J1423" s="1">
        <v>10270.25</v>
      </c>
      <c r="K1423" s="1">
        <v>2.44</v>
      </c>
      <c r="L1423" s="1">
        <v>10019.66</v>
      </c>
      <c r="M1423" s="1">
        <v>2071.91</v>
      </c>
      <c r="N1423" s="1" t="s">
        <v>2091</v>
      </c>
    </row>
    <row r="1424" spans="1:14">
      <c r="A1424" s="1" t="s">
        <v>1436</v>
      </c>
      <c r="B1424" s="2">
        <v>45811</v>
      </c>
      <c r="C1424" s="1" t="s">
        <v>2025</v>
      </c>
      <c r="D1424" s="1" t="s">
        <v>2041</v>
      </c>
      <c r="E1424" s="1" t="s">
        <v>2044</v>
      </c>
      <c r="F1424" s="1" t="s">
        <v>2053</v>
      </c>
      <c r="G1424" s="1" t="s">
        <v>2076</v>
      </c>
      <c r="H1424" s="1" t="s">
        <v>2085</v>
      </c>
      <c r="I1424" s="1">
        <v>7</v>
      </c>
      <c r="J1424" s="1">
        <v>1648.08</v>
      </c>
      <c r="K1424" s="1">
        <v>25.46</v>
      </c>
      <c r="L1424" s="1">
        <v>8599.35</v>
      </c>
      <c r="M1424" s="1">
        <v>1293.4100000000001</v>
      </c>
      <c r="N1424" s="1" t="s">
        <v>2091</v>
      </c>
    </row>
    <row r="1425" spans="1:14">
      <c r="A1425" s="1" t="s">
        <v>1437</v>
      </c>
      <c r="B1425" s="2">
        <v>45811</v>
      </c>
      <c r="C1425" s="1" t="s">
        <v>2018</v>
      </c>
      <c r="D1425" s="1" t="s">
        <v>2042</v>
      </c>
      <c r="E1425" s="1" t="s">
        <v>2045</v>
      </c>
      <c r="F1425" s="1" t="s">
        <v>2049</v>
      </c>
      <c r="G1425" s="1" t="s">
        <v>2055</v>
      </c>
      <c r="H1425" s="1" t="s">
        <v>2085</v>
      </c>
      <c r="I1425" s="1">
        <v>10</v>
      </c>
      <c r="J1425" s="1">
        <v>588.86</v>
      </c>
      <c r="K1425" s="1">
        <v>18.3</v>
      </c>
      <c r="L1425" s="1">
        <v>4810.99</v>
      </c>
      <c r="M1425" s="1">
        <v>1113.8699999999999</v>
      </c>
      <c r="N1425" s="1" t="s">
        <v>2088</v>
      </c>
    </row>
    <row r="1426" spans="1:14">
      <c r="A1426" s="1" t="s">
        <v>1438</v>
      </c>
      <c r="B1426" s="2">
        <v>45812</v>
      </c>
      <c r="C1426" s="1" t="s">
        <v>2027</v>
      </c>
      <c r="D1426" s="1" t="s">
        <v>2043</v>
      </c>
      <c r="E1426" s="1" t="s">
        <v>2045</v>
      </c>
      <c r="F1426" s="1" t="s">
        <v>2049</v>
      </c>
      <c r="G1426" s="1" t="s">
        <v>2055</v>
      </c>
      <c r="H1426" s="1" t="s">
        <v>2085</v>
      </c>
      <c r="I1426" s="1">
        <v>8</v>
      </c>
      <c r="J1426" s="1">
        <v>538.33000000000004</v>
      </c>
      <c r="K1426" s="1">
        <v>12.08</v>
      </c>
      <c r="L1426" s="1">
        <v>3786.4</v>
      </c>
      <c r="M1426" s="1">
        <v>514.41</v>
      </c>
      <c r="N1426" s="1" t="s">
        <v>2092</v>
      </c>
    </row>
    <row r="1427" spans="1:14">
      <c r="A1427" s="1" t="s">
        <v>1439</v>
      </c>
      <c r="B1427" s="2">
        <v>45812</v>
      </c>
      <c r="C1427" s="1" t="s">
        <v>2028</v>
      </c>
      <c r="D1427" s="1" t="s">
        <v>2029</v>
      </c>
      <c r="E1427" s="1" t="s">
        <v>2046</v>
      </c>
      <c r="F1427" s="1" t="s">
        <v>2053</v>
      </c>
      <c r="G1427" s="1" t="s">
        <v>2076</v>
      </c>
      <c r="H1427" s="1" t="s">
        <v>2087</v>
      </c>
      <c r="I1427" s="1">
        <v>7</v>
      </c>
      <c r="J1427" s="1">
        <v>2423.58</v>
      </c>
      <c r="K1427" s="1">
        <v>23.97</v>
      </c>
      <c r="L1427" s="1">
        <v>12898.54</v>
      </c>
      <c r="M1427" s="1">
        <v>1085.49</v>
      </c>
      <c r="N1427" s="1" t="s">
        <v>2090</v>
      </c>
    </row>
    <row r="1428" spans="1:14">
      <c r="A1428" s="1" t="s">
        <v>1440</v>
      </c>
      <c r="B1428" s="2">
        <v>45812</v>
      </c>
      <c r="C1428" s="1" t="s">
        <v>2014</v>
      </c>
      <c r="D1428" s="1" t="s">
        <v>2030</v>
      </c>
      <c r="E1428" s="1" t="s">
        <v>2046</v>
      </c>
      <c r="F1428" s="1" t="s">
        <v>2050</v>
      </c>
      <c r="G1428" s="1" t="s">
        <v>2084</v>
      </c>
      <c r="H1428" s="1" t="s">
        <v>2086</v>
      </c>
      <c r="I1428" s="1">
        <v>2</v>
      </c>
      <c r="J1428" s="1">
        <v>2384.65</v>
      </c>
      <c r="K1428" s="1">
        <v>29.98</v>
      </c>
      <c r="L1428" s="1">
        <v>3339.46</v>
      </c>
      <c r="M1428" s="1">
        <v>424.41</v>
      </c>
      <c r="N1428" s="1" t="s">
        <v>2088</v>
      </c>
    </row>
    <row r="1429" spans="1:14">
      <c r="A1429" s="1" t="s">
        <v>1441</v>
      </c>
      <c r="B1429" s="2">
        <v>45813</v>
      </c>
      <c r="C1429" s="1" t="s">
        <v>2014</v>
      </c>
      <c r="D1429" s="1" t="s">
        <v>2031</v>
      </c>
      <c r="E1429" s="1" t="s">
        <v>2047</v>
      </c>
      <c r="F1429" s="1" t="s">
        <v>2052</v>
      </c>
      <c r="G1429" s="1" t="s">
        <v>2059</v>
      </c>
      <c r="H1429" s="1" t="s">
        <v>2087</v>
      </c>
      <c r="I1429" s="1">
        <v>6</v>
      </c>
      <c r="J1429" s="1">
        <v>1771.86</v>
      </c>
      <c r="K1429" s="1">
        <v>10.19</v>
      </c>
      <c r="L1429" s="1">
        <v>9547.84</v>
      </c>
      <c r="M1429" s="1">
        <v>1277.56</v>
      </c>
      <c r="N1429" s="1" t="s">
        <v>2089</v>
      </c>
    </row>
    <row r="1430" spans="1:14">
      <c r="A1430" s="1" t="s">
        <v>1442</v>
      </c>
      <c r="B1430" s="2">
        <v>45813</v>
      </c>
      <c r="C1430" s="1" t="s">
        <v>2023</v>
      </c>
      <c r="D1430" s="1" t="s">
        <v>2032</v>
      </c>
      <c r="E1430" s="1" t="s">
        <v>2047</v>
      </c>
      <c r="F1430" s="1" t="s">
        <v>2053</v>
      </c>
      <c r="G1430" s="1" t="s">
        <v>2067</v>
      </c>
      <c r="H1430" s="1" t="s">
        <v>2086</v>
      </c>
      <c r="I1430" s="1">
        <v>3</v>
      </c>
      <c r="J1430" s="1">
        <v>1001.56</v>
      </c>
      <c r="K1430" s="1">
        <v>4.2300000000000004</v>
      </c>
      <c r="L1430" s="1">
        <v>2877.58</v>
      </c>
      <c r="M1430" s="1">
        <v>654.16</v>
      </c>
      <c r="N1430" s="1" t="s">
        <v>2090</v>
      </c>
    </row>
    <row r="1431" spans="1:14">
      <c r="A1431" s="1" t="s">
        <v>1443</v>
      </c>
      <c r="B1431" s="2">
        <v>45813</v>
      </c>
      <c r="C1431" s="1" t="s">
        <v>2022</v>
      </c>
      <c r="D1431" s="1" t="s">
        <v>2033</v>
      </c>
      <c r="E1431" s="1" t="s">
        <v>2048</v>
      </c>
      <c r="F1431" s="1" t="s">
        <v>2051</v>
      </c>
      <c r="G1431" s="1" t="s">
        <v>2061</v>
      </c>
      <c r="H1431" s="1" t="s">
        <v>2085</v>
      </c>
      <c r="I1431" s="1">
        <v>1</v>
      </c>
      <c r="J1431" s="1">
        <v>15348.21</v>
      </c>
      <c r="K1431" s="1">
        <v>10.1</v>
      </c>
      <c r="L1431" s="1">
        <v>13798.04</v>
      </c>
      <c r="M1431" s="1">
        <v>1560.7</v>
      </c>
      <c r="N1431" s="1" t="s">
        <v>2088</v>
      </c>
    </row>
    <row r="1432" spans="1:14">
      <c r="A1432" s="1" t="s">
        <v>1444</v>
      </c>
      <c r="B1432" s="2">
        <v>45814</v>
      </c>
      <c r="C1432" s="1" t="s">
        <v>2018</v>
      </c>
      <c r="D1432" s="1" t="s">
        <v>2034</v>
      </c>
      <c r="E1432" s="1" t="s">
        <v>2047</v>
      </c>
      <c r="F1432" s="1" t="s">
        <v>2051</v>
      </c>
      <c r="G1432" s="1" t="s">
        <v>2069</v>
      </c>
      <c r="H1432" s="1" t="s">
        <v>2087</v>
      </c>
      <c r="I1432" s="1">
        <v>6</v>
      </c>
      <c r="J1432" s="1">
        <v>36147.74</v>
      </c>
      <c r="K1432" s="1">
        <v>3.78</v>
      </c>
      <c r="L1432" s="1">
        <v>208688.13</v>
      </c>
      <c r="M1432" s="1">
        <v>30935.87</v>
      </c>
      <c r="N1432" s="1" t="s">
        <v>2088</v>
      </c>
    </row>
    <row r="1433" spans="1:14">
      <c r="A1433" s="1" t="s">
        <v>1445</v>
      </c>
      <c r="B1433" s="2">
        <v>45814</v>
      </c>
      <c r="C1433" s="1" t="s">
        <v>2025</v>
      </c>
      <c r="D1433" s="1" t="s">
        <v>2035</v>
      </c>
      <c r="E1433" s="1" t="s">
        <v>2047</v>
      </c>
      <c r="F1433" s="1" t="s">
        <v>2051</v>
      </c>
      <c r="G1433" s="1" t="s">
        <v>2077</v>
      </c>
      <c r="H1433" s="1" t="s">
        <v>2085</v>
      </c>
      <c r="I1433" s="1">
        <v>4</v>
      </c>
      <c r="J1433" s="1">
        <v>4976.7700000000004</v>
      </c>
      <c r="K1433" s="1">
        <v>2.19</v>
      </c>
      <c r="L1433" s="1">
        <v>19471.11</v>
      </c>
      <c r="M1433" s="1">
        <v>3223.71</v>
      </c>
      <c r="N1433" s="1" t="s">
        <v>2090</v>
      </c>
    </row>
    <row r="1434" spans="1:14">
      <c r="A1434" s="1" t="s">
        <v>1446</v>
      </c>
      <c r="B1434" s="2">
        <v>45814</v>
      </c>
      <c r="C1434" s="1" t="s">
        <v>2028</v>
      </c>
      <c r="D1434" s="1" t="s">
        <v>2036</v>
      </c>
      <c r="E1434" s="1" t="s">
        <v>2045</v>
      </c>
      <c r="F1434" s="1" t="s">
        <v>2050</v>
      </c>
      <c r="G1434" s="1" t="s">
        <v>2070</v>
      </c>
      <c r="H1434" s="1" t="s">
        <v>2087</v>
      </c>
      <c r="I1434" s="1">
        <v>6</v>
      </c>
      <c r="J1434" s="1">
        <v>6961.97</v>
      </c>
      <c r="K1434" s="1">
        <v>16.989999999999998</v>
      </c>
      <c r="L1434" s="1">
        <v>34674.79</v>
      </c>
      <c r="M1434" s="1">
        <v>7906.32</v>
      </c>
      <c r="N1434" s="1" t="s">
        <v>2091</v>
      </c>
    </row>
    <row r="1435" spans="1:14">
      <c r="A1435" s="1" t="s">
        <v>1447</v>
      </c>
      <c r="B1435" s="2">
        <v>45815</v>
      </c>
      <c r="C1435" s="1" t="s">
        <v>2028</v>
      </c>
      <c r="D1435" s="1" t="s">
        <v>2037</v>
      </c>
      <c r="E1435" s="1" t="s">
        <v>2044</v>
      </c>
      <c r="F1435" s="1" t="s">
        <v>2053</v>
      </c>
      <c r="G1435" s="1" t="s">
        <v>2062</v>
      </c>
      <c r="H1435" s="1" t="s">
        <v>2085</v>
      </c>
      <c r="I1435" s="1">
        <v>5</v>
      </c>
      <c r="J1435" s="1">
        <v>1276.8399999999999</v>
      </c>
      <c r="K1435" s="1">
        <v>9.51</v>
      </c>
      <c r="L1435" s="1">
        <v>5777.06</v>
      </c>
      <c r="M1435" s="1">
        <v>773.44</v>
      </c>
      <c r="N1435" s="1" t="s">
        <v>2092</v>
      </c>
    </row>
    <row r="1436" spans="1:14">
      <c r="A1436" s="1" t="s">
        <v>1448</v>
      </c>
      <c r="B1436" s="2">
        <v>45815</v>
      </c>
      <c r="C1436" s="1" t="s">
        <v>2021</v>
      </c>
      <c r="D1436" s="1" t="s">
        <v>2038</v>
      </c>
      <c r="E1436" s="1" t="s">
        <v>2047</v>
      </c>
      <c r="F1436" s="1" t="s">
        <v>2052</v>
      </c>
      <c r="G1436" s="1" t="s">
        <v>2078</v>
      </c>
      <c r="H1436" s="1" t="s">
        <v>2086</v>
      </c>
      <c r="I1436" s="1">
        <v>10</v>
      </c>
      <c r="J1436" s="1">
        <v>238.51</v>
      </c>
      <c r="K1436" s="1">
        <v>14.86</v>
      </c>
      <c r="L1436" s="1">
        <v>2030.67</v>
      </c>
      <c r="M1436" s="1">
        <v>152.41999999999999</v>
      </c>
      <c r="N1436" s="1" t="s">
        <v>2091</v>
      </c>
    </row>
    <row r="1437" spans="1:14">
      <c r="A1437" s="1" t="s">
        <v>1449</v>
      </c>
      <c r="B1437" s="2">
        <v>45816</v>
      </c>
      <c r="C1437" s="1" t="s">
        <v>2024</v>
      </c>
      <c r="D1437" s="1" t="s">
        <v>2039</v>
      </c>
      <c r="E1437" s="1" t="s">
        <v>2046</v>
      </c>
      <c r="F1437" s="1" t="s">
        <v>2050</v>
      </c>
      <c r="G1437" s="1" t="s">
        <v>2070</v>
      </c>
      <c r="H1437" s="1" t="s">
        <v>2087</v>
      </c>
      <c r="I1437" s="1">
        <v>3</v>
      </c>
      <c r="J1437" s="1">
        <v>7263.36</v>
      </c>
      <c r="K1437" s="1">
        <v>3.83</v>
      </c>
      <c r="L1437" s="1">
        <v>20955.52</v>
      </c>
      <c r="M1437" s="1">
        <v>6013.91</v>
      </c>
      <c r="N1437" s="1" t="s">
        <v>2089</v>
      </c>
    </row>
    <row r="1438" spans="1:14">
      <c r="A1438" s="1" t="s">
        <v>1450</v>
      </c>
      <c r="B1438" s="2">
        <v>45816</v>
      </c>
      <c r="C1438" s="1" t="s">
        <v>2017</v>
      </c>
      <c r="D1438" s="1" t="s">
        <v>2040</v>
      </c>
      <c r="E1438" s="1" t="s">
        <v>2046</v>
      </c>
      <c r="F1438" s="1" t="s">
        <v>2049</v>
      </c>
      <c r="G1438" s="1" t="s">
        <v>2082</v>
      </c>
      <c r="H1438" s="1" t="s">
        <v>2087</v>
      </c>
      <c r="I1438" s="1">
        <v>10</v>
      </c>
      <c r="J1438" s="1">
        <v>2688.89</v>
      </c>
      <c r="K1438" s="1">
        <v>21.45</v>
      </c>
      <c r="L1438" s="1">
        <v>21121.23</v>
      </c>
      <c r="M1438" s="1">
        <v>4433.1000000000004</v>
      </c>
      <c r="N1438" s="1" t="s">
        <v>2090</v>
      </c>
    </row>
    <row r="1439" spans="1:14">
      <c r="A1439" s="1" t="s">
        <v>1451</v>
      </c>
      <c r="B1439" s="2">
        <v>45816</v>
      </c>
      <c r="C1439" s="1" t="s">
        <v>2017</v>
      </c>
      <c r="D1439" s="1" t="s">
        <v>2041</v>
      </c>
      <c r="E1439" s="1" t="s">
        <v>2048</v>
      </c>
      <c r="F1439" s="1" t="s">
        <v>2049</v>
      </c>
      <c r="G1439" s="1" t="s">
        <v>2074</v>
      </c>
      <c r="H1439" s="1" t="s">
        <v>2085</v>
      </c>
      <c r="I1439" s="1">
        <v>8</v>
      </c>
      <c r="J1439" s="1">
        <v>1608.64</v>
      </c>
      <c r="K1439" s="1">
        <v>28.84</v>
      </c>
      <c r="L1439" s="1">
        <v>9157.67</v>
      </c>
      <c r="M1439" s="1">
        <v>1192.51</v>
      </c>
      <c r="N1439" s="1" t="s">
        <v>2088</v>
      </c>
    </row>
    <row r="1440" spans="1:14">
      <c r="A1440" s="1" t="s">
        <v>1452</v>
      </c>
      <c r="B1440" s="2">
        <v>45817</v>
      </c>
      <c r="C1440" s="1" t="s">
        <v>2021</v>
      </c>
      <c r="D1440" s="1" t="s">
        <v>2042</v>
      </c>
      <c r="E1440" s="1" t="s">
        <v>2048</v>
      </c>
      <c r="F1440" s="1" t="s">
        <v>2049</v>
      </c>
      <c r="G1440" s="1" t="s">
        <v>2074</v>
      </c>
      <c r="H1440" s="1" t="s">
        <v>2086</v>
      </c>
      <c r="I1440" s="1">
        <v>2</v>
      </c>
      <c r="J1440" s="1">
        <v>495.72</v>
      </c>
      <c r="K1440" s="1">
        <v>21.02</v>
      </c>
      <c r="L1440" s="1">
        <v>783.04</v>
      </c>
      <c r="M1440" s="1">
        <v>89.59</v>
      </c>
      <c r="N1440" s="1" t="s">
        <v>2089</v>
      </c>
    </row>
    <row r="1441" spans="1:14">
      <c r="A1441" s="1" t="s">
        <v>1453</v>
      </c>
      <c r="B1441" s="2">
        <v>45817</v>
      </c>
      <c r="C1441" s="1" t="s">
        <v>2020</v>
      </c>
      <c r="D1441" s="1" t="s">
        <v>2043</v>
      </c>
      <c r="E1441" s="1" t="s">
        <v>2045</v>
      </c>
      <c r="F1441" s="1" t="s">
        <v>2051</v>
      </c>
      <c r="G1441" s="1" t="s">
        <v>2080</v>
      </c>
      <c r="H1441" s="1" t="s">
        <v>2086</v>
      </c>
      <c r="I1441" s="1">
        <v>4</v>
      </c>
      <c r="J1441" s="1">
        <v>31758.77</v>
      </c>
      <c r="K1441" s="1">
        <v>10.54</v>
      </c>
      <c r="L1441" s="1">
        <v>113645.58</v>
      </c>
      <c r="M1441" s="1">
        <v>10429.83</v>
      </c>
      <c r="N1441" s="1" t="s">
        <v>2088</v>
      </c>
    </row>
    <row r="1442" spans="1:14">
      <c r="A1442" s="1" t="s">
        <v>1454</v>
      </c>
      <c r="B1442" s="2">
        <v>45817</v>
      </c>
      <c r="C1442" s="1" t="s">
        <v>2018</v>
      </c>
      <c r="D1442" s="1" t="s">
        <v>2029</v>
      </c>
      <c r="E1442" s="1" t="s">
        <v>2047</v>
      </c>
      <c r="F1442" s="1" t="s">
        <v>2051</v>
      </c>
      <c r="G1442" s="1" t="s">
        <v>2057</v>
      </c>
      <c r="H1442" s="1" t="s">
        <v>2086</v>
      </c>
      <c r="I1442" s="1">
        <v>9</v>
      </c>
      <c r="J1442" s="1">
        <v>15126.91</v>
      </c>
      <c r="K1442" s="1">
        <v>6.52</v>
      </c>
      <c r="L1442" s="1">
        <v>127265.72</v>
      </c>
      <c r="M1442" s="1">
        <v>35914.51</v>
      </c>
      <c r="N1442" s="1" t="s">
        <v>2091</v>
      </c>
    </row>
    <row r="1443" spans="1:14">
      <c r="A1443" s="1" t="s">
        <v>1455</v>
      </c>
      <c r="B1443" s="2">
        <v>45818</v>
      </c>
      <c r="C1443" s="1" t="s">
        <v>2016</v>
      </c>
      <c r="D1443" s="1" t="s">
        <v>2030</v>
      </c>
      <c r="E1443" s="1" t="s">
        <v>2047</v>
      </c>
      <c r="F1443" s="1" t="s">
        <v>2054</v>
      </c>
      <c r="G1443" s="1" t="s">
        <v>2079</v>
      </c>
      <c r="H1443" s="1" t="s">
        <v>2085</v>
      </c>
      <c r="I1443" s="1">
        <v>8</v>
      </c>
      <c r="J1443" s="1">
        <v>4468.84</v>
      </c>
      <c r="K1443" s="1">
        <v>3.47</v>
      </c>
      <c r="L1443" s="1">
        <v>34510.17</v>
      </c>
      <c r="M1443" s="1">
        <v>2341.23</v>
      </c>
      <c r="N1443" s="1" t="s">
        <v>2088</v>
      </c>
    </row>
    <row r="1444" spans="1:14">
      <c r="A1444" s="1" t="s">
        <v>1456</v>
      </c>
      <c r="B1444" s="2">
        <v>45818</v>
      </c>
      <c r="C1444" s="1" t="s">
        <v>2023</v>
      </c>
      <c r="D1444" s="1" t="s">
        <v>2031</v>
      </c>
      <c r="E1444" s="1" t="s">
        <v>2045</v>
      </c>
      <c r="F1444" s="1" t="s">
        <v>2049</v>
      </c>
      <c r="G1444" s="1" t="s">
        <v>2082</v>
      </c>
      <c r="H1444" s="1" t="s">
        <v>2085</v>
      </c>
      <c r="I1444" s="1">
        <v>8</v>
      </c>
      <c r="J1444" s="1">
        <v>2736.72</v>
      </c>
      <c r="K1444" s="1">
        <v>21.47</v>
      </c>
      <c r="L1444" s="1">
        <v>17193.169999999998</v>
      </c>
      <c r="M1444" s="1">
        <v>4662.28</v>
      </c>
      <c r="N1444" s="1" t="s">
        <v>2088</v>
      </c>
    </row>
    <row r="1445" spans="1:14">
      <c r="A1445" s="1" t="s">
        <v>1457</v>
      </c>
      <c r="B1445" s="2">
        <v>45818</v>
      </c>
      <c r="C1445" s="1" t="s">
        <v>2022</v>
      </c>
      <c r="D1445" s="1" t="s">
        <v>2032</v>
      </c>
      <c r="E1445" s="1" t="s">
        <v>2044</v>
      </c>
      <c r="F1445" s="1" t="s">
        <v>2054</v>
      </c>
      <c r="G1445" s="1" t="s">
        <v>2079</v>
      </c>
      <c r="H1445" s="1" t="s">
        <v>2087</v>
      </c>
      <c r="I1445" s="1">
        <v>10</v>
      </c>
      <c r="J1445" s="1">
        <v>32352.3</v>
      </c>
      <c r="K1445" s="1">
        <v>29.59</v>
      </c>
      <c r="L1445" s="1">
        <v>227792.54</v>
      </c>
      <c r="M1445" s="1">
        <v>58151.09</v>
      </c>
      <c r="N1445" s="1" t="s">
        <v>2092</v>
      </c>
    </row>
    <row r="1446" spans="1:14">
      <c r="A1446" s="1" t="s">
        <v>1458</v>
      </c>
      <c r="B1446" s="2">
        <v>45819</v>
      </c>
      <c r="C1446" s="1" t="s">
        <v>2024</v>
      </c>
      <c r="D1446" s="1" t="s">
        <v>2033</v>
      </c>
      <c r="E1446" s="1" t="s">
        <v>2045</v>
      </c>
      <c r="F1446" s="1" t="s">
        <v>2051</v>
      </c>
      <c r="G1446" s="1" t="s">
        <v>2069</v>
      </c>
      <c r="H1446" s="1" t="s">
        <v>2086</v>
      </c>
      <c r="I1446" s="1">
        <v>9</v>
      </c>
      <c r="J1446" s="1">
        <v>1644.95</v>
      </c>
      <c r="K1446" s="1">
        <v>24.44</v>
      </c>
      <c r="L1446" s="1">
        <v>11186.32</v>
      </c>
      <c r="M1446" s="1">
        <v>1563.83</v>
      </c>
      <c r="N1446" s="1" t="s">
        <v>2092</v>
      </c>
    </row>
    <row r="1447" spans="1:14">
      <c r="A1447" s="1" t="s">
        <v>1459</v>
      </c>
      <c r="B1447" s="2">
        <v>45819</v>
      </c>
      <c r="C1447" s="1" t="s">
        <v>2021</v>
      </c>
      <c r="D1447" s="1" t="s">
        <v>2034</v>
      </c>
      <c r="E1447" s="1" t="s">
        <v>2048</v>
      </c>
      <c r="F1447" s="1" t="s">
        <v>2053</v>
      </c>
      <c r="G1447" s="1" t="s">
        <v>2067</v>
      </c>
      <c r="H1447" s="1" t="s">
        <v>2086</v>
      </c>
      <c r="I1447" s="1">
        <v>5</v>
      </c>
      <c r="J1447" s="1">
        <v>1560.85</v>
      </c>
      <c r="K1447" s="1">
        <v>28.51</v>
      </c>
      <c r="L1447" s="1">
        <v>5579.26</v>
      </c>
      <c r="M1447" s="1">
        <v>1672.03</v>
      </c>
      <c r="N1447" s="1" t="s">
        <v>2088</v>
      </c>
    </row>
    <row r="1448" spans="1:14">
      <c r="A1448" s="1" t="s">
        <v>1460</v>
      </c>
      <c r="B1448" s="2">
        <v>45820</v>
      </c>
      <c r="C1448" s="1" t="s">
        <v>2020</v>
      </c>
      <c r="D1448" s="1" t="s">
        <v>2035</v>
      </c>
      <c r="E1448" s="1" t="s">
        <v>2046</v>
      </c>
      <c r="F1448" s="1" t="s">
        <v>2049</v>
      </c>
      <c r="G1448" s="1" t="s">
        <v>2055</v>
      </c>
      <c r="H1448" s="1" t="s">
        <v>2085</v>
      </c>
      <c r="I1448" s="1">
        <v>10</v>
      </c>
      <c r="J1448" s="1">
        <v>2395.67</v>
      </c>
      <c r="K1448" s="1">
        <v>23.45</v>
      </c>
      <c r="L1448" s="1">
        <v>18338.849999999999</v>
      </c>
      <c r="M1448" s="1">
        <v>2546.0700000000002</v>
      </c>
      <c r="N1448" s="1" t="s">
        <v>2089</v>
      </c>
    </row>
    <row r="1449" spans="1:14">
      <c r="A1449" s="1" t="s">
        <v>1461</v>
      </c>
      <c r="B1449" s="2">
        <v>45820</v>
      </c>
      <c r="C1449" s="1" t="s">
        <v>2026</v>
      </c>
      <c r="D1449" s="1" t="s">
        <v>2036</v>
      </c>
      <c r="E1449" s="1" t="s">
        <v>2047</v>
      </c>
      <c r="F1449" s="1" t="s">
        <v>2050</v>
      </c>
      <c r="G1449" s="1" t="s">
        <v>2056</v>
      </c>
      <c r="H1449" s="1" t="s">
        <v>2087</v>
      </c>
      <c r="I1449" s="1">
        <v>1</v>
      </c>
      <c r="J1449" s="1">
        <v>7107.93</v>
      </c>
      <c r="K1449" s="1">
        <v>22.44</v>
      </c>
      <c r="L1449" s="1">
        <v>5512.91</v>
      </c>
      <c r="M1449" s="1">
        <v>1643.19</v>
      </c>
      <c r="N1449" s="1" t="s">
        <v>2089</v>
      </c>
    </row>
    <row r="1450" spans="1:14">
      <c r="A1450" s="1" t="s">
        <v>1462</v>
      </c>
      <c r="B1450" s="2">
        <v>45820</v>
      </c>
      <c r="C1450" s="1" t="s">
        <v>2017</v>
      </c>
      <c r="D1450" s="1" t="s">
        <v>2037</v>
      </c>
      <c r="E1450" s="1" t="s">
        <v>2048</v>
      </c>
      <c r="F1450" s="1" t="s">
        <v>2054</v>
      </c>
      <c r="G1450" s="1" t="s">
        <v>2068</v>
      </c>
      <c r="H1450" s="1" t="s">
        <v>2087</v>
      </c>
      <c r="I1450" s="1">
        <v>2</v>
      </c>
      <c r="J1450" s="1">
        <v>29460.66</v>
      </c>
      <c r="K1450" s="1">
        <v>2.41</v>
      </c>
      <c r="L1450" s="1">
        <v>57501.32</v>
      </c>
      <c r="M1450" s="1">
        <v>15625.8</v>
      </c>
      <c r="N1450" s="1" t="s">
        <v>2088</v>
      </c>
    </row>
    <row r="1451" spans="1:14">
      <c r="A1451" s="1" t="s">
        <v>1463</v>
      </c>
      <c r="B1451" s="2">
        <v>45821</v>
      </c>
      <c r="C1451" s="1" t="s">
        <v>2024</v>
      </c>
      <c r="D1451" s="1" t="s">
        <v>2038</v>
      </c>
      <c r="E1451" s="1" t="s">
        <v>2046</v>
      </c>
      <c r="F1451" s="1" t="s">
        <v>2053</v>
      </c>
      <c r="G1451" s="1" t="s">
        <v>2076</v>
      </c>
      <c r="H1451" s="1" t="s">
        <v>2087</v>
      </c>
      <c r="I1451" s="1">
        <v>9</v>
      </c>
      <c r="J1451" s="1">
        <v>384.15</v>
      </c>
      <c r="K1451" s="1">
        <v>22.68</v>
      </c>
      <c r="L1451" s="1">
        <v>2673.22</v>
      </c>
      <c r="M1451" s="1">
        <v>199.23</v>
      </c>
      <c r="N1451" s="1" t="s">
        <v>2091</v>
      </c>
    </row>
    <row r="1452" spans="1:14">
      <c r="A1452" s="1" t="s">
        <v>1464</v>
      </c>
      <c r="B1452" s="2">
        <v>45821</v>
      </c>
      <c r="C1452" s="1" t="s">
        <v>2017</v>
      </c>
      <c r="D1452" s="1" t="s">
        <v>2039</v>
      </c>
      <c r="E1452" s="1" t="s">
        <v>2044</v>
      </c>
      <c r="F1452" s="1" t="s">
        <v>2053</v>
      </c>
      <c r="G1452" s="1" t="s">
        <v>2076</v>
      </c>
      <c r="H1452" s="1" t="s">
        <v>2086</v>
      </c>
      <c r="I1452" s="1">
        <v>8</v>
      </c>
      <c r="J1452" s="1">
        <v>2327.2199999999998</v>
      </c>
      <c r="K1452" s="1">
        <v>7.83</v>
      </c>
      <c r="L1452" s="1">
        <v>17159.990000000002</v>
      </c>
      <c r="M1452" s="1">
        <v>2294.5300000000002</v>
      </c>
      <c r="N1452" s="1" t="s">
        <v>2089</v>
      </c>
    </row>
    <row r="1453" spans="1:14">
      <c r="A1453" s="1" t="s">
        <v>1465</v>
      </c>
      <c r="B1453" s="2">
        <v>45821</v>
      </c>
      <c r="C1453" s="1" t="s">
        <v>2017</v>
      </c>
      <c r="D1453" s="1" t="s">
        <v>2040</v>
      </c>
      <c r="E1453" s="1" t="s">
        <v>2047</v>
      </c>
      <c r="F1453" s="1" t="s">
        <v>2050</v>
      </c>
      <c r="G1453" s="1" t="s">
        <v>2056</v>
      </c>
      <c r="H1453" s="1" t="s">
        <v>2085</v>
      </c>
      <c r="I1453" s="1">
        <v>3</v>
      </c>
      <c r="J1453" s="1">
        <v>4115.42</v>
      </c>
      <c r="K1453" s="1">
        <v>3.2</v>
      </c>
      <c r="L1453" s="1">
        <v>11951.18</v>
      </c>
      <c r="M1453" s="1">
        <v>1630.08</v>
      </c>
      <c r="N1453" s="1" t="s">
        <v>2088</v>
      </c>
    </row>
    <row r="1454" spans="1:14">
      <c r="A1454" s="1" t="s">
        <v>1466</v>
      </c>
      <c r="B1454" s="2">
        <v>45822</v>
      </c>
      <c r="C1454" s="1" t="s">
        <v>2023</v>
      </c>
      <c r="D1454" s="1" t="s">
        <v>2041</v>
      </c>
      <c r="E1454" s="1" t="s">
        <v>2046</v>
      </c>
      <c r="F1454" s="1" t="s">
        <v>2049</v>
      </c>
      <c r="G1454" s="1" t="s">
        <v>2082</v>
      </c>
      <c r="H1454" s="1" t="s">
        <v>2087</v>
      </c>
      <c r="I1454" s="1">
        <v>8</v>
      </c>
      <c r="J1454" s="1">
        <v>1156.96</v>
      </c>
      <c r="K1454" s="1">
        <v>17.97</v>
      </c>
      <c r="L1454" s="1">
        <v>7592.43</v>
      </c>
      <c r="M1454" s="1">
        <v>2004.91</v>
      </c>
      <c r="N1454" s="1" t="s">
        <v>2092</v>
      </c>
    </row>
    <row r="1455" spans="1:14">
      <c r="A1455" s="1" t="s">
        <v>1467</v>
      </c>
      <c r="B1455" s="2">
        <v>45822</v>
      </c>
      <c r="C1455" s="1" t="s">
        <v>2021</v>
      </c>
      <c r="D1455" s="1" t="s">
        <v>2042</v>
      </c>
      <c r="E1455" s="1" t="s">
        <v>2046</v>
      </c>
      <c r="F1455" s="1" t="s">
        <v>2050</v>
      </c>
      <c r="G1455" s="1" t="s">
        <v>2084</v>
      </c>
      <c r="H1455" s="1" t="s">
        <v>2087</v>
      </c>
      <c r="I1455" s="1">
        <v>1</v>
      </c>
      <c r="J1455" s="1">
        <v>5320.86</v>
      </c>
      <c r="K1455" s="1">
        <v>4.04</v>
      </c>
      <c r="L1455" s="1">
        <v>5105.8999999999996</v>
      </c>
      <c r="M1455" s="1">
        <v>917.29</v>
      </c>
      <c r="N1455" s="1" t="s">
        <v>2092</v>
      </c>
    </row>
    <row r="1456" spans="1:14">
      <c r="A1456" s="1" t="s">
        <v>1468</v>
      </c>
      <c r="B1456" s="2">
        <v>45822</v>
      </c>
      <c r="C1456" s="1" t="s">
        <v>2021</v>
      </c>
      <c r="D1456" s="1" t="s">
        <v>2043</v>
      </c>
      <c r="E1456" s="1" t="s">
        <v>2045</v>
      </c>
      <c r="F1456" s="1" t="s">
        <v>2053</v>
      </c>
      <c r="G1456" s="1" t="s">
        <v>2067</v>
      </c>
      <c r="H1456" s="1" t="s">
        <v>2086</v>
      </c>
      <c r="I1456" s="1">
        <v>3</v>
      </c>
      <c r="J1456" s="1">
        <v>243.82</v>
      </c>
      <c r="K1456" s="1">
        <v>0.56000000000000005</v>
      </c>
      <c r="L1456" s="1">
        <v>727.36</v>
      </c>
      <c r="M1456" s="1">
        <v>213.47</v>
      </c>
      <c r="N1456" s="1" t="s">
        <v>2089</v>
      </c>
    </row>
    <row r="1457" spans="1:14">
      <c r="A1457" s="1" t="s">
        <v>1469</v>
      </c>
      <c r="B1457" s="2">
        <v>45823</v>
      </c>
      <c r="C1457" s="1" t="s">
        <v>2021</v>
      </c>
      <c r="D1457" s="1" t="s">
        <v>2029</v>
      </c>
      <c r="E1457" s="1" t="s">
        <v>2045</v>
      </c>
      <c r="F1457" s="1" t="s">
        <v>2051</v>
      </c>
      <c r="G1457" s="1" t="s">
        <v>2077</v>
      </c>
      <c r="H1457" s="1" t="s">
        <v>2087</v>
      </c>
      <c r="I1457" s="1">
        <v>6</v>
      </c>
      <c r="J1457" s="1">
        <v>6068.85</v>
      </c>
      <c r="K1457" s="1">
        <v>14.9</v>
      </c>
      <c r="L1457" s="1">
        <v>30987.55</v>
      </c>
      <c r="M1457" s="1">
        <v>4705.1099999999997</v>
      </c>
      <c r="N1457" s="1" t="s">
        <v>2090</v>
      </c>
    </row>
    <row r="1458" spans="1:14">
      <c r="A1458" s="1" t="s">
        <v>1470</v>
      </c>
      <c r="B1458" s="2">
        <v>45823</v>
      </c>
      <c r="C1458" s="1" t="s">
        <v>2017</v>
      </c>
      <c r="D1458" s="1" t="s">
        <v>2030</v>
      </c>
      <c r="E1458" s="1" t="s">
        <v>2044</v>
      </c>
      <c r="F1458" s="1" t="s">
        <v>2050</v>
      </c>
      <c r="G1458" s="1" t="s">
        <v>2070</v>
      </c>
      <c r="H1458" s="1" t="s">
        <v>2086</v>
      </c>
      <c r="I1458" s="1">
        <v>2</v>
      </c>
      <c r="J1458" s="1">
        <v>7067.79</v>
      </c>
      <c r="K1458" s="1">
        <v>25</v>
      </c>
      <c r="L1458" s="1">
        <v>10601.68</v>
      </c>
      <c r="M1458" s="1">
        <v>2992.69</v>
      </c>
      <c r="N1458" s="1" t="s">
        <v>2091</v>
      </c>
    </row>
    <row r="1459" spans="1:14">
      <c r="A1459" s="1" t="s">
        <v>1471</v>
      </c>
      <c r="B1459" s="2">
        <v>45824</v>
      </c>
      <c r="C1459" s="1" t="s">
        <v>2026</v>
      </c>
      <c r="D1459" s="1" t="s">
        <v>2031</v>
      </c>
      <c r="E1459" s="1" t="s">
        <v>2048</v>
      </c>
      <c r="F1459" s="1" t="s">
        <v>2054</v>
      </c>
      <c r="G1459" s="1" t="s">
        <v>2068</v>
      </c>
      <c r="H1459" s="1" t="s">
        <v>2085</v>
      </c>
      <c r="I1459" s="1">
        <v>4</v>
      </c>
      <c r="J1459" s="1">
        <v>65217.13</v>
      </c>
      <c r="K1459" s="1">
        <v>4.9400000000000004</v>
      </c>
      <c r="L1459" s="1">
        <v>247981.62</v>
      </c>
      <c r="M1459" s="1">
        <v>12745.89</v>
      </c>
      <c r="N1459" s="1" t="s">
        <v>2088</v>
      </c>
    </row>
    <row r="1460" spans="1:14">
      <c r="A1460" s="1" t="s">
        <v>1472</v>
      </c>
      <c r="B1460" s="2">
        <v>45824</v>
      </c>
      <c r="C1460" s="1" t="s">
        <v>2017</v>
      </c>
      <c r="D1460" s="1" t="s">
        <v>2032</v>
      </c>
      <c r="E1460" s="1" t="s">
        <v>2047</v>
      </c>
      <c r="F1460" s="1" t="s">
        <v>2053</v>
      </c>
      <c r="G1460" s="1" t="s">
        <v>2073</v>
      </c>
      <c r="H1460" s="1" t="s">
        <v>2085</v>
      </c>
      <c r="I1460" s="1">
        <v>1</v>
      </c>
      <c r="J1460" s="1">
        <v>1058.32</v>
      </c>
      <c r="K1460" s="1">
        <v>15.24</v>
      </c>
      <c r="L1460" s="1">
        <v>897.03</v>
      </c>
      <c r="M1460" s="1">
        <v>226.55</v>
      </c>
      <c r="N1460" s="1" t="s">
        <v>2088</v>
      </c>
    </row>
    <row r="1461" spans="1:14">
      <c r="A1461" s="1" t="s">
        <v>1473</v>
      </c>
      <c r="B1461" s="2">
        <v>45824</v>
      </c>
      <c r="C1461" s="1" t="s">
        <v>2026</v>
      </c>
      <c r="D1461" s="1" t="s">
        <v>2033</v>
      </c>
      <c r="E1461" s="1" t="s">
        <v>2046</v>
      </c>
      <c r="F1461" s="1" t="s">
        <v>2053</v>
      </c>
      <c r="G1461" s="1" t="s">
        <v>2060</v>
      </c>
      <c r="H1461" s="1" t="s">
        <v>2086</v>
      </c>
      <c r="I1461" s="1">
        <v>3</v>
      </c>
      <c r="J1461" s="1">
        <v>1634.62</v>
      </c>
      <c r="K1461" s="1">
        <v>13.43</v>
      </c>
      <c r="L1461" s="1">
        <v>4245.2700000000004</v>
      </c>
      <c r="M1461" s="1">
        <v>915.04</v>
      </c>
      <c r="N1461" s="1" t="s">
        <v>2088</v>
      </c>
    </row>
    <row r="1462" spans="1:14">
      <c r="A1462" s="1" t="s">
        <v>1474</v>
      </c>
      <c r="B1462" s="2">
        <v>45825</v>
      </c>
      <c r="C1462" s="1" t="s">
        <v>2020</v>
      </c>
      <c r="D1462" s="1" t="s">
        <v>2034</v>
      </c>
      <c r="E1462" s="1" t="s">
        <v>2047</v>
      </c>
      <c r="F1462" s="1" t="s">
        <v>2054</v>
      </c>
      <c r="G1462" s="1" t="s">
        <v>2068</v>
      </c>
      <c r="H1462" s="1" t="s">
        <v>2087</v>
      </c>
      <c r="I1462" s="1">
        <v>5</v>
      </c>
      <c r="J1462" s="1">
        <v>63980.32</v>
      </c>
      <c r="K1462" s="1">
        <v>28.94</v>
      </c>
      <c r="L1462" s="1">
        <v>227322.08</v>
      </c>
      <c r="M1462" s="1">
        <v>19961.34</v>
      </c>
      <c r="N1462" s="1" t="s">
        <v>2090</v>
      </c>
    </row>
    <row r="1463" spans="1:14">
      <c r="A1463" s="1" t="s">
        <v>1475</v>
      </c>
      <c r="B1463" s="2">
        <v>45825</v>
      </c>
      <c r="C1463" s="1" t="s">
        <v>2023</v>
      </c>
      <c r="D1463" s="1" t="s">
        <v>2035</v>
      </c>
      <c r="E1463" s="1" t="s">
        <v>2046</v>
      </c>
      <c r="F1463" s="1" t="s">
        <v>2049</v>
      </c>
      <c r="G1463" s="1" t="s">
        <v>2055</v>
      </c>
      <c r="H1463" s="1" t="s">
        <v>2085</v>
      </c>
      <c r="I1463" s="1">
        <v>10</v>
      </c>
      <c r="J1463" s="1">
        <v>1183.1400000000001</v>
      </c>
      <c r="K1463" s="1">
        <v>6.58</v>
      </c>
      <c r="L1463" s="1">
        <v>11052.89</v>
      </c>
      <c r="M1463" s="1">
        <v>1396.13</v>
      </c>
      <c r="N1463" s="1" t="s">
        <v>2090</v>
      </c>
    </row>
    <row r="1464" spans="1:14">
      <c r="A1464" s="1" t="s">
        <v>1476</v>
      </c>
      <c r="B1464" s="2">
        <v>45825</v>
      </c>
      <c r="C1464" s="1" t="s">
        <v>2019</v>
      </c>
      <c r="D1464" s="1" t="s">
        <v>2036</v>
      </c>
      <c r="E1464" s="1" t="s">
        <v>2048</v>
      </c>
      <c r="F1464" s="1" t="s">
        <v>2049</v>
      </c>
      <c r="G1464" s="1" t="s">
        <v>2071</v>
      </c>
      <c r="H1464" s="1" t="s">
        <v>2085</v>
      </c>
      <c r="I1464" s="1">
        <v>4</v>
      </c>
      <c r="J1464" s="1">
        <v>1757.86</v>
      </c>
      <c r="K1464" s="1">
        <v>12.9</v>
      </c>
      <c r="L1464" s="1">
        <v>6124.38</v>
      </c>
      <c r="M1464" s="1">
        <v>1288.52</v>
      </c>
      <c r="N1464" s="1" t="s">
        <v>2088</v>
      </c>
    </row>
    <row r="1465" spans="1:14">
      <c r="A1465" s="1" t="s">
        <v>1477</v>
      </c>
      <c r="B1465" s="2">
        <v>45826</v>
      </c>
      <c r="C1465" s="1" t="s">
        <v>2014</v>
      </c>
      <c r="D1465" s="1" t="s">
        <v>2037</v>
      </c>
      <c r="E1465" s="1" t="s">
        <v>2047</v>
      </c>
      <c r="F1465" s="1" t="s">
        <v>2052</v>
      </c>
      <c r="G1465" s="1" t="s">
        <v>2072</v>
      </c>
      <c r="H1465" s="1" t="s">
        <v>2087</v>
      </c>
      <c r="I1465" s="1">
        <v>7</v>
      </c>
      <c r="J1465" s="1">
        <v>5956.27</v>
      </c>
      <c r="K1465" s="1">
        <v>13.49</v>
      </c>
      <c r="L1465" s="1">
        <v>36069.379999999997</v>
      </c>
      <c r="M1465" s="1">
        <v>8648.1</v>
      </c>
      <c r="N1465" s="1" t="s">
        <v>2092</v>
      </c>
    </row>
    <row r="1466" spans="1:14">
      <c r="A1466" s="1" t="s">
        <v>1478</v>
      </c>
      <c r="B1466" s="2">
        <v>45826</v>
      </c>
      <c r="C1466" s="1" t="s">
        <v>2022</v>
      </c>
      <c r="D1466" s="1" t="s">
        <v>2038</v>
      </c>
      <c r="E1466" s="1" t="s">
        <v>2045</v>
      </c>
      <c r="F1466" s="1" t="s">
        <v>2053</v>
      </c>
      <c r="G1466" s="1" t="s">
        <v>2067</v>
      </c>
      <c r="H1466" s="1" t="s">
        <v>2087</v>
      </c>
      <c r="I1466" s="1">
        <v>1</v>
      </c>
      <c r="J1466" s="1">
        <v>525.13</v>
      </c>
      <c r="K1466" s="1">
        <v>10.91</v>
      </c>
      <c r="L1466" s="1">
        <v>467.84</v>
      </c>
      <c r="M1466" s="1">
        <v>67.069999999999993</v>
      </c>
      <c r="N1466" s="1" t="s">
        <v>2090</v>
      </c>
    </row>
    <row r="1467" spans="1:14">
      <c r="A1467" s="1" t="s">
        <v>1479</v>
      </c>
      <c r="B1467" s="2">
        <v>45826</v>
      </c>
      <c r="C1467" s="1" t="s">
        <v>2016</v>
      </c>
      <c r="D1467" s="1" t="s">
        <v>2039</v>
      </c>
      <c r="E1467" s="1" t="s">
        <v>2046</v>
      </c>
      <c r="F1467" s="1" t="s">
        <v>2050</v>
      </c>
      <c r="G1467" s="1" t="s">
        <v>2064</v>
      </c>
      <c r="H1467" s="1" t="s">
        <v>2086</v>
      </c>
      <c r="I1467" s="1">
        <v>8</v>
      </c>
      <c r="J1467" s="1">
        <v>532.48</v>
      </c>
      <c r="K1467" s="1">
        <v>3.16</v>
      </c>
      <c r="L1467" s="1">
        <v>4125.2299999999996</v>
      </c>
      <c r="M1467" s="1">
        <v>1201.97</v>
      </c>
      <c r="N1467" s="1" t="s">
        <v>2092</v>
      </c>
    </row>
    <row r="1468" spans="1:14">
      <c r="A1468" s="1" t="s">
        <v>1480</v>
      </c>
      <c r="B1468" s="2">
        <v>45827</v>
      </c>
      <c r="C1468" s="1" t="s">
        <v>2025</v>
      </c>
      <c r="D1468" s="1" t="s">
        <v>2040</v>
      </c>
      <c r="E1468" s="1" t="s">
        <v>2044</v>
      </c>
      <c r="F1468" s="1" t="s">
        <v>2053</v>
      </c>
      <c r="G1468" s="1" t="s">
        <v>2073</v>
      </c>
      <c r="H1468" s="1" t="s">
        <v>2086</v>
      </c>
      <c r="I1468" s="1">
        <v>5</v>
      </c>
      <c r="J1468" s="1">
        <v>1955.94</v>
      </c>
      <c r="K1468" s="1">
        <v>17.11</v>
      </c>
      <c r="L1468" s="1">
        <v>8106.39</v>
      </c>
      <c r="M1468" s="1">
        <v>592.62</v>
      </c>
      <c r="N1468" s="1" t="s">
        <v>2090</v>
      </c>
    </row>
    <row r="1469" spans="1:14">
      <c r="A1469" s="1" t="s">
        <v>1481</v>
      </c>
      <c r="B1469" s="2">
        <v>45827</v>
      </c>
      <c r="C1469" s="1" t="s">
        <v>2016</v>
      </c>
      <c r="D1469" s="1" t="s">
        <v>2041</v>
      </c>
      <c r="E1469" s="1" t="s">
        <v>2047</v>
      </c>
      <c r="F1469" s="1" t="s">
        <v>2053</v>
      </c>
      <c r="G1469" s="1" t="s">
        <v>2076</v>
      </c>
      <c r="H1469" s="1" t="s">
        <v>2087</v>
      </c>
      <c r="I1469" s="1">
        <v>10</v>
      </c>
      <c r="J1469" s="1">
        <v>681.37</v>
      </c>
      <c r="K1469" s="1">
        <v>7.3</v>
      </c>
      <c r="L1469" s="1">
        <v>6316.3</v>
      </c>
      <c r="M1469" s="1">
        <v>1701.42</v>
      </c>
      <c r="N1469" s="1" t="s">
        <v>2092</v>
      </c>
    </row>
    <row r="1470" spans="1:14">
      <c r="A1470" s="1" t="s">
        <v>1482</v>
      </c>
      <c r="B1470" s="2">
        <v>45828</v>
      </c>
      <c r="C1470" s="1" t="s">
        <v>2016</v>
      </c>
      <c r="D1470" s="1" t="s">
        <v>2042</v>
      </c>
      <c r="E1470" s="1" t="s">
        <v>2045</v>
      </c>
      <c r="F1470" s="1" t="s">
        <v>2052</v>
      </c>
      <c r="G1470" s="1" t="s">
        <v>2059</v>
      </c>
      <c r="H1470" s="1" t="s">
        <v>2085</v>
      </c>
      <c r="I1470" s="1">
        <v>2</v>
      </c>
      <c r="J1470" s="1">
        <v>9211.4</v>
      </c>
      <c r="K1470" s="1">
        <v>16</v>
      </c>
      <c r="L1470" s="1">
        <v>15475.15</v>
      </c>
      <c r="M1470" s="1">
        <v>1160.8900000000001</v>
      </c>
      <c r="N1470" s="1" t="s">
        <v>2092</v>
      </c>
    </row>
    <row r="1471" spans="1:14">
      <c r="A1471" s="1" t="s">
        <v>1483</v>
      </c>
      <c r="B1471" s="2">
        <v>45828</v>
      </c>
      <c r="C1471" s="1" t="s">
        <v>2017</v>
      </c>
      <c r="D1471" s="1" t="s">
        <v>2043</v>
      </c>
      <c r="E1471" s="1" t="s">
        <v>2048</v>
      </c>
      <c r="F1471" s="1" t="s">
        <v>2053</v>
      </c>
      <c r="G1471" s="1" t="s">
        <v>2073</v>
      </c>
      <c r="H1471" s="1" t="s">
        <v>2086</v>
      </c>
      <c r="I1471" s="1">
        <v>8</v>
      </c>
      <c r="J1471" s="1">
        <v>129.5</v>
      </c>
      <c r="K1471" s="1">
        <v>17.809999999999999</v>
      </c>
      <c r="L1471" s="1">
        <v>851.49</v>
      </c>
      <c r="M1471" s="1">
        <v>231.34</v>
      </c>
      <c r="N1471" s="1" t="s">
        <v>2089</v>
      </c>
    </row>
    <row r="1472" spans="1:14">
      <c r="A1472" s="1" t="s">
        <v>1484</v>
      </c>
      <c r="B1472" s="2">
        <v>45828</v>
      </c>
      <c r="C1472" s="1" t="s">
        <v>2017</v>
      </c>
      <c r="D1472" s="1" t="s">
        <v>2029</v>
      </c>
      <c r="E1472" s="1" t="s">
        <v>2045</v>
      </c>
      <c r="F1472" s="1" t="s">
        <v>2049</v>
      </c>
      <c r="G1472" s="1" t="s">
        <v>2074</v>
      </c>
      <c r="H1472" s="1" t="s">
        <v>2087</v>
      </c>
      <c r="I1472" s="1">
        <v>6</v>
      </c>
      <c r="J1472" s="1">
        <v>977.01</v>
      </c>
      <c r="K1472" s="1">
        <v>29.21</v>
      </c>
      <c r="L1472" s="1">
        <v>4149.75</v>
      </c>
      <c r="M1472" s="1">
        <v>506.2</v>
      </c>
      <c r="N1472" s="1" t="s">
        <v>2088</v>
      </c>
    </row>
    <row r="1473" spans="1:14">
      <c r="A1473" s="1" t="s">
        <v>1485</v>
      </c>
      <c r="B1473" s="2">
        <v>45829</v>
      </c>
      <c r="C1473" s="1" t="s">
        <v>2022</v>
      </c>
      <c r="D1473" s="1" t="s">
        <v>2030</v>
      </c>
      <c r="E1473" s="1" t="s">
        <v>2048</v>
      </c>
      <c r="F1473" s="1" t="s">
        <v>2051</v>
      </c>
      <c r="G1473" s="1" t="s">
        <v>2057</v>
      </c>
      <c r="H1473" s="1" t="s">
        <v>2085</v>
      </c>
      <c r="I1473" s="1">
        <v>8</v>
      </c>
      <c r="J1473" s="1">
        <v>21746.9</v>
      </c>
      <c r="K1473" s="1">
        <v>10.7</v>
      </c>
      <c r="L1473" s="1">
        <v>155359.85</v>
      </c>
      <c r="M1473" s="1">
        <v>38537.67</v>
      </c>
      <c r="N1473" s="1" t="s">
        <v>2091</v>
      </c>
    </row>
    <row r="1474" spans="1:14">
      <c r="A1474" s="1" t="s">
        <v>1486</v>
      </c>
      <c r="B1474" s="2">
        <v>45829</v>
      </c>
      <c r="C1474" s="1" t="s">
        <v>2016</v>
      </c>
      <c r="D1474" s="1" t="s">
        <v>2031</v>
      </c>
      <c r="E1474" s="1" t="s">
        <v>2045</v>
      </c>
      <c r="F1474" s="1" t="s">
        <v>2054</v>
      </c>
      <c r="G1474" s="1" t="s">
        <v>2081</v>
      </c>
      <c r="H1474" s="1" t="s">
        <v>2087</v>
      </c>
      <c r="I1474" s="1">
        <v>1</v>
      </c>
      <c r="J1474" s="1">
        <v>63249.39</v>
      </c>
      <c r="K1474" s="1">
        <v>3.91</v>
      </c>
      <c r="L1474" s="1">
        <v>60776.34</v>
      </c>
      <c r="M1474" s="1">
        <v>4273.78</v>
      </c>
      <c r="N1474" s="1" t="s">
        <v>2090</v>
      </c>
    </row>
    <row r="1475" spans="1:14">
      <c r="A1475" s="1" t="s">
        <v>1487</v>
      </c>
      <c r="B1475" s="2">
        <v>45829</v>
      </c>
      <c r="C1475" s="1" t="s">
        <v>2015</v>
      </c>
      <c r="D1475" s="1" t="s">
        <v>2032</v>
      </c>
      <c r="E1475" s="1" t="s">
        <v>2048</v>
      </c>
      <c r="F1475" s="1" t="s">
        <v>2052</v>
      </c>
      <c r="G1475" s="1" t="s">
        <v>2059</v>
      </c>
      <c r="H1475" s="1" t="s">
        <v>2086</v>
      </c>
      <c r="I1475" s="1">
        <v>4</v>
      </c>
      <c r="J1475" s="1">
        <v>4653.22</v>
      </c>
      <c r="K1475" s="1">
        <v>14.22</v>
      </c>
      <c r="L1475" s="1">
        <v>15966.13</v>
      </c>
      <c r="M1475" s="1">
        <v>2665.8</v>
      </c>
      <c r="N1475" s="1" t="s">
        <v>2088</v>
      </c>
    </row>
    <row r="1476" spans="1:14">
      <c r="A1476" s="1" t="s">
        <v>1488</v>
      </c>
      <c r="B1476" s="2">
        <v>45830</v>
      </c>
      <c r="C1476" s="1" t="s">
        <v>2027</v>
      </c>
      <c r="D1476" s="1" t="s">
        <v>2033</v>
      </c>
      <c r="E1476" s="1" t="s">
        <v>2048</v>
      </c>
      <c r="F1476" s="1" t="s">
        <v>2050</v>
      </c>
      <c r="G1476" s="1" t="s">
        <v>2084</v>
      </c>
      <c r="H1476" s="1" t="s">
        <v>2085</v>
      </c>
      <c r="I1476" s="1">
        <v>1</v>
      </c>
      <c r="J1476" s="1">
        <v>3585.39</v>
      </c>
      <c r="K1476" s="1">
        <v>19.05</v>
      </c>
      <c r="L1476" s="1">
        <v>2902.37</v>
      </c>
      <c r="M1476" s="1">
        <v>766.44</v>
      </c>
      <c r="N1476" s="1" t="s">
        <v>2088</v>
      </c>
    </row>
    <row r="1477" spans="1:14">
      <c r="A1477" s="1" t="s">
        <v>1489</v>
      </c>
      <c r="B1477" s="2">
        <v>45830</v>
      </c>
      <c r="C1477" s="1" t="s">
        <v>2018</v>
      </c>
      <c r="D1477" s="1" t="s">
        <v>2034</v>
      </c>
      <c r="E1477" s="1" t="s">
        <v>2047</v>
      </c>
      <c r="F1477" s="1" t="s">
        <v>2052</v>
      </c>
      <c r="G1477" s="1" t="s">
        <v>2072</v>
      </c>
      <c r="H1477" s="1" t="s">
        <v>2087</v>
      </c>
      <c r="I1477" s="1">
        <v>9</v>
      </c>
      <c r="J1477" s="1">
        <v>1288.75</v>
      </c>
      <c r="K1477" s="1">
        <v>7.32</v>
      </c>
      <c r="L1477" s="1">
        <v>10749.72</v>
      </c>
      <c r="M1477" s="1">
        <v>1338.01</v>
      </c>
      <c r="N1477" s="1" t="s">
        <v>2089</v>
      </c>
    </row>
    <row r="1478" spans="1:14">
      <c r="A1478" s="1" t="s">
        <v>1490</v>
      </c>
      <c r="B1478" s="2">
        <v>45831</v>
      </c>
      <c r="C1478" s="1" t="s">
        <v>2020</v>
      </c>
      <c r="D1478" s="1" t="s">
        <v>2035</v>
      </c>
      <c r="E1478" s="1" t="s">
        <v>2046</v>
      </c>
      <c r="F1478" s="1" t="s">
        <v>2053</v>
      </c>
      <c r="G1478" s="1" t="s">
        <v>2060</v>
      </c>
      <c r="H1478" s="1" t="s">
        <v>2086</v>
      </c>
      <c r="I1478" s="1">
        <v>9</v>
      </c>
      <c r="J1478" s="1">
        <v>1298.1099999999999</v>
      </c>
      <c r="K1478" s="1">
        <v>10.11</v>
      </c>
      <c r="L1478" s="1">
        <v>10501.84</v>
      </c>
      <c r="M1478" s="1">
        <v>1301.74</v>
      </c>
      <c r="N1478" s="1" t="s">
        <v>2088</v>
      </c>
    </row>
    <row r="1479" spans="1:14">
      <c r="A1479" s="1" t="s">
        <v>1491</v>
      </c>
      <c r="B1479" s="2">
        <v>45831</v>
      </c>
      <c r="C1479" s="1" t="s">
        <v>2027</v>
      </c>
      <c r="D1479" s="1" t="s">
        <v>2036</v>
      </c>
      <c r="E1479" s="1" t="s">
        <v>2044</v>
      </c>
      <c r="F1479" s="1" t="s">
        <v>2051</v>
      </c>
      <c r="G1479" s="1" t="s">
        <v>2080</v>
      </c>
      <c r="H1479" s="1" t="s">
        <v>2086</v>
      </c>
      <c r="I1479" s="1">
        <v>8</v>
      </c>
      <c r="J1479" s="1">
        <v>26859.46</v>
      </c>
      <c r="K1479" s="1">
        <v>15.8</v>
      </c>
      <c r="L1479" s="1">
        <v>180925.32</v>
      </c>
      <c r="M1479" s="1">
        <v>13386.47</v>
      </c>
      <c r="N1479" s="1" t="s">
        <v>2089</v>
      </c>
    </row>
    <row r="1480" spans="1:14">
      <c r="A1480" s="1" t="s">
        <v>1492</v>
      </c>
      <c r="B1480" s="2">
        <v>45831</v>
      </c>
      <c r="C1480" s="1" t="s">
        <v>2019</v>
      </c>
      <c r="D1480" s="1" t="s">
        <v>2037</v>
      </c>
      <c r="E1480" s="1" t="s">
        <v>2045</v>
      </c>
      <c r="F1480" s="1" t="s">
        <v>2049</v>
      </c>
      <c r="G1480" s="1" t="s">
        <v>2058</v>
      </c>
      <c r="H1480" s="1" t="s">
        <v>2086</v>
      </c>
      <c r="I1480" s="1">
        <v>6</v>
      </c>
      <c r="J1480" s="1">
        <v>721.17</v>
      </c>
      <c r="K1480" s="1">
        <v>3.06</v>
      </c>
      <c r="L1480" s="1">
        <v>4194.6099999999997</v>
      </c>
      <c r="M1480" s="1">
        <v>644.66999999999996</v>
      </c>
      <c r="N1480" s="1" t="s">
        <v>2088</v>
      </c>
    </row>
    <row r="1481" spans="1:14">
      <c r="A1481" s="1" t="s">
        <v>1493</v>
      </c>
      <c r="B1481" s="2">
        <v>45832</v>
      </c>
      <c r="C1481" s="1" t="s">
        <v>2015</v>
      </c>
      <c r="D1481" s="1" t="s">
        <v>2038</v>
      </c>
      <c r="E1481" s="1" t="s">
        <v>2047</v>
      </c>
      <c r="F1481" s="1" t="s">
        <v>2053</v>
      </c>
      <c r="G1481" s="1" t="s">
        <v>2062</v>
      </c>
      <c r="H1481" s="1" t="s">
        <v>2087</v>
      </c>
      <c r="I1481" s="1">
        <v>2</v>
      </c>
      <c r="J1481" s="1">
        <v>2474.04</v>
      </c>
      <c r="K1481" s="1">
        <v>26.22</v>
      </c>
      <c r="L1481" s="1">
        <v>3650.69</v>
      </c>
      <c r="M1481" s="1">
        <v>1093.18</v>
      </c>
      <c r="N1481" s="1" t="s">
        <v>2090</v>
      </c>
    </row>
    <row r="1482" spans="1:14">
      <c r="A1482" s="1" t="s">
        <v>1494</v>
      </c>
      <c r="B1482" s="2">
        <v>45832</v>
      </c>
      <c r="C1482" s="1" t="s">
        <v>2017</v>
      </c>
      <c r="D1482" s="1" t="s">
        <v>2039</v>
      </c>
      <c r="E1482" s="1" t="s">
        <v>2048</v>
      </c>
      <c r="F1482" s="1" t="s">
        <v>2052</v>
      </c>
      <c r="G1482" s="1" t="s">
        <v>2065</v>
      </c>
      <c r="H1482" s="1" t="s">
        <v>2087</v>
      </c>
      <c r="I1482" s="1">
        <v>9</v>
      </c>
      <c r="J1482" s="1">
        <v>1932.66</v>
      </c>
      <c r="K1482" s="1">
        <v>3.07</v>
      </c>
      <c r="L1482" s="1">
        <v>16859.95</v>
      </c>
      <c r="M1482" s="1">
        <v>3950.77</v>
      </c>
      <c r="N1482" s="1" t="s">
        <v>2092</v>
      </c>
    </row>
    <row r="1483" spans="1:14">
      <c r="A1483" s="1" t="s">
        <v>1495</v>
      </c>
      <c r="B1483" s="2">
        <v>45832</v>
      </c>
      <c r="C1483" s="1" t="s">
        <v>2014</v>
      </c>
      <c r="D1483" s="1" t="s">
        <v>2040</v>
      </c>
      <c r="E1483" s="1" t="s">
        <v>2045</v>
      </c>
      <c r="F1483" s="1" t="s">
        <v>2050</v>
      </c>
      <c r="G1483" s="1" t="s">
        <v>2084</v>
      </c>
      <c r="H1483" s="1" t="s">
        <v>2087</v>
      </c>
      <c r="I1483" s="1">
        <v>1</v>
      </c>
      <c r="J1483" s="1">
        <v>6579.99</v>
      </c>
      <c r="K1483" s="1">
        <v>20.58</v>
      </c>
      <c r="L1483" s="1">
        <v>5225.83</v>
      </c>
      <c r="M1483" s="1">
        <v>836.14</v>
      </c>
      <c r="N1483" s="1" t="s">
        <v>2092</v>
      </c>
    </row>
    <row r="1484" spans="1:14">
      <c r="A1484" s="1" t="s">
        <v>1496</v>
      </c>
      <c r="B1484" s="2">
        <v>45833</v>
      </c>
      <c r="C1484" s="1" t="s">
        <v>2021</v>
      </c>
      <c r="D1484" s="1" t="s">
        <v>2041</v>
      </c>
      <c r="E1484" s="1" t="s">
        <v>2046</v>
      </c>
      <c r="F1484" s="1" t="s">
        <v>2053</v>
      </c>
      <c r="G1484" s="1" t="s">
        <v>2062</v>
      </c>
      <c r="H1484" s="1" t="s">
        <v>2086</v>
      </c>
      <c r="I1484" s="1">
        <v>10</v>
      </c>
      <c r="J1484" s="1">
        <v>318.01</v>
      </c>
      <c r="K1484" s="1">
        <v>3.87</v>
      </c>
      <c r="L1484" s="1">
        <v>3057.03</v>
      </c>
      <c r="M1484" s="1">
        <v>335.98</v>
      </c>
      <c r="N1484" s="1" t="s">
        <v>2091</v>
      </c>
    </row>
    <row r="1485" spans="1:14">
      <c r="A1485" s="1" t="s">
        <v>1497</v>
      </c>
      <c r="B1485" s="2">
        <v>45833</v>
      </c>
      <c r="C1485" s="1" t="s">
        <v>2024</v>
      </c>
      <c r="D1485" s="1" t="s">
        <v>2042</v>
      </c>
      <c r="E1485" s="1" t="s">
        <v>2044</v>
      </c>
      <c r="F1485" s="1" t="s">
        <v>2050</v>
      </c>
      <c r="G1485" s="1" t="s">
        <v>2056</v>
      </c>
      <c r="H1485" s="1" t="s">
        <v>2085</v>
      </c>
      <c r="I1485" s="1">
        <v>8</v>
      </c>
      <c r="J1485" s="1">
        <v>5858.27</v>
      </c>
      <c r="K1485" s="1">
        <v>29.8</v>
      </c>
      <c r="L1485" s="1">
        <v>32900.04</v>
      </c>
      <c r="M1485" s="1">
        <v>2727.17</v>
      </c>
      <c r="N1485" s="1" t="s">
        <v>2092</v>
      </c>
    </row>
    <row r="1486" spans="1:14">
      <c r="A1486" s="1" t="s">
        <v>1498</v>
      </c>
      <c r="B1486" s="2">
        <v>45833</v>
      </c>
      <c r="C1486" s="1" t="s">
        <v>2026</v>
      </c>
      <c r="D1486" s="1" t="s">
        <v>2043</v>
      </c>
      <c r="E1486" s="1" t="s">
        <v>2046</v>
      </c>
      <c r="F1486" s="1" t="s">
        <v>2050</v>
      </c>
      <c r="G1486" s="1" t="s">
        <v>2070</v>
      </c>
      <c r="H1486" s="1" t="s">
        <v>2086</v>
      </c>
      <c r="I1486" s="1">
        <v>6</v>
      </c>
      <c r="J1486" s="1">
        <v>5524.17</v>
      </c>
      <c r="K1486" s="1">
        <v>28.62</v>
      </c>
      <c r="L1486" s="1">
        <v>23658.92</v>
      </c>
      <c r="M1486" s="1">
        <v>4205.3999999999996</v>
      </c>
      <c r="N1486" s="1" t="s">
        <v>2090</v>
      </c>
    </row>
    <row r="1487" spans="1:14">
      <c r="A1487" s="1" t="s">
        <v>1499</v>
      </c>
      <c r="B1487" s="2">
        <v>45834</v>
      </c>
      <c r="C1487" s="1" t="s">
        <v>2015</v>
      </c>
      <c r="D1487" s="1" t="s">
        <v>2029</v>
      </c>
      <c r="E1487" s="1" t="s">
        <v>2046</v>
      </c>
      <c r="F1487" s="1" t="s">
        <v>2053</v>
      </c>
      <c r="G1487" s="1" t="s">
        <v>2060</v>
      </c>
      <c r="H1487" s="1" t="s">
        <v>2085</v>
      </c>
      <c r="I1487" s="1">
        <v>7</v>
      </c>
      <c r="J1487" s="1">
        <v>1513.88</v>
      </c>
      <c r="K1487" s="1">
        <v>26.94</v>
      </c>
      <c r="L1487" s="1">
        <v>7742.29</v>
      </c>
      <c r="M1487" s="1">
        <v>1922.16</v>
      </c>
      <c r="N1487" s="1" t="s">
        <v>2090</v>
      </c>
    </row>
    <row r="1488" spans="1:14">
      <c r="A1488" s="1" t="s">
        <v>1500</v>
      </c>
      <c r="B1488" s="2">
        <v>45834</v>
      </c>
      <c r="C1488" s="1" t="s">
        <v>2020</v>
      </c>
      <c r="D1488" s="1" t="s">
        <v>2030</v>
      </c>
      <c r="E1488" s="1" t="s">
        <v>2044</v>
      </c>
      <c r="F1488" s="1" t="s">
        <v>2051</v>
      </c>
      <c r="G1488" s="1" t="s">
        <v>2077</v>
      </c>
      <c r="H1488" s="1" t="s">
        <v>2085</v>
      </c>
      <c r="I1488" s="1">
        <v>1</v>
      </c>
      <c r="J1488" s="1">
        <v>27488.7</v>
      </c>
      <c r="K1488" s="1">
        <v>26.2</v>
      </c>
      <c r="L1488" s="1">
        <v>20286.66</v>
      </c>
      <c r="M1488" s="1">
        <v>2905.41</v>
      </c>
      <c r="N1488" s="1" t="s">
        <v>2088</v>
      </c>
    </row>
    <row r="1489" spans="1:14">
      <c r="A1489" s="1" t="s">
        <v>1501</v>
      </c>
      <c r="B1489" s="2">
        <v>45835</v>
      </c>
      <c r="C1489" s="1" t="s">
        <v>2016</v>
      </c>
      <c r="D1489" s="1" t="s">
        <v>2031</v>
      </c>
      <c r="E1489" s="1" t="s">
        <v>2046</v>
      </c>
      <c r="F1489" s="1" t="s">
        <v>2051</v>
      </c>
      <c r="G1489" s="1" t="s">
        <v>2077</v>
      </c>
      <c r="H1489" s="1" t="s">
        <v>2086</v>
      </c>
      <c r="I1489" s="1">
        <v>5</v>
      </c>
      <c r="J1489" s="1">
        <v>28115.88</v>
      </c>
      <c r="K1489" s="1">
        <v>24.23</v>
      </c>
      <c r="L1489" s="1">
        <v>106517.01</v>
      </c>
      <c r="M1489" s="1">
        <v>22995.88</v>
      </c>
      <c r="N1489" s="1" t="s">
        <v>2090</v>
      </c>
    </row>
    <row r="1490" spans="1:14">
      <c r="A1490" s="1" t="s">
        <v>1502</v>
      </c>
      <c r="B1490" s="2">
        <v>45835</v>
      </c>
      <c r="C1490" s="1" t="s">
        <v>2025</v>
      </c>
      <c r="D1490" s="1" t="s">
        <v>2032</v>
      </c>
      <c r="E1490" s="1" t="s">
        <v>2045</v>
      </c>
      <c r="F1490" s="1" t="s">
        <v>2053</v>
      </c>
      <c r="G1490" s="1" t="s">
        <v>2067</v>
      </c>
      <c r="H1490" s="1" t="s">
        <v>2086</v>
      </c>
      <c r="I1490" s="1">
        <v>7</v>
      </c>
      <c r="J1490" s="1">
        <v>761.65</v>
      </c>
      <c r="K1490" s="1">
        <v>5.26</v>
      </c>
      <c r="L1490" s="1">
        <v>5051.1099999999997</v>
      </c>
      <c r="M1490" s="1">
        <v>1230.8599999999999</v>
      </c>
      <c r="N1490" s="1" t="s">
        <v>2090</v>
      </c>
    </row>
    <row r="1491" spans="1:14">
      <c r="A1491" s="1" t="s">
        <v>1503</v>
      </c>
      <c r="B1491" s="2">
        <v>45835</v>
      </c>
      <c r="C1491" s="1" t="s">
        <v>2016</v>
      </c>
      <c r="D1491" s="1" t="s">
        <v>2033</v>
      </c>
      <c r="E1491" s="1" t="s">
        <v>2047</v>
      </c>
      <c r="F1491" s="1" t="s">
        <v>2051</v>
      </c>
      <c r="G1491" s="1" t="s">
        <v>2057</v>
      </c>
      <c r="H1491" s="1" t="s">
        <v>2087</v>
      </c>
      <c r="I1491" s="1">
        <v>6</v>
      </c>
      <c r="J1491" s="1">
        <v>39127.660000000003</v>
      </c>
      <c r="K1491" s="1">
        <v>0.14000000000000001</v>
      </c>
      <c r="L1491" s="1">
        <v>234437.29</v>
      </c>
      <c r="M1491" s="1">
        <v>62926.99</v>
      </c>
      <c r="N1491" s="1" t="s">
        <v>2091</v>
      </c>
    </row>
    <row r="1492" spans="1:14">
      <c r="A1492" s="1" t="s">
        <v>1504</v>
      </c>
      <c r="B1492" s="2">
        <v>45836</v>
      </c>
      <c r="C1492" s="1" t="s">
        <v>2022</v>
      </c>
      <c r="D1492" s="1" t="s">
        <v>2034</v>
      </c>
      <c r="E1492" s="1" t="s">
        <v>2048</v>
      </c>
      <c r="F1492" s="1" t="s">
        <v>2049</v>
      </c>
      <c r="G1492" s="1" t="s">
        <v>2058</v>
      </c>
      <c r="H1492" s="1" t="s">
        <v>2085</v>
      </c>
      <c r="I1492" s="1">
        <v>7</v>
      </c>
      <c r="J1492" s="1">
        <v>2055.96</v>
      </c>
      <c r="K1492" s="1">
        <v>21.6</v>
      </c>
      <c r="L1492" s="1">
        <v>11283.11</v>
      </c>
      <c r="M1492" s="1">
        <v>803.84</v>
      </c>
      <c r="N1492" s="1" t="s">
        <v>2092</v>
      </c>
    </row>
    <row r="1493" spans="1:14">
      <c r="A1493" s="1" t="s">
        <v>1505</v>
      </c>
      <c r="B1493" s="2">
        <v>45836</v>
      </c>
      <c r="C1493" s="1" t="s">
        <v>2024</v>
      </c>
      <c r="D1493" s="1" t="s">
        <v>2035</v>
      </c>
      <c r="E1493" s="1" t="s">
        <v>2047</v>
      </c>
      <c r="F1493" s="1" t="s">
        <v>2051</v>
      </c>
      <c r="G1493" s="1" t="s">
        <v>2069</v>
      </c>
      <c r="H1493" s="1" t="s">
        <v>2087</v>
      </c>
      <c r="I1493" s="1">
        <v>5</v>
      </c>
      <c r="J1493" s="1">
        <v>31871.43</v>
      </c>
      <c r="K1493" s="1">
        <v>3.46</v>
      </c>
      <c r="L1493" s="1">
        <v>153843.39000000001</v>
      </c>
      <c r="M1493" s="1">
        <v>43370.09</v>
      </c>
      <c r="N1493" s="1" t="s">
        <v>2091</v>
      </c>
    </row>
    <row r="1494" spans="1:14">
      <c r="A1494" s="1" t="s">
        <v>1506</v>
      </c>
      <c r="B1494" s="2">
        <v>45836</v>
      </c>
      <c r="C1494" s="1" t="s">
        <v>2024</v>
      </c>
      <c r="D1494" s="1" t="s">
        <v>2036</v>
      </c>
      <c r="E1494" s="1" t="s">
        <v>2047</v>
      </c>
      <c r="F1494" s="1" t="s">
        <v>2054</v>
      </c>
      <c r="G1494" s="1" t="s">
        <v>2068</v>
      </c>
      <c r="H1494" s="1" t="s">
        <v>2086</v>
      </c>
      <c r="I1494" s="1">
        <v>9</v>
      </c>
      <c r="J1494" s="1">
        <v>6278.24</v>
      </c>
      <c r="K1494" s="1">
        <v>25.1</v>
      </c>
      <c r="L1494" s="1">
        <v>42321.62</v>
      </c>
      <c r="M1494" s="1">
        <v>3962.85</v>
      </c>
      <c r="N1494" s="1" t="s">
        <v>2090</v>
      </c>
    </row>
    <row r="1495" spans="1:14">
      <c r="A1495" s="1" t="s">
        <v>1507</v>
      </c>
      <c r="B1495" s="2">
        <v>45837</v>
      </c>
      <c r="C1495" s="1" t="s">
        <v>2014</v>
      </c>
      <c r="D1495" s="1" t="s">
        <v>2037</v>
      </c>
      <c r="E1495" s="1" t="s">
        <v>2044</v>
      </c>
      <c r="F1495" s="1" t="s">
        <v>2053</v>
      </c>
      <c r="G1495" s="1" t="s">
        <v>2067</v>
      </c>
      <c r="H1495" s="1" t="s">
        <v>2087</v>
      </c>
      <c r="I1495" s="1">
        <v>6</v>
      </c>
      <c r="J1495" s="1">
        <v>245.07</v>
      </c>
      <c r="K1495" s="1">
        <v>22.47</v>
      </c>
      <c r="L1495" s="1">
        <v>1140.02</v>
      </c>
      <c r="M1495" s="1">
        <v>218.08</v>
      </c>
      <c r="N1495" s="1" t="s">
        <v>2091</v>
      </c>
    </row>
    <row r="1496" spans="1:14">
      <c r="A1496" s="1" t="s">
        <v>1508</v>
      </c>
      <c r="B1496" s="2">
        <v>45837</v>
      </c>
      <c r="C1496" s="1" t="s">
        <v>2020</v>
      </c>
      <c r="D1496" s="1" t="s">
        <v>2038</v>
      </c>
      <c r="E1496" s="1" t="s">
        <v>2047</v>
      </c>
      <c r="F1496" s="1" t="s">
        <v>2052</v>
      </c>
      <c r="G1496" s="1" t="s">
        <v>2083</v>
      </c>
      <c r="H1496" s="1" t="s">
        <v>2086</v>
      </c>
      <c r="I1496" s="1">
        <v>5</v>
      </c>
      <c r="J1496" s="1">
        <v>8793.11</v>
      </c>
      <c r="K1496" s="1">
        <v>16.309999999999999</v>
      </c>
      <c r="L1496" s="1">
        <v>36794.769999999997</v>
      </c>
      <c r="M1496" s="1">
        <v>4031.44</v>
      </c>
      <c r="N1496" s="1" t="s">
        <v>2092</v>
      </c>
    </row>
    <row r="1497" spans="1:14">
      <c r="A1497" s="1" t="s">
        <v>1509</v>
      </c>
      <c r="B1497" s="2">
        <v>45837</v>
      </c>
      <c r="C1497" s="1" t="s">
        <v>2020</v>
      </c>
      <c r="D1497" s="1" t="s">
        <v>2039</v>
      </c>
      <c r="E1497" s="1" t="s">
        <v>2048</v>
      </c>
      <c r="F1497" s="1" t="s">
        <v>2053</v>
      </c>
      <c r="G1497" s="1" t="s">
        <v>2060</v>
      </c>
      <c r="H1497" s="1" t="s">
        <v>2087</v>
      </c>
      <c r="I1497" s="1">
        <v>3</v>
      </c>
      <c r="J1497" s="1">
        <v>1564.99</v>
      </c>
      <c r="K1497" s="1">
        <v>21.92</v>
      </c>
      <c r="L1497" s="1">
        <v>3665.83</v>
      </c>
      <c r="M1497" s="1">
        <v>1093.69</v>
      </c>
      <c r="N1497" s="1" t="s">
        <v>2090</v>
      </c>
    </row>
    <row r="1498" spans="1:14">
      <c r="A1498" s="1" t="s">
        <v>1510</v>
      </c>
      <c r="B1498" s="2">
        <v>45838</v>
      </c>
      <c r="C1498" s="1" t="s">
        <v>2024</v>
      </c>
      <c r="D1498" s="1" t="s">
        <v>2040</v>
      </c>
      <c r="E1498" s="1" t="s">
        <v>2044</v>
      </c>
      <c r="F1498" s="1" t="s">
        <v>2051</v>
      </c>
      <c r="G1498" s="1" t="s">
        <v>2080</v>
      </c>
      <c r="H1498" s="1" t="s">
        <v>2085</v>
      </c>
      <c r="I1498" s="1">
        <v>7</v>
      </c>
      <c r="J1498" s="1">
        <v>36066.67</v>
      </c>
      <c r="K1498" s="1">
        <v>21.8</v>
      </c>
      <c r="L1498" s="1">
        <v>197428.95</v>
      </c>
      <c r="M1498" s="1">
        <v>35030.93</v>
      </c>
      <c r="N1498" s="1" t="s">
        <v>2088</v>
      </c>
    </row>
    <row r="1499" spans="1:14">
      <c r="A1499" s="1" t="s">
        <v>1511</v>
      </c>
      <c r="B1499" s="2">
        <v>45838</v>
      </c>
      <c r="C1499" s="1" t="s">
        <v>2020</v>
      </c>
      <c r="D1499" s="1" t="s">
        <v>2041</v>
      </c>
      <c r="E1499" s="1" t="s">
        <v>2048</v>
      </c>
      <c r="F1499" s="1" t="s">
        <v>2051</v>
      </c>
      <c r="G1499" s="1" t="s">
        <v>2080</v>
      </c>
      <c r="H1499" s="1" t="s">
        <v>2086</v>
      </c>
      <c r="I1499" s="1">
        <v>6</v>
      </c>
      <c r="J1499" s="1">
        <v>23421.51</v>
      </c>
      <c r="K1499" s="1">
        <v>6.37</v>
      </c>
      <c r="L1499" s="1">
        <v>131577.35999999999</v>
      </c>
      <c r="M1499" s="1">
        <v>13431.64</v>
      </c>
      <c r="N1499" s="1" t="s">
        <v>2089</v>
      </c>
    </row>
    <row r="1500" spans="1:14">
      <c r="A1500" s="1" t="s">
        <v>1512</v>
      </c>
      <c r="B1500" s="2">
        <v>45839</v>
      </c>
      <c r="C1500" s="1" t="s">
        <v>2026</v>
      </c>
      <c r="D1500" s="1" t="s">
        <v>2042</v>
      </c>
      <c r="E1500" s="1" t="s">
        <v>2045</v>
      </c>
      <c r="F1500" s="1" t="s">
        <v>2054</v>
      </c>
      <c r="G1500" s="1" t="s">
        <v>2081</v>
      </c>
      <c r="H1500" s="1" t="s">
        <v>2086</v>
      </c>
      <c r="I1500" s="1">
        <v>3</v>
      </c>
      <c r="J1500" s="1">
        <v>78190.7</v>
      </c>
      <c r="K1500" s="1">
        <v>25.9</v>
      </c>
      <c r="L1500" s="1">
        <v>173817.93</v>
      </c>
      <c r="M1500" s="1">
        <v>22728.59</v>
      </c>
      <c r="N1500" s="1" t="s">
        <v>2089</v>
      </c>
    </row>
    <row r="1501" spans="1:14">
      <c r="A1501" s="1" t="s">
        <v>1513</v>
      </c>
      <c r="B1501" s="2">
        <v>45839</v>
      </c>
      <c r="C1501" s="1" t="s">
        <v>2022</v>
      </c>
      <c r="D1501" s="1" t="s">
        <v>2043</v>
      </c>
      <c r="E1501" s="1" t="s">
        <v>2048</v>
      </c>
      <c r="F1501" s="1" t="s">
        <v>2050</v>
      </c>
      <c r="G1501" s="1" t="s">
        <v>2084</v>
      </c>
      <c r="H1501" s="1" t="s">
        <v>2085</v>
      </c>
      <c r="I1501" s="1">
        <v>3</v>
      </c>
      <c r="J1501" s="1">
        <v>7387.64</v>
      </c>
      <c r="K1501" s="1">
        <v>21.72</v>
      </c>
      <c r="L1501" s="1">
        <v>17349.13</v>
      </c>
      <c r="M1501" s="1">
        <v>3738.52</v>
      </c>
      <c r="N1501" s="1" t="s">
        <v>2092</v>
      </c>
    </row>
    <row r="1502" spans="1:14">
      <c r="A1502" s="1" t="s">
        <v>1514</v>
      </c>
      <c r="B1502" s="2">
        <v>45839</v>
      </c>
      <c r="C1502" s="1" t="s">
        <v>2015</v>
      </c>
      <c r="D1502" s="1" t="s">
        <v>2029</v>
      </c>
      <c r="E1502" s="1" t="s">
        <v>2044</v>
      </c>
      <c r="F1502" s="1" t="s">
        <v>2054</v>
      </c>
      <c r="G1502" s="1" t="s">
        <v>2063</v>
      </c>
      <c r="H1502" s="1" t="s">
        <v>2085</v>
      </c>
      <c r="I1502" s="1">
        <v>7</v>
      </c>
      <c r="J1502" s="1">
        <v>28057.91</v>
      </c>
      <c r="K1502" s="1">
        <v>6.05</v>
      </c>
      <c r="L1502" s="1">
        <v>184522.85</v>
      </c>
      <c r="M1502" s="1">
        <v>46479.26</v>
      </c>
      <c r="N1502" s="1" t="s">
        <v>2090</v>
      </c>
    </row>
    <row r="1503" spans="1:14">
      <c r="A1503" s="1" t="s">
        <v>1515</v>
      </c>
      <c r="B1503" s="2">
        <v>45840</v>
      </c>
      <c r="C1503" s="1" t="s">
        <v>2021</v>
      </c>
      <c r="D1503" s="1" t="s">
        <v>2030</v>
      </c>
      <c r="E1503" s="1" t="s">
        <v>2047</v>
      </c>
      <c r="F1503" s="1" t="s">
        <v>2053</v>
      </c>
      <c r="G1503" s="1" t="s">
        <v>2062</v>
      </c>
      <c r="H1503" s="1" t="s">
        <v>2086</v>
      </c>
      <c r="I1503" s="1">
        <v>5</v>
      </c>
      <c r="J1503" s="1">
        <v>1418.2</v>
      </c>
      <c r="K1503" s="1">
        <v>8.19</v>
      </c>
      <c r="L1503" s="1">
        <v>6510.25</v>
      </c>
      <c r="M1503" s="1">
        <v>723.46</v>
      </c>
      <c r="N1503" s="1" t="s">
        <v>2089</v>
      </c>
    </row>
    <row r="1504" spans="1:14">
      <c r="A1504" s="1" t="s">
        <v>1516</v>
      </c>
      <c r="B1504" s="2">
        <v>45840</v>
      </c>
      <c r="C1504" s="1" t="s">
        <v>2027</v>
      </c>
      <c r="D1504" s="1" t="s">
        <v>2031</v>
      </c>
      <c r="E1504" s="1" t="s">
        <v>2045</v>
      </c>
      <c r="F1504" s="1" t="s">
        <v>2051</v>
      </c>
      <c r="G1504" s="1" t="s">
        <v>2057</v>
      </c>
      <c r="H1504" s="1" t="s">
        <v>2087</v>
      </c>
      <c r="I1504" s="1">
        <v>3</v>
      </c>
      <c r="J1504" s="1">
        <v>14465.71</v>
      </c>
      <c r="K1504" s="1">
        <v>10.199999999999999</v>
      </c>
      <c r="L1504" s="1">
        <v>38970.620000000003</v>
      </c>
      <c r="M1504" s="1">
        <v>10716.45</v>
      </c>
      <c r="N1504" s="1" t="s">
        <v>2088</v>
      </c>
    </row>
    <row r="1505" spans="1:14">
      <c r="A1505" s="1" t="s">
        <v>1517</v>
      </c>
      <c r="B1505" s="2">
        <v>45840</v>
      </c>
      <c r="C1505" s="1" t="s">
        <v>2024</v>
      </c>
      <c r="D1505" s="1" t="s">
        <v>2032</v>
      </c>
      <c r="E1505" s="1" t="s">
        <v>2048</v>
      </c>
      <c r="F1505" s="1" t="s">
        <v>2051</v>
      </c>
      <c r="G1505" s="1" t="s">
        <v>2077</v>
      </c>
      <c r="H1505" s="1" t="s">
        <v>2086</v>
      </c>
      <c r="I1505" s="1">
        <v>8</v>
      </c>
      <c r="J1505" s="1">
        <v>17818.59</v>
      </c>
      <c r="K1505" s="1">
        <v>20.61</v>
      </c>
      <c r="L1505" s="1">
        <v>113169.43</v>
      </c>
      <c r="M1505" s="1">
        <v>13842.95</v>
      </c>
      <c r="N1505" s="1" t="s">
        <v>2090</v>
      </c>
    </row>
    <row r="1506" spans="1:14">
      <c r="A1506" s="1" t="s">
        <v>1518</v>
      </c>
      <c r="B1506" s="2">
        <v>45841</v>
      </c>
      <c r="C1506" s="1" t="s">
        <v>2018</v>
      </c>
      <c r="D1506" s="1" t="s">
        <v>2033</v>
      </c>
      <c r="E1506" s="1" t="s">
        <v>2048</v>
      </c>
      <c r="F1506" s="1" t="s">
        <v>2051</v>
      </c>
      <c r="G1506" s="1" t="s">
        <v>2077</v>
      </c>
      <c r="H1506" s="1" t="s">
        <v>2087</v>
      </c>
      <c r="I1506" s="1">
        <v>4</v>
      </c>
      <c r="J1506" s="1">
        <v>31157.77</v>
      </c>
      <c r="K1506" s="1">
        <v>27.97</v>
      </c>
      <c r="L1506" s="1">
        <v>89771.77</v>
      </c>
      <c r="M1506" s="1">
        <v>20357.91</v>
      </c>
      <c r="N1506" s="1" t="s">
        <v>2090</v>
      </c>
    </row>
    <row r="1507" spans="1:14">
      <c r="A1507" s="1" t="s">
        <v>1519</v>
      </c>
      <c r="B1507" s="2">
        <v>45841</v>
      </c>
      <c r="C1507" s="1" t="s">
        <v>2018</v>
      </c>
      <c r="D1507" s="1" t="s">
        <v>2034</v>
      </c>
      <c r="E1507" s="1" t="s">
        <v>2045</v>
      </c>
      <c r="F1507" s="1" t="s">
        <v>2051</v>
      </c>
      <c r="G1507" s="1" t="s">
        <v>2080</v>
      </c>
      <c r="H1507" s="1" t="s">
        <v>2087</v>
      </c>
      <c r="I1507" s="1">
        <v>10</v>
      </c>
      <c r="J1507" s="1">
        <v>31769.08</v>
      </c>
      <c r="K1507" s="1">
        <v>22.8</v>
      </c>
      <c r="L1507" s="1">
        <v>245257.3</v>
      </c>
      <c r="M1507" s="1">
        <v>33661.25</v>
      </c>
      <c r="N1507" s="1" t="s">
        <v>2091</v>
      </c>
    </row>
    <row r="1508" spans="1:14">
      <c r="A1508" s="1" t="s">
        <v>1520</v>
      </c>
      <c r="B1508" s="2">
        <v>45841</v>
      </c>
      <c r="C1508" s="1" t="s">
        <v>2022</v>
      </c>
      <c r="D1508" s="1" t="s">
        <v>2035</v>
      </c>
      <c r="E1508" s="1" t="s">
        <v>2047</v>
      </c>
      <c r="F1508" s="1" t="s">
        <v>2050</v>
      </c>
      <c r="G1508" s="1" t="s">
        <v>2075</v>
      </c>
      <c r="H1508" s="1" t="s">
        <v>2087</v>
      </c>
      <c r="I1508" s="1">
        <v>3</v>
      </c>
      <c r="J1508" s="1">
        <v>2043.62</v>
      </c>
      <c r="K1508" s="1">
        <v>17.38</v>
      </c>
      <c r="L1508" s="1">
        <v>5065.32</v>
      </c>
      <c r="M1508" s="1">
        <v>986.08</v>
      </c>
      <c r="N1508" s="1" t="s">
        <v>2088</v>
      </c>
    </row>
    <row r="1509" spans="1:14">
      <c r="A1509" s="1" t="s">
        <v>1521</v>
      </c>
      <c r="B1509" s="2">
        <v>45842</v>
      </c>
      <c r="C1509" s="1" t="s">
        <v>2024</v>
      </c>
      <c r="D1509" s="1" t="s">
        <v>2036</v>
      </c>
      <c r="E1509" s="1" t="s">
        <v>2046</v>
      </c>
      <c r="F1509" s="1" t="s">
        <v>2054</v>
      </c>
      <c r="G1509" s="1" t="s">
        <v>2081</v>
      </c>
      <c r="H1509" s="1" t="s">
        <v>2087</v>
      </c>
      <c r="I1509" s="1">
        <v>2</v>
      </c>
      <c r="J1509" s="1">
        <v>9527.59</v>
      </c>
      <c r="K1509" s="1">
        <v>3.42</v>
      </c>
      <c r="L1509" s="1">
        <v>18403.490000000002</v>
      </c>
      <c r="M1509" s="1">
        <v>2519.77</v>
      </c>
      <c r="N1509" s="1" t="s">
        <v>2090</v>
      </c>
    </row>
    <row r="1510" spans="1:14">
      <c r="A1510" s="1" t="s">
        <v>1522</v>
      </c>
      <c r="B1510" s="2">
        <v>45842</v>
      </c>
      <c r="C1510" s="1" t="s">
        <v>2027</v>
      </c>
      <c r="D1510" s="1" t="s">
        <v>2037</v>
      </c>
      <c r="E1510" s="1" t="s">
        <v>2045</v>
      </c>
      <c r="F1510" s="1" t="s">
        <v>2054</v>
      </c>
      <c r="G1510" s="1" t="s">
        <v>2081</v>
      </c>
      <c r="H1510" s="1" t="s">
        <v>2085</v>
      </c>
      <c r="I1510" s="1">
        <v>3</v>
      </c>
      <c r="J1510" s="1">
        <v>8520.1200000000008</v>
      </c>
      <c r="K1510" s="1">
        <v>17.62</v>
      </c>
      <c r="L1510" s="1">
        <v>21056.62</v>
      </c>
      <c r="M1510" s="1">
        <v>3433.19</v>
      </c>
      <c r="N1510" s="1" t="s">
        <v>2091</v>
      </c>
    </row>
    <row r="1511" spans="1:14">
      <c r="A1511" s="1" t="s">
        <v>1523</v>
      </c>
      <c r="B1511" s="2">
        <v>45843</v>
      </c>
      <c r="C1511" s="1" t="s">
        <v>2018</v>
      </c>
      <c r="D1511" s="1" t="s">
        <v>2038</v>
      </c>
      <c r="E1511" s="1" t="s">
        <v>2048</v>
      </c>
      <c r="F1511" s="1" t="s">
        <v>2050</v>
      </c>
      <c r="G1511" s="1" t="s">
        <v>2056</v>
      </c>
      <c r="H1511" s="1" t="s">
        <v>2085</v>
      </c>
      <c r="I1511" s="1">
        <v>9</v>
      </c>
      <c r="J1511" s="1">
        <v>517.64</v>
      </c>
      <c r="K1511" s="1">
        <v>0.45</v>
      </c>
      <c r="L1511" s="1">
        <v>4637.8</v>
      </c>
      <c r="M1511" s="1">
        <v>381.93</v>
      </c>
      <c r="N1511" s="1" t="s">
        <v>2089</v>
      </c>
    </row>
    <row r="1512" spans="1:14">
      <c r="A1512" s="1" t="s">
        <v>1524</v>
      </c>
      <c r="B1512" s="2">
        <v>45843</v>
      </c>
      <c r="C1512" s="1" t="s">
        <v>2018</v>
      </c>
      <c r="D1512" s="1" t="s">
        <v>2039</v>
      </c>
      <c r="E1512" s="1" t="s">
        <v>2047</v>
      </c>
      <c r="F1512" s="1" t="s">
        <v>2054</v>
      </c>
      <c r="G1512" s="1" t="s">
        <v>2079</v>
      </c>
      <c r="H1512" s="1" t="s">
        <v>2085</v>
      </c>
      <c r="I1512" s="1">
        <v>2</v>
      </c>
      <c r="J1512" s="1">
        <v>6673.01</v>
      </c>
      <c r="K1512" s="1">
        <v>11.75</v>
      </c>
      <c r="L1512" s="1">
        <v>11777.86</v>
      </c>
      <c r="M1512" s="1">
        <v>1042.27</v>
      </c>
      <c r="N1512" s="1" t="s">
        <v>2089</v>
      </c>
    </row>
    <row r="1513" spans="1:14">
      <c r="A1513" s="1" t="s">
        <v>1525</v>
      </c>
      <c r="B1513" s="2">
        <v>45843</v>
      </c>
      <c r="C1513" s="1" t="s">
        <v>2028</v>
      </c>
      <c r="D1513" s="1" t="s">
        <v>2040</v>
      </c>
      <c r="E1513" s="1" t="s">
        <v>2047</v>
      </c>
      <c r="F1513" s="1" t="s">
        <v>2052</v>
      </c>
      <c r="G1513" s="1" t="s">
        <v>2078</v>
      </c>
      <c r="H1513" s="1" t="s">
        <v>2087</v>
      </c>
      <c r="I1513" s="1">
        <v>4</v>
      </c>
      <c r="J1513" s="1">
        <v>6217.51</v>
      </c>
      <c r="K1513" s="1">
        <v>25.83</v>
      </c>
      <c r="L1513" s="1">
        <v>18446.11</v>
      </c>
      <c r="M1513" s="1">
        <v>4395.7700000000004</v>
      </c>
      <c r="N1513" s="1" t="s">
        <v>2091</v>
      </c>
    </row>
    <row r="1514" spans="1:14">
      <c r="A1514" s="1" t="s">
        <v>1526</v>
      </c>
      <c r="B1514" s="2">
        <v>45844</v>
      </c>
      <c r="C1514" s="1" t="s">
        <v>2017</v>
      </c>
      <c r="D1514" s="1" t="s">
        <v>2041</v>
      </c>
      <c r="E1514" s="1" t="s">
        <v>2046</v>
      </c>
      <c r="F1514" s="1" t="s">
        <v>2051</v>
      </c>
      <c r="G1514" s="1" t="s">
        <v>2080</v>
      </c>
      <c r="H1514" s="1" t="s">
        <v>2085</v>
      </c>
      <c r="I1514" s="1">
        <v>3</v>
      </c>
      <c r="J1514" s="1">
        <v>16286.29</v>
      </c>
      <c r="K1514" s="1">
        <v>15.4</v>
      </c>
      <c r="L1514" s="1">
        <v>41334.6</v>
      </c>
      <c r="M1514" s="1">
        <v>10432.719999999999</v>
      </c>
      <c r="N1514" s="1" t="s">
        <v>2089</v>
      </c>
    </row>
    <row r="1515" spans="1:14">
      <c r="A1515" s="1" t="s">
        <v>1527</v>
      </c>
      <c r="B1515" s="2">
        <v>45844</v>
      </c>
      <c r="C1515" s="1" t="s">
        <v>2023</v>
      </c>
      <c r="D1515" s="1" t="s">
        <v>2042</v>
      </c>
      <c r="E1515" s="1" t="s">
        <v>2046</v>
      </c>
      <c r="F1515" s="1" t="s">
        <v>2053</v>
      </c>
      <c r="G1515" s="1" t="s">
        <v>2062</v>
      </c>
      <c r="H1515" s="1" t="s">
        <v>2085</v>
      </c>
      <c r="I1515" s="1">
        <v>5</v>
      </c>
      <c r="J1515" s="1">
        <v>274.44</v>
      </c>
      <c r="K1515" s="1">
        <v>21.42</v>
      </c>
      <c r="L1515" s="1">
        <v>1078.27</v>
      </c>
      <c r="M1515" s="1">
        <v>243.38</v>
      </c>
      <c r="N1515" s="1" t="s">
        <v>2090</v>
      </c>
    </row>
    <row r="1516" spans="1:14">
      <c r="A1516" s="1" t="s">
        <v>1528</v>
      </c>
      <c r="B1516" s="2">
        <v>45844</v>
      </c>
      <c r="C1516" s="1" t="s">
        <v>2024</v>
      </c>
      <c r="D1516" s="1" t="s">
        <v>2043</v>
      </c>
      <c r="E1516" s="1" t="s">
        <v>2045</v>
      </c>
      <c r="F1516" s="1" t="s">
        <v>2054</v>
      </c>
      <c r="G1516" s="1" t="s">
        <v>2081</v>
      </c>
      <c r="H1516" s="1" t="s">
        <v>2086</v>
      </c>
      <c r="I1516" s="1">
        <v>6</v>
      </c>
      <c r="J1516" s="1">
        <v>75330.100000000006</v>
      </c>
      <c r="K1516" s="1">
        <v>17.66</v>
      </c>
      <c r="L1516" s="1">
        <v>372160.83</v>
      </c>
      <c r="M1516" s="1">
        <v>47561.45</v>
      </c>
      <c r="N1516" s="1" t="s">
        <v>2090</v>
      </c>
    </row>
    <row r="1517" spans="1:14">
      <c r="A1517" s="1" t="s">
        <v>1529</v>
      </c>
      <c r="B1517" s="2">
        <v>45845</v>
      </c>
      <c r="C1517" s="1" t="s">
        <v>2021</v>
      </c>
      <c r="D1517" s="1" t="s">
        <v>2029</v>
      </c>
      <c r="E1517" s="1" t="s">
        <v>2048</v>
      </c>
      <c r="F1517" s="1" t="s">
        <v>2053</v>
      </c>
      <c r="G1517" s="1" t="s">
        <v>2062</v>
      </c>
      <c r="H1517" s="1" t="s">
        <v>2086</v>
      </c>
      <c r="I1517" s="1">
        <v>8</v>
      </c>
      <c r="J1517" s="1">
        <v>1306.1600000000001</v>
      </c>
      <c r="K1517" s="1">
        <v>5.27</v>
      </c>
      <c r="L1517" s="1">
        <v>9898.6</v>
      </c>
      <c r="M1517" s="1">
        <v>2124.79</v>
      </c>
      <c r="N1517" s="1" t="s">
        <v>2090</v>
      </c>
    </row>
    <row r="1518" spans="1:14">
      <c r="A1518" s="1" t="s">
        <v>1530</v>
      </c>
      <c r="B1518" s="2">
        <v>45845</v>
      </c>
      <c r="C1518" s="1" t="s">
        <v>2020</v>
      </c>
      <c r="D1518" s="1" t="s">
        <v>2030</v>
      </c>
      <c r="E1518" s="1" t="s">
        <v>2044</v>
      </c>
      <c r="F1518" s="1" t="s">
        <v>2054</v>
      </c>
      <c r="G1518" s="1" t="s">
        <v>2081</v>
      </c>
      <c r="H1518" s="1" t="s">
        <v>2086</v>
      </c>
      <c r="I1518" s="1">
        <v>3</v>
      </c>
      <c r="J1518" s="1">
        <v>18991.27</v>
      </c>
      <c r="K1518" s="1">
        <v>18.510000000000002</v>
      </c>
      <c r="L1518" s="1">
        <v>46427.96</v>
      </c>
      <c r="M1518" s="1">
        <v>8229.3799999999992</v>
      </c>
      <c r="N1518" s="1" t="s">
        <v>2091</v>
      </c>
    </row>
    <row r="1519" spans="1:14">
      <c r="A1519" s="1" t="s">
        <v>1531</v>
      </c>
      <c r="B1519" s="2">
        <v>45845</v>
      </c>
      <c r="C1519" s="1" t="s">
        <v>2018</v>
      </c>
      <c r="D1519" s="1" t="s">
        <v>2031</v>
      </c>
      <c r="E1519" s="1" t="s">
        <v>2048</v>
      </c>
      <c r="F1519" s="1" t="s">
        <v>2051</v>
      </c>
      <c r="G1519" s="1" t="s">
        <v>2057</v>
      </c>
      <c r="H1519" s="1" t="s">
        <v>2087</v>
      </c>
      <c r="I1519" s="1">
        <v>2</v>
      </c>
      <c r="J1519" s="1">
        <v>1193.93</v>
      </c>
      <c r="K1519" s="1">
        <v>20.34</v>
      </c>
      <c r="L1519" s="1">
        <v>1902.17</v>
      </c>
      <c r="M1519" s="1">
        <v>356.61</v>
      </c>
      <c r="N1519" s="1" t="s">
        <v>2092</v>
      </c>
    </row>
    <row r="1520" spans="1:14">
      <c r="A1520" s="1" t="s">
        <v>1532</v>
      </c>
      <c r="B1520" s="2">
        <v>45846</v>
      </c>
      <c r="C1520" s="1" t="s">
        <v>2023</v>
      </c>
      <c r="D1520" s="1" t="s">
        <v>2032</v>
      </c>
      <c r="E1520" s="1" t="s">
        <v>2048</v>
      </c>
      <c r="F1520" s="1" t="s">
        <v>2054</v>
      </c>
      <c r="G1520" s="1" t="s">
        <v>2068</v>
      </c>
      <c r="H1520" s="1" t="s">
        <v>2087</v>
      </c>
      <c r="I1520" s="1">
        <v>1</v>
      </c>
      <c r="J1520" s="1">
        <v>39096.92</v>
      </c>
      <c r="K1520" s="1">
        <v>10.06</v>
      </c>
      <c r="L1520" s="1">
        <v>35163.769999999997</v>
      </c>
      <c r="M1520" s="1">
        <v>2482.15</v>
      </c>
      <c r="N1520" s="1" t="s">
        <v>2091</v>
      </c>
    </row>
    <row r="1521" spans="1:14">
      <c r="A1521" s="1" t="s">
        <v>1533</v>
      </c>
      <c r="B1521" s="2">
        <v>45846</v>
      </c>
      <c r="C1521" s="1" t="s">
        <v>2014</v>
      </c>
      <c r="D1521" s="1" t="s">
        <v>2033</v>
      </c>
      <c r="E1521" s="1" t="s">
        <v>2046</v>
      </c>
      <c r="F1521" s="1" t="s">
        <v>2049</v>
      </c>
      <c r="G1521" s="1" t="s">
        <v>2055</v>
      </c>
      <c r="H1521" s="1" t="s">
        <v>2087</v>
      </c>
      <c r="I1521" s="1">
        <v>9</v>
      </c>
      <c r="J1521" s="1">
        <v>568.64</v>
      </c>
      <c r="K1521" s="1">
        <v>9.68</v>
      </c>
      <c r="L1521" s="1">
        <v>4622.3599999999997</v>
      </c>
      <c r="M1521" s="1">
        <v>309.18</v>
      </c>
      <c r="N1521" s="1" t="s">
        <v>2090</v>
      </c>
    </row>
    <row r="1522" spans="1:14">
      <c r="A1522" s="1" t="s">
        <v>1534</v>
      </c>
      <c r="B1522" s="2">
        <v>45847</v>
      </c>
      <c r="C1522" s="1" t="s">
        <v>2028</v>
      </c>
      <c r="D1522" s="1" t="s">
        <v>2034</v>
      </c>
      <c r="E1522" s="1" t="s">
        <v>2048</v>
      </c>
      <c r="F1522" s="1" t="s">
        <v>2054</v>
      </c>
      <c r="G1522" s="1" t="s">
        <v>2081</v>
      </c>
      <c r="H1522" s="1" t="s">
        <v>2085</v>
      </c>
      <c r="I1522" s="1">
        <v>8</v>
      </c>
      <c r="J1522" s="1">
        <v>3612.47</v>
      </c>
      <c r="K1522" s="1">
        <v>28.08</v>
      </c>
      <c r="L1522" s="1">
        <v>20784.71</v>
      </c>
      <c r="M1522" s="1">
        <v>1533.21</v>
      </c>
      <c r="N1522" s="1" t="s">
        <v>2091</v>
      </c>
    </row>
    <row r="1523" spans="1:14">
      <c r="A1523" s="1" t="s">
        <v>1535</v>
      </c>
      <c r="B1523" s="2">
        <v>45847</v>
      </c>
      <c r="C1523" s="1" t="s">
        <v>2021</v>
      </c>
      <c r="D1523" s="1" t="s">
        <v>2035</v>
      </c>
      <c r="E1523" s="1" t="s">
        <v>2045</v>
      </c>
      <c r="F1523" s="1" t="s">
        <v>2054</v>
      </c>
      <c r="G1523" s="1" t="s">
        <v>2068</v>
      </c>
      <c r="H1523" s="1" t="s">
        <v>2087</v>
      </c>
      <c r="I1523" s="1">
        <v>8</v>
      </c>
      <c r="J1523" s="1">
        <v>62193.760000000002</v>
      </c>
      <c r="K1523" s="1">
        <v>19.52</v>
      </c>
      <c r="L1523" s="1">
        <v>400428.3</v>
      </c>
      <c r="M1523" s="1">
        <v>41306.660000000003</v>
      </c>
      <c r="N1523" s="1" t="s">
        <v>2091</v>
      </c>
    </row>
    <row r="1524" spans="1:14">
      <c r="A1524" s="1" t="s">
        <v>1536</v>
      </c>
      <c r="B1524" s="2">
        <v>45847</v>
      </c>
      <c r="C1524" s="1" t="s">
        <v>2017</v>
      </c>
      <c r="D1524" s="1" t="s">
        <v>2036</v>
      </c>
      <c r="E1524" s="1" t="s">
        <v>2047</v>
      </c>
      <c r="F1524" s="1" t="s">
        <v>2052</v>
      </c>
      <c r="G1524" s="1" t="s">
        <v>2078</v>
      </c>
      <c r="H1524" s="1" t="s">
        <v>2086</v>
      </c>
      <c r="I1524" s="1">
        <v>7</v>
      </c>
      <c r="J1524" s="1">
        <v>3134.77</v>
      </c>
      <c r="K1524" s="1">
        <v>29.71</v>
      </c>
      <c r="L1524" s="1">
        <v>15424.01</v>
      </c>
      <c r="M1524" s="1">
        <v>3211</v>
      </c>
      <c r="N1524" s="1" t="s">
        <v>2088</v>
      </c>
    </row>
    <row r="1525" spans="1:14">
      <c r="A1525" s="1" t="s">
        <v>1537</v>
      </c>
      <c r="B1525" s="2">
        <v>45848</v>
      </c>
      <c r="C1525" s="1" t="s">
        <v>2022</v>
      </c>
      <c r="D1525" s="1" t="s">
        <v>2037</v>
      </c>
      <c r="E1525" s="1" t="s">
        <v>2047</v>
      </c>
      <c r="F1525" s="1" t="s">
        <v>2049</v>
      </c>
      <c r="G1525" s="1" t="s">
        <v>2055</v>
      </c>
      <c r="H1525" s="1" t="s">
        <v>2087</v>
      </c>
      <c r="I1525" s="1">
        <v>1</v>
      </c>
      <c r="J1525" s="1">
        <v>166.2</v>
      </c>
      <c r="K1525" s="1">
        <v>10.9</v>
      </c>
      <c r="L1525" s="1">
        <v>148.08000000000001</v>
      </c>
      <c r="M1525" s="1">
        <v>30.01</v>
      </c>
      <c r="N1525" s="1" t="s">
        <v>2091</v>
      </c>
    </row>
    <row r="1526" spans="1:14">
      <c r="A1526" s="1" t="s">
        <v>1538</v>
      </c>
      <c r="B1526" s="2">
        <v>45848</v>
      </c>
      <c r="C1526" s="1" t="s">
        <v>2014</v>
      </c>
      <c r="D1526" s="1" t="s">
        <v>2038</v>
      </c>
      <c r="E1526" s="1" t="s">
        <v>2044</v>
      </c>
      <c r="F1526" s="1" t="s">
        <v>2053</v>
      </c>
      <c r="G1526" s="1" t="s">
        <v>2067</v>
      </c>
      <c r="H1526" s="1" t="s">
        <v>2087</v>
      </c>
      <c r="I1526" s="1">
        <v>6</v>
      </c>
      <c r="J1526" s="1">
        <v>1037.8</v>
      </c>
      <c r="K1526" s="1">
        <v>22.22</v>
      </c>
      <c r="L1526" s="1">
        <v>4843.21</v>
      </c>
      <c r="M1526" s="1">
        <v>970.42</v>
      </c>
      <c r="N1526" s="1" t="s">
        <v>2089</v>
      </c>
    </row>
    <row r="1527" spans="1:14">
      <c r="A1527" s="1" t="s">
        <v>1539</v>
      </c>
      <c r="B1527" s="2">
        <v>45848</v>
      </c>
      <c r="C1527" s="1" t="s">
        <v>2018</v>
      </c>
      <c r="D1527" s="1" t="s">
        <v>2039</v>
      </c>
      <c r="E1527" s="1" t="s">
        <v>2048</v>
      </c>
      <c r="F1527" s="1" t="s">
        <v>2049</v>
      </c>
      <c r="G1527" s="1" t="s">
        <v>2058</v>
      </c>
      <c r="H1527" s="1" t="s">
        <v>2087</v>
      </c>
      <c r="I1527" s="1">
        <v>6</v>
      </c>
      <c r="J1527" s="1">
        <v>2957.95</v>
      </c>
      <c r="K1527" s="1">
        <v>6.42</v>
      </c>
      <c r="L1527" s="1">
        <v>16608.3</v>
      </c>
      <c r="M1527" s="1">
        <v>3312.88</v>
      </c>
      <c r="N1527" s="1" t="s">
        <v>2089</v>
      </c>
    </row>
    <row r="1528" spans="1:14">
      <c r="A1528" s="1" t="s">
        <v>1540</v>
      </c>
      <c r="B1528" s="2">
        <v>45849</v>
      </c>
      <c r="C1528" s="1" t="s">
        <v>2020</v>
      </c>
      <c r="D1528" s="1" t="s">
        <v>2040</v>
      </c>
      <c r="E1528" s="1" t="s">
        <v>2047</v>
      </c>
      <c r="F1528" s="1" t="s">
        <v>2054</v>
      </c>
      <c r="G1528" s="1" t="s">
        <v>2068</v>
      </c>
      <c r="H1528" s="1" t="s">
        <v>2086</v>
      </c>
      <c r="I1528" s="1">
        <v>10</v>
      </c>
      <c r="J1528" s="1">
        <v>33121.839999999997</v>
      </c>
      <c r="K1528" s="1">
        <v>29.65</v>
      </c>
      <c r="L1528" s="1">
        <v>233012.14</v>
      </c>
      <c r="M1528" s="1">
        <v>39018</v>
      </c>
      <c r="N1528" s="1" t="s">
        <v>2091</v>
      </c>
    </row>
    <row r="1529" spans="1:14">
      <c r="A1529" s="1" t="s">
        <v>1541</v>
      </c>
      <c r="B1529" s="2">
        <v>45849</v>
      </c>
      <c r="C1529" s="1" t="s">
        <v>2024</v>
      </c>
      <c r="D1529" s="1" t="s">
        <v>2041</v>
      </c>
      <c r="E1529" s="1" t="s">
        <v>2044</v>
      </c>
      <c r="F1529" s="1" t="s">
        <v>2050</v>
      </c>
      <c r="G1529" s="1" t="s">
        <v>2075</v>
      </c>
      <c r="H1529" s="1" t="s">
        <v>2087</v>
      </c>
      <c r="I1529" s="1">
        <v>3</v>
      </c>
      <c r="J1529" s="1">
        <v>1036.6500000000001</v>
      </c>
      <c r="K1529" s="1">
        <v>11.49</v>
      </c>
      <c r="L1529" s="1">
        <v>2752.62</v>
      </c>
      <c r="M1529" s="1">
        <v>787.4</v>
      </c>
      <c r="N1529" s="1" t="s">
        <v>2088</v>
      </c>
    </row>
    <row r="1530" spans="1:14">
      <c r="A1530" s="1" t="s">
        <v>1542</v>
      </c>
      <c r="B1530" s="2">
        <v>45849</v>
      </c>
      <c r="C1530" s="1" t="s">
        <v>2027</v>
      </c>
      <c r="D1530" s="1" t="s">
        <v>2042</v>
      </c>
      <c r="E1530" s="1" t="s">
        <v>2047</v>
      </c>
      <c r="F1530" s="1" t="s">
        <v>2051</v>
      </c>
      <c r="G1530" s="1" t="s">
        <v>2080</v>
      </c>
      <c r="H1530" s="1" t="s">
        <v>2086</v>
      </c>
      <c r="I1530" s="1">
        <v>4</v>
      </c>
      <c r="J1530" s="1">
        <v>13790.03</v>
      </c>
      <c r="K1530" s="1">
        <v>12.69</v>
      </c>
      <c r="L1530" s="1">
        <v>48160.3</v>
      </c>
      <c r="M1530" s="1">
        <v>10468.61</v>
      </c>
      <c r="N1530" s="1" t="s">
        <v>2090</v>
      </c>
    </row>
    <row r="1531" spans="1:14">
      <c r="A1531" s="1" t="s">
        <v>1543</v>
      </c>
      <c r="B1531" s="2">
        <v>45850</v>
      </c>
      <c r="C1531" s="1" t="s">
        <v>2028</v>
      </c>
      <c r="D1531" s="1" t="s">
        <v>2043</v>
      </c>
      <c r="E1531" s="1" t="s">
        <v>2045</v>
      </c>
      <c r="F1531" s="1" t="s">
        <v>2053</v>
      </c>
      <c r="G1531" s="1" t="s">
        <v>2060</v>
      </c>
      <c r="H1531" s="1" t="s">
        <v>2087</v>
      </c>
      <c r="I1531" s="1">
        <v>7</v>
      </c>
      <c r="J1531" s="1">
        <v>551.62</v>
      </c>
      <c r="K1531" s="1">
        <v>0.25</v>
      </c>
      <c r="L1531" s="1">
        <v>3851.69</v>
      </c>
      <c r="M1531" s="1">
        <v>1126.67</v>
      </c>
      <c r="N1531" s="1" t="s">
        <v>2088</v>
      </c>
    </row>
    <row r="1532" spans="1:14">
      <c r="A1532" s="1" t="s">
        <v>1544</v>
      </c>
      <c r="B1532" s="2">
        <v>45850</v>
      </c>
      <c r="C1532" s="1" t="s">
        <v>2025</v>
      </c>
      <c r="D1532" s="1" t="s">
        <v>2029</v>
      </c>
      <c r="E1532" s="1" t="s">
        <v>2047</v>
      </c>
      <c r="F1532" s="1" t="s">
        <v>2052</v>
      </c>
      <c r="G1532" s="1" t="s">
        <v>2072</v>
      </c>
      <c r="H1532" s="1" t="s">
        <v>2087</v>
      </c>
      <c r="I1532" s="1">
        <v>7</v>
      </c>
      <c r="J1532" s="1">
        <v>9138.23</v>
      </c>
      <c r="K1532" s="1">
        <v>5.84</v>
      </c>
      <c r="L1532" s="1">
        <v>60231.9</v>
      </c>
      <c r="M1532" s="1">
        <v>12241.79</v>
      </c>
      <c r="N1532" s="1" t="s">
        <v>2088</v>
      </c>
    </row>
    <row r="1533" spans="1:14">
      <c r="A1533" s="1" t="s">
        <v>1545</v>
      </c>
      <c r="B1533" s="2">
        <v>45851</v>
      </c>
      <c r="C1533" s="1" t="s">
        <v>2017</v>
      </c>
      <c r="D1533" s="1" t="s">
        <v>2030</v>
      </c>
      <c r="E1533" s="1" t="s">
        <v>2045</v>
      </c>
      <c r="F1533" s="1" t="s">
        <v>2054</v>
      </c>
      <c r="G1533" s="1" t="s">
        <v>2068</v>
      </c>
      <c r="H1533" s="1" t="s">
        <v>2085</v>
      </c>
      <c r="I1533" s="1">
        <v>1</v>
      </c>
      <c r="J1533" s="1">
        <v>15473.58</v>
      </c>
      <c r="K1533" s="1">
        <v>15.01</v>
      </c>
      <c r="L1533" s="1">
        <v>13151</v>
      </c>
      <c r="M1533" s="1">
        <v>3265.49</v>
      </c>
      <c r="N1533" s="1" t="s">
        <v>2090</v>
      </c>
    </row>
    <row r="1534" spans="1:14">
      <c r="A1534" s="1" t="s">
        <v>1546</v>
      </c>
      <c r="B1534" s="2">
        <v>45851</v>
      </c>
      <c r="C1534" s="1" t="s">
        <v>2014</v>
      </c>
      <c r="D1534" s="1" t="s">
        <v>2031</v>
      </c>
      <c r="E1534" s="1" t="s">
        <v>2046</v>
      </c>
      <c r="F1534" s="1" t="s">
        <v>2050</v>
      </c>
      <c r="G1534" s="1" t="s">
        <v>2084</v>
      </c>
      <c r="H1534" s="1" t="s">
        <v>2085</v>
      </c>
      <c r="I1534" s="1">
        <v>1</v>
      </c>
      <c r="J1534" s="1">
        <v>6958.3</v>
      </c>
      <c r="K1534" s="1">
        <v>2.0099999999999998</v>
      </c>
      <c r="L1534" s="1">
        <v>6818.44</v>
      </c>
      <c r="M1534" s="1">
        <v>1449.44</v>
      </c>
      <c r="N1534" s="1" t="s">
        <v>2091</v>
      </c>
    </row>
    <row r="1535" spans="1:14">
      <c r="A1535" s="1" t="s">
        <v>1547</v>
      </c>
      <c r="B1535" s="2">
        <v>45851</v>
      </c>
      <c r="C1535" s="1" t="s">
        <v>2027</v>
      </c>
      <c r="D1535" s="1" t="s">
        <v>2032</v>
      </c>
      <c r="E1535" s="1" t="s">
        <v>2047</v>
      </c>
      <c r="F1535" s="1" t="s">
        <v>2049</v>
      </c>
      <c r="G1535" s="1" t="s">
        <v>2071</v>
      </c>
      <c r="H1535" s="1" t="s">
        <v>2086</v>
      </c>
      <c r="I1535" s="1">
        <v>2</v>
      </c>
      <c r="J1535" s="1">
        <v>1985.64</v>
      </c>
      <c r="K1535" s="1">
        <v>25.65</v>
      </c>
      <c r="L1535" s="1">
        <v>2952.65</v>
      </c>
      <c r="M1535" s="1">
        <v>334.15</v>
      </c>
      <c r="N1535" s="1" t="s">
        <v>2088</v>
      </c>
    </row>
    <row r="1536" spans="1:14">
      <c r="A1536" s="1" t="s">
        <v>1548</v>
      </c>
      <c r="B1536" s="2">
        <v>45852</v>
      </c>
      <c r="C1536" s="1" t="s">
        <v>2024</v>
      </c>
      <c r="D1536" s="1" t="s">
        <v>2033</v>
      </c>
      <c r="E1536" s="1" t="s">
        <v>2044</v>
      </c>
      <c r="F1536" s="1" t="s">
        <v>2051</v>
      </c>
      <c r="G1536" s="1" t="s">
        <v>2080</v>
      </c>
      <c r="H1536" s="1" t="s">
        <v>2085</v>
      </c>
      <c r="I1536" s="1">
        <v>6</v>
      </c>
      <c r="J1536" s="1">
        <v>31171.83</v>
      </c>
      <c r="K1536" s="1">
        <v>4.3600000000000003</v>
      </c>
      <c r="L1536" s="1">
        <v>178876.43</v>
      </c>
      <c r="M1536" s="1">
        <v>29685.87</v>
      </c>
      <c r="N1536" s="1" t="s">
        <v>2088</v>
      </c>
    </row>
    <row r="1537" spans="1:14">
      <c r="A1537" s="1" t="s">
        <v>1549</v>
      </c>
      <c r="B1537" s="2">
        <v>45852</v>
      </c>
      <c r="C1537" s="1" t="s">
        <v>2028</v>
      </c>
      <c r="D1537" s="1" t="s">
        <v>2034</v>
      </c>
      <c r="E1537" s="1" t="s">
        <v>2048</v>
      </c>
      <c r="F1537" s="1" t="s">
        <v>2049</v>
      </c>
      <c r="G1537" s="1" t="s">
        <v>2058</v>
      </c>
      <c r="H1537" s="1" t="s">
        <v>2085</v>
      </c>
      <c r="I1537" s="1">
        <v>9</v>
      </c>
      <c r="J1537" s="1">
        <v>1845.63</v>
      </c>
      <c r="K1537" s="1">
        <v>4.58</v>
      </c>
      <c r="L1537" s="1">
        <v>15849.9</v>
      </c>
      <c r="M1537" s="1">
        <v>4083.66</v>
      </c>
      <c r="N1537" s="1" t="s">
        <v>2089</v>
      </c>
    </row>
    <row r="1538" spans="1:14">
      <c r="A1538" s="1" t="s">
        <v>1550</v>
      </c>
      <c r="B1538" s="2">
        <v>45852</v>
      </c>
      <c r="C1538" s="1" t="s">
        <v>2017</v>
      </c>
      <c r="D1538" s="1" t="s">
        <v>2035</v>
      </c>
      <c r="E1538" s="1" t="s">
        <v>2047</v>
      </c>
      <c r="F1538" s="1" t="s">
        <v>2053</v>
      </c>
      <c r="G1538" s="1" t="s">
        <v>2076</v>
      </c>
      <c r="H1538" s="1" t="s">
        <v>2087</v>
      </c>
      <c r="I1538" s="1">
        <v>3</v>
      </c>
      <c r="J1538" s="1">
        <v>988.01</v>
      </c>
      <c r="K1538" s="1">
        <v>8.5399999999999991</v>
      </c>
      <c r="L1538" s="1">
        <v>2710.9</v>
      </c>
      <c r="M1538" s="1">
        <v>753.46</v>
      </c>
      <c r="N1538" s="1" t="s">
        <v>2088</v>
      </c>
    </row>
    <row r="1539" spans="1:14">
      <c r="A1539" s="1" t="s">
        <v>1551</v>
      </c>
      <c r="B1539" s="2">
        <v>45853</v>
      </c>
      <c r="C1539" s="1" t="s">
        <v>2015</v>
      </c>
      <c r="D1539" s="1" t="s">
        <v>2036</v>
      </c>
      <c r="E1539" s="1" t="s">
        <v>2047</v>
      </c>
      <c r="F1539" s="1" t="s">
        <v>2050</v>
      </c>
      <c r="G1539" s="1" t="s">
        <v>2084</v>
      </c>
      <c r="H1539" s="1" t="s">
        <v>2085</v>
      </c>
      <c r="I1539" s="1">
        <v>5</v>
      </c>
      <c r="J1539" s="1">
        <v>7236.68</v>
      </c>
      <c r="K1539" s="1">
        <v>9.39</v>
      </c>
      <c r="L1539" s="1">
        <v>32785.78</v>
      </c>
      <c r="M1539" s="1">
        <v>6345.38</v>
      </c>
      <c r="N1539" s="1" t="s">
        <v>2088</v>
      </c>
    </row>
    <row r="1540" spans="1:14">
      <c r="A1540" s="1" t="s">
        <v>1552</v>
      </c>
      <c r="B1540" s="2">
        <v>45853</v>
      </c>
      <c r="C1540" s="1" t="s">
        <v>2014</v>
      </c>
      <c r="D1540" s="1" t="s">
        <v>2037</v>
      </c>
      <c r="E1540" s="1" t="s">
        <v>2048</v>
      </c>
      <c r="F1540" s="1" t="s">
        <v>2054</v>
      </c>
      <c r="G1540" s="1" t="s">
        <v>2063</v>
      </c>
      <c r="H1540" s="1" t="s">
        <v>2085</v>
      </c>
      <c r="I1540" s="1">
        <v>4</v>
      </c>
      <c r="J1540" s="1">
        <v>76702.039999999994</v>
      </c>
      <c r="K1540" s="1">
        <v>7.82</v>
      </c>
      <c r="L1540" s="1">
        <v>282815.76</v>
      </c>
      <c r="M1540" s="1">
        <v>62413.47</v>
      </c>
      <c r="N1540" s="1" t="s">
        <v>2092</v>
      </c>
    </row>
    <row r="1541" spans="1:14">
      <c r="A1541" s="1" t="s">
        <v>1553</v>
      </c>
      <c r="B1541" s="2">
        <v>45854</v>
      </c>
      <c r="C1541" s="1" t="s">
        <v>2021</v>
      </c>
      <c r="D1541" s="1" t="s">
        <v>2038</v>
      </c>
      <c r="E1541" s="1" t="s">
        <v>2047</v>
      </c>
      <c r="F1541" s="1" t="s">
        <v>2049</v>
      </c>
      <c r="G1541" s="1" t="s">
        <v>2071</v>
      </c>
      <c r="H1541" s="1" t="s">
        <v>2085</v>
      </c>
      <c r="I1541" s="1">
        <v>7</v>
      </c>
      <c r="J1541" s="1">
        <v>1176.44</v>
      </c>
      <c r="K1541" s="1">
        <v>17.559999999999999</v>
      </c>
      <c r="L1541" s="1">
        <v>6789</v>
      </c>
      <c r="M1541" s="1">
        <v>1590.47</v>
      </c>
      <c r="N1541" s="1" t="s">
        <v>2091</v>
      </c>
    </row>
    <row r="1542" spans="1:14">
      <c r="A1542" s="1" t="s">
        <v>1554</v>
      </c>
      <c r="B1542" s="2">
        <v>45854</v>
      </c>
      <c r="C1542" s="1" t="s">
        <v>2027</v>
      </c>
      <c r="D1542" s="1" t="s">
        <v>2039</v>
      </c>
      <c r="E1542" s="1" t="s">
        <v>2045</v>
      </c>
      <c r="F1542" s="1" t="s">
        <v>2050</v>
      </c>
      <c r="G1542" s="1" t="s">
        <v>2084</v>
      </c>
      <c r="H1542" s="1" t="s">
        <v>2086</v>
      </c>
      <c r="I1542" s="1">
        <v>2</v>
      </c>
      <c r="J1542" s="1">
        <v>4462.08</v>
      </c>
      <c r="K1542" s="1">
        <v>5.69</v>
      </c>
      <c r="L1542" s="1">
        <v>8416.3799999999992</v>
      </c>
      <c r="M1542" s="1">
        <v>814.02</v>
      </c>
      <c r="N1542" s="1" t="s">
        <v>2089</v>
      </c>
    </row>
    <row r="1543" spans="1:14">
      <c r="A1543" s="1" t="s">
        <v>1555</v>
      </c>
      <c r="B1543" s="2">
        <v>45854</v>
      </c>
      <c r="C1543" s="1" t="s">
        <v>2026</v>
      </c>
      <c r="D1543" s="1" t="s">
        <v>2040</v>
      </c>
      <c r="E1543" s="1" t="s">
        <v>2048</v>
      </c>
      <c r="F1543" s="1" t="s">
        <v>2053</v>
      </c>
      <c r="G1543" s="1" t="s">
        <v>2067</v>
      </c>
      <c r="H1543" s="1" t="s">
        <v>2086</v>
      </c>
      <c r="I1543" s="1">
        <v>3</v>
      </c>
      <c r="J1543" s="1">
        <v>2212.2600000000002</v>
      </c>
      <c r="K1543" s="1">
        <v>6.42</v>
      </c>
      <c r="L1543" s="1">
        <v>6210.7</v>
      </c>
      <c r="M1543" s="1">
        <v>1819.8</v>
      </c>
      <c r="N1543" s="1" t="s">
        <v>2089</v>
      </c>
    </row>
    <row r="1544" spans="1:14">
      <c r="A1544" s="1" t="s">
        <v>1556</v>
      </c>
      <c r="B1544" s="2">
        <v>45855</v>
      </c>
      <c r="C1544" s="1" t="s">
        <v>2021</v>
      </c>
      <c r="D1544" s="1" t="s">
        <v>2041</v>
      </c>
      <c r="E1544" s="1" t="s">
        <v>2048</v>
      </c>
      <c r="F1544" s="1" t="s">
        <v>2051</v>
      </c>
      <c r="G1544" s="1" t="s">
        <v>2077</v>
      </c>
      <c r="H1544" s="1" t="s">
        <v>2085</v>
      </c>
      <c r="I1544" s="1">
        <v>1</v>
      </c>
      <c r="J1544" s="1">
        <v>27931</v>
      </c>
      <c r="K1544" s="1">
        <v>16.399999999999999</v>
      </c>
      <c r="L1544" s="1">
        <v>23350.32</v>
      </c>
      <c r="M1544" s="1">
        <v>5259.48</v>
      </c>
      <c r="N1544" s="1" t="s">
        <v>2089</v>
      </c>
    </row>
    <row r="1545" spans="1:14">
      <c r="A1545" s="1" t="s">
        <v>1557</v>
      </c>
      <c r="B1545" s="2">
        <v>45855</v>
      </c>
      <c r="C1545" s="1" t="s">
        <v>2014</v>
      </c>
      <c r="D1545" s="1" t="s">
        <v>2042</v>
      </c>
      <c r="E1545" s="1" t="s">
        <v>2047</v>
      </c>
      <c r="F1545" s="1" t="s">
        <v>2052</v>
      </c>
      <c r="G1545" s="1" t="s">
        <v>2083</v>
      </c>
      <c r="H1545" s="1" t="s">
        <v>2085</v>
      </c>
      <c r="I1545" s="1">
        <v>10</v>
      </c>
      <c r="J1545" s="1">
        <v>4695.93</v>
      </c>
      <c r="K1545" s="1">
        <v>17.809999999999999</v>
      </c>
      <c r="L1545" s="1">
        <v>38595.85</v>
      </c>
      <c r="M1545" s="1">
        <v>4509.3900000000003</v>
      </c>
      <c r="N1545" s="1" t="s">
        <v>2088</v>
      </c>
    </row>
    <row r="1546" spans="1:14">
      <c r="A1546" s="1" t="s">
        <v>1558</v>
      </c>
      <c r="B1546" s="2">
        <v>45855</v>
      </c>
      <c r="C1546" s="1" t="s">
        <v>2022</v>
      </c>
      <c r="D1546" s="1" t="s">
        <v>2043</v>
      </c>
      <c r="E1546" s="1" t="s">
        <v>2047</v>
      </c>
      <c r="F1546" s="1" t="s">
        <v>2053</v>
      </c>
      <c r="G1546" s="1" t="s">
        <v>2062</v>
      </c>
      <c r="H1546" s="1" t="s">
        <v>2087</v>
      </c>
      <c r="I1546" s="1">
        <v>9</v>
      </c>
      <c r="J1546" s="1">
        <v>705.04</v>
      </c>
      <c r="K1546" s="1">
        <v>28.65</v>
      </c>
      <c r="L1546" s="1">
        <v>4527.41</v>
      </c>
      <c r="M1546" s="1">
        <v>773.46</v>
      </c>
      <c r="N1546" s="1" t="s">
        <v>2090</v>
      </c>
    </row>
    <row r="1547" spans="1:14">
      <c r="A1547" s="1" t="s">
        <v>1559</v>
      </c>
      <c r="B1547" s="2">
        <v>45856</v>
      </c>
      <c r="C1547" s="1" t="s">
        <v>2028</v>
      </c>
      <c r="D1547" s="1" t="s">
        <v>2029</v>
      </c>
      <c r="E1547" s="1" t="s">
        <v>2047</v>
      </c>
      <c r="F1547" s="1" t="s">
        <v>2051</v>
      </c>
      <c r="G1547" s="1" t="s">
        <v>2069</v>
      </c>
      <c r="H1547" s="1" t="s">
        <v>2085</v>
      </c>
      <c r="I1547" s="1">
        <v>10</v>
      </c>
      <c r="J1547" s="1">
        <v>20929.34</v>
      </c>
      <c r="K1547" s="1">
        <v>4.6100000000000003</v>
      </c>
      <c r="L1547" s="1">
        <v>199644.97</v>
      </c>
      <c r="M1547" s="1">
        <v>40742.28</v>
      </c>
      <c r="N1547" s="1" t="s">
        <v>2088</v>
      </c>
    </row>
    <row r="1548" spans="1:14">
      <c r="A1548" s="1" t="s">
        <v>1560</v>
      </c>
      <c r="B1548" s="2">
        <v>45856</v>
      </c>
      <c r="C1548" s="1" t="s">
        <v>2019</v>
      </c>
      <c r="D1548" s="1" t="s">
        <v>2030</v>
      </c>
      <c r="E1548" s="1" t="s">
        <v>2047</v>
      </c>
      <c r="F1548" s="1" t="s">
        <v>2053</v>
      </c>
      <c r="G1548" s="1" t="s">
        <v>2062</v>
      </c>
      <c r="H1548" s="1" t="s">
        <v>2086</v>
      </c>
      <c r="I1548" s="1">
        <v>4</v>
      </c>
      <c r="J1548" s="1">
        <v>2204.46</v>
      </c>
      <c r="K1548" s="1">
        <v>23.45</v>
      </c>
      <c r="L1548" s="1">
        <v>6750.06</v>
      </c>
      <c r="M1548" s="1">
        <v>363.52</v>
      </c>
      <c r="N1548" s="1" t="s">
        <v>2088</v>
      </c>
    </row>
    <row r="1549" spans="1:14">
      <c r="A1549" s="1" t="s">
        <v>1561</v>
      </c>
      <c r="B1549" s="2">
        <v>45856</v>
      </c>
      <c r="C1549" s="1" t="s">
        <v>2014</v>
      </c>
      <c r="D1549" s="1" t="s">
        <v>2031</v>
      </c>
      <c r="E1549" s="1" t="s">
        <v>2044</v>
      </c>
      <c r="F1549" s="1" t="s">
        <v>2049</v>
      </c>
      <c r="G1549" s="1" t="s">
        <v>2071</v>
      </c>
      <c r="H1549" s="1" t="s">
        <v>2087</v>
      </c>
      <c r="I1549" s="1">
        <v>2</v>
      </c>
      <c r="J1549" s="1">
        <v>2619.86</v>
      </c>
      <c r="K1549" s="1">
        <v>29.1</v>
      </c>
      <c r="L1549" s="1">
        <v>3714.96</v>
      </c>
      <c r="M1549" s="1">
        <v>1046.32</v>
      </c>
      <c r="N1549" s="1" t="s">
        <v>2092</v>
      </c>
    </row>
    <row r="1550" spans="1:14">
      <c r="A1550" s="1" t="s">
        <v>1562</v>
      </c>
      <c r="B1550" s="2">
        <v>45857</v>
      </c>
      <c r="C1550" s="1" t="s">
        <v>2024</v>
      </c>
      <c r="D1550" s="1" t="s">
        <v>2032</v>
      </c>
      <c r="E1550" s="1" t="s">
        <v>2044</v>
      </c>
      <c r="F1550" s="1" t="s">
        <v>2052</v>
      </c>
      <c r="G1550" s="1" t="s">
        <v>2083</v>
      </c>
      <c r="H1550" s="1" t="s">
        <v>2085</v>
      </c>
      <c r="I1550" s="1">
        <v>3</v>
      </c>
      <c r="J1550" s="1">
        <v>3401.75</v>
      </c>
      <c r="K1550" s="1">
        <v>22.7</v>
      </c>
      <c r="L1550" s="1">
        <v>7888.66</v>
      </c>
      <c r="M1550" s="1">
        <v>1289.6600000000001</v>
      </c>
      <c r="N1550" s="1" t="s">
        <v>2090</v>
      </c>
    </row>
    <row r="1551" spans="1:14">
      <c r="A1551" s="1" t="s">
        <v>1563</v>
      </c>
      <c r="B1551" s="2">
        <v>45857</v>
      </c>
      <c r="C1551" s="1" t="s">
        <v>2018</v>
      </c>
      <c r="D1551" s="1" t="s">
        <v>2033</v>
      </c>
      <c r="E1551" s="1" t="s">
        <v>2047</v>
      </c>
      <c r="F1551" s="1" t="s">
        <v>2051</v>
      </c>
      <c r="G1551" s="1" t="s">
        <v>2077</v>
      </c>
      <c r="H1551" s="1" t="s">
        <v>2086</v>
      </c>
      <c r="I1551" s="1">
        <v>3</v>
      </c>
      <c r="J1551" s="1">
        <v>22295.8</v>
      </c>
      <c r="K1551" s="1">
        <v>12.03</v>
      </c>
      <c r="L1551" s="1">
        <v>58840.85</v>
      </c>
      <c r="M1551" s="1">
        <v>9279.4599999999991</v>
      </c>
      <c r="N1551" s="1" t="s">
        <v>2092</v>
      </c>
    </row>
    <row r="1552" spans="1:14">
      <c r="A1552" s="1" t="s">
        <v>1564</v>
      </c>
      <c r="B1552" s="2">
        <v>45858</v>
      </c>
      <c r="C1552" s="1" t="s">
        <v>2020</v>
      </c>
      <c r="D1552" s="1" t="s">
        <v>2034</v>
      </c>
      <c r="E1552" s="1" t="s">
        <v>2047</v>
      </c>
      <c r="F1552" s="1" t="s">
        <v>2051</v>
      </c>
      <c r="G1552" s="1" t="s">
        <v>2069</v>
      </c>
      <c r="H1552" s="1" t="s">
        <v>2085</v>
      </c>
      <c r="I1552" s="1">
        <v>4</v>
      </c>
      <c r="J1552" s="1">
        <v>29814.27</v>
      </c>
      <c r="K1552" s="1">
        <v>6.35</v>
      </c>
      <c r="L1552" s="1">
        <v>111684.26</v>
      </c>
      <c r="M1552" s="1">
        <v>16569.349999999999</v>
      </c>
      <c r="N1552" s="1" t="s">
        <v>2090</v>
      </c>
    </row>
    <row r="1553" spans="1:14">
      <c r="A1553" s="1" t="s">
        <v>1565</v>
      </c>
      <c r="B1553" s="2">
        <v>45858</v>
      </c>
      <c r="C1553" s="1" t="s">
        <v>2022</v>
      </c>
      <c r="D1553" s="1" t="s">
        <v>2035</v>
      </c>
      <c r="E1553" s="1" t="s">
        <v>2046</v>
      </c>
      <c r="F1553" s="1" t="s">
        <v>2053</v>
      </c>
      <c r="G1553" s="1" t="s">
        <v>2062</v>
      </c>
      <c r="H1553" s="1" t="s">
        <v>2087</v>
      </c>
      <c r="I1553" s="1">
        <v>3</v>
      </c>
      <c r="J1553" s="1">
        <v>1338.95</v>
      </c>
      <c r="K1553" s="1">
        <v>20.99</v>
      </c>
      <c r="L1553" s="1">
        <v>3173.71</v>
      </c>
      <c r="M1553" s="1">
        <v>233.24</v>
      </c>
      <c r="N1553" s="1" t="s">
        <v>2091</v>
      </c>
    </row>
    <row r="1554" spans="1:14">
      <c r="A1554" s="1" t="s">
        <v>1566</v>
      </c>
      <c r="B1554" s="2">
        <v>45858</v>
      </c>
      <c r="C1554" s="1" t="s">
        <v>2024</v>
      </c>
      <c r="D1554" s="1" t="s">
        <v>2036</v>
      </c>
      <c r="E1554" s="1" t="s">
        <v>2046</v>
      </c>
      <c r="F1554" s="1" t="s">
        <v>2049</v>
      </c>
      <c r="G1554" s="1" t="s">
        <v>2071</v>
      </c>
      <c r="H1554" s="1" t="s">
        <v>2085</v>
      </c>
      <c r="I1554" s="1">
        <v>5</v>
      </c>
      <c r="J1554" s="1">
        <v>2472.92</v>
      </c>
      <c r="K1554" s="1">
        <v>15.35</v>
      </c>
      <c r="L1554" s="1">
        <v>10466.629999999999</v>
      </c>
      <c r="M1554" s="1">
        <v>2402.04</v>
      </c>
      <c r="N1554" s="1" t="s">
        <v>2092</v>
      </c>
    </row>
    <row r="1555" spans="1:14">
      <c r="A1555" s="1" t="s">
        <v>1567</v>
      </c>
      <c r="B1555" s="2">
        <v>45859</v>
      </c>
      <c r="C1555" s="1" t="s">
        <v>2024</v>
      </c>
      <c r="D1555" s="1" t="s">
        <v>2037</v>
      </c>
      <c r="E1555" s="1" t="s">
        <v>2045</v>
      </c>
      <c r="F1555" s="1" t="s">
        <v>2052</v>
      </c>
      <c r="G1555" s="1" t="s">
        <v>2072</v>
      </c>
      <c r="H1555" s="1" t="s">
        <v>2085</v>
      </c>
      <c r="I1555" s="1">
        <v>6</v>
      </c>
      <c r="J1555" s="1">
        <v>2174.1799999999998</v>
      </c>
      <c r="K1555" s="1">
        <v>25.92</v>
      </c>
      <c r="L1555" s="1">
        <v>9663.7999999999993</v>
      </c>
      <c r="M1555" s="1">
        <v>1259.56</v>
      </c>
      <c r="N1555" s="1" t="s">
        <v>2089</v>
      </c>
    </row>
    <row r="1556" spans="1:14">
      <c r="A1556" s="1" t="s">
        <v>1568</v>
      </c>
      <c r="B1556" s="2">
        <v>45859</v>
      </c>
      <c r="C1556" s="1" t="s">
        <v>2025</v>
      </c>
      <c r="D1556" s="1" t="s">
        <v>2038</v>
      </c>
      <c r="E1556" s="1" t="s">
        <v>2048</v>
      </c>
      <c r="F1556" s="1" t="s">
        <v>2053</v>
      </c>
      <c r="G1556" s="1" t="s">
        <v>2060</v>
      </c>
      <c r="H1556" s="1" t="s">
        <v>2087</v>
      </c>
      <c r="I1556" s="1">
        <v>7</v>
      </c>
      <c r="J1556" s="1">
        <v>1223.4000000000001</v>
      </c>
      <c r="K1556" s="1">
        <v>29.59</v>
      </c>
      <c r="L1556" s="1">
        <v>6029.77</v>
      </c>
      <c r="M1556" s="1">
        <v>942.62</v>
      </c>
      <c r="N1556" s="1" t="s">
        <v>2090</v>
      </c>
    </row>
    <row r="1557" spans="1:14">
      <c r="A1557" s="1" t="s">
        <v>1569</v>
      </c>
      <c r="B1557" s="2">
        <v>45859</v>
      </c>
      <c r="C1557" s="1" t="s">
        <v>2016</v>
      </c>
      <c r="D1557" s="1" t="s">
        <v>2039</v>
      </c>
      <c r="E1557" s="1" t="s">
        <v>2045</v>
      </c>
      <c r="F1557" s="1" t="s">
        <v>2052</v>
      </c>
      <c r="G1557" s="1" t="s">
        <v>2072</v>
      </c>
      <c r="H1557" s="1" t="s">
        <v>2086</v>
      </c>
      <c r="I1557" s="1">
        <v>5</v>
      </c>
      <c r="J1557" s="1">
        <v>2871.22</v>
      </c>
      <c r="K1557" s="1">
        <v>27.47</v>
      </c>
      <c r="L1557" s="1">
        <v>10412.48</v>
      </c>
      <c r="M1557" s="1">
        <v>2677.31</v>
      </c>
      <c r="N1557" s="1" t="s">
        <v>2091</v>
      </c>
    </row>
    <row r="1558" spans="1:14">
      <c r="A1558" s="1" t="s">
        <v>1570</v>
      </c>
      <c r="B1558" s="2">
        <v>45860</v>
      </c>
      <c r="C1558" s="1" t="s">
        <v>2025</v>
      </c>
      <c r="D1558" s="1" t="s">
        <v>2040</v>
      </c>
      <c r="E1558" s="1" t="s">
        <v>2045</v>
      </c>
      <c r="F1558" s="1" t="s">
        <v>2049</v>
      </c>
      <c r="G1558" s="1" t="s">
        <v>2055</v>
      </c>
      <c r="H1558" s="1" t="s">
        <v>2085</v>
      </c>
      <c r="I1558" s="1">
        <v>9</v>
      </c>
      <c r="J1558" s="1">
        <v>1032.57</v>
      </c>
      <c r="K1558" s="1">
        <v>16.96</v>
      </c>
      <c r="L1558" s="1">
        <v>7717.02</v>
      </c>
      <c r="M1558" s="1">
        <v>1164.6500000000001</v>
      </c>
      <c r="N1558" s="1" t="s">
        <v>2090</v>
      </c>
    </row>
    <row r="1559" spans="1:14">
      <c r="A1559" s="1" t="s">
        <v>1571</v>
      </c>
      <c r="B1559" s="2">
        <v>45860</v>
      </c>
      <c r="C1559" s="1" t="s">
        <v>2015</v>
      </c>
      <c r="D1559" s="1" t="s">
        <v>2041</v>
      </c>
      <c r="E1559" s="1" t="s">
        <v>2047</v>
      </c>
      <c r="F1559" s="1" t="s">
        <v>2053</v>
      </c>
      <c r="G1559" s="1" t="s">
        <v>2067</v>
      </c>
      <c r="H1559" s="1" t="s">
        <v>2085</v>
      </c>
      <c r="I1559" s="1">
        <v>4</v>
      </c>
      <c r="J1559" s="1">
        <v>2234.14</v>
      </c>
      <c r="K1559" s="1">
        <v>19.96</v>
      </c>
      <c r="L1559" s="1">
        <v>7152.82</v>
      </c>
      <c r="M1559" s="1">
        <v>1460.5</v>
      </c>
      <c r="N1559" s="1" t="s">
        <v>2090</v>
      </c>
    </row>
    <row r="1560" spans="1:14">
      <c r="A1560" s="1" t="s">
        <v>1572</v>
      </c>
      <c r="B1560" s="2">
        <v>45860</v>
      </c>
      <c r="C1560" s="1" t="s">
        <v>2015</v>
      </c>
      <c r="D1560" s="1" t="s">
        <v>2042</v>
      </c>
      <c r="E1560" s="1" t="s">
        <v>2048</v>
      </c>
      <c r="F1560" s="1" t="s">
        <v>2053</v>
      </c>
      <c r="G1560" s="1" t="s">
        <v>2076</v>
      </c>
      <c r="H1560" s="1" t="s">
        <v>2085</v>
      </c>
      <c r="I1560" s="1">
        <v>9</v>
      </c>
      <c r="J1560" s="1">
        <v>1228.05</v>
      </c>
      <c r="K1560" s="1">
        <v>0.59</v>
      </c>
      <c r="L1560" s="1">
        <v>10987.24</v>
      </c>
      <c r="M1560" s="1">
        <v>2564.31</v>
      </c>
      <c r="N1560" s="1" t="s">
        <v>2089</v>
      </c>
    </row>
    <row r="1561" spans="1:14">
      <c r="A1561" s="1" t="s">
        <v>1573</v>
      </c>
      <c r="B1561" s="2">
        <v>45861</v>
      </c>
      <c r="C1561" s="1" t="s">
        <v>2014</v>
      </c>
      <c r="D1561" s="1" t="s">
        <v>2043</v>
      </c>
      <c r="E1561" s="1" t="s">
        <v>2044</v>
      </c>
      <c r="F1561" s="1" t="s">
        <v>2053</v>
      </c>
      <c r="G1561" s="1" t="s">
        <v>2067</v>
      </c>
      <c r="H1561" s="1" t="s">
        <v>2087</v>
      </c>
      <c r="I1561" s="1">
        <v>10</v>
      </c>
      <c r="J1561" s="1">
        <v>1374.41</v>
      </c>
      <c r="K1561" s="1">
        <v>20.49</v>
      </c>
      <c r="L1561" s="1">
        <v>10927.93</v>
      </c>
      <c r="M1561" s="1">
        <v>2287.7399999999998</v>
      </c>
      <c r="N1561" s="1" t="s">
        <v>2089</v>
      </c>
    </row>
    <row r="1562" spans="1:14">
      <c r="A1562" s="1" t="s">
        <v>1574</v>
      </c>
      <c r="B1562" s="2">
        <v>45861</v>
      </c>
      <c r="C1562" s="1" t="s">
        <v>2025</v>
      </c>
      <c r="D1562" s="1" t="s">
        <v>2029</v>
      </c>
      <c r="E1562" s="1" t="s">
        <v>2047</v>
      </c>
      <c r="F1562" s="1" t="s">
        <v>2051</v>
      </c>
      <c r="G1562" s="1" t="s">
        <v>2057</v>
      </c>
      <c r="H1562" s="1" t="s">
        <v>2087</v>
      </c>
      <c r="I1562" s="1">
        <v>7</v>
      </c>
      <c r="J1562" s="1">
        <v>27449.119999999999</v>
      </c>
      <c r="K1562" s="1">
        <v>27.07</v>
      </c>
      <c r="L1562" s="1">
        <v>140130.5</v>
      </c>
      <c r="M1562" s="1">
        <v>20519.740000000002</v>
      </c>
      <c r="N1562" s="1" t="s">
        <v>2090</v>
      </c>
    </row>
    <row r="1563" spans="1:14">
      <c r="A1563" s="1" t="s">
        <v>1575</v>
      </c>
      <c r="B1563" s="2">
        <v>45862</v>
      </c>
      <c r="C1563" s="1" t="s">
        <v>2019</v>
      </c>
      <c r="D1563" s="1" t="s">
        <v>2030</v>
      </c>
      <c r="E1563" s="1" t="s">
        <v>2048</v>
      </c>
      <c r="F1563" s="1" t="s">
        <v>2054</v>
      </c>
      <c r="G1563" s="1" t="s">
        <v>2063</v>
      </c>
      <c r="H1563" s="1" t="s">
        <v>2086</v>
      </c>
      <c r="I1563" s="1">
        <v>1</v>
      </c>
      <c r="J1563" s="1">
        <v>39823.56</v>
      </c>
      <c r="K1563" s="1">
        <v>9.33</v>
      </c>
      <c r="L1563" s="1">
        <v>36108.019999999997</v>
      </c>
      <c r="M1563" s="1">
        <v>6352.6</v>
      </c>
      <c r="N1563" s="1" t="s">
        <v>2090</v>
      </c>
    </row>
    <row r="1564" spans="1:14">
      <c r="A1564" s="1" t="s">
        <v>1576</v>
      </c>
      <c r="B1564" s="2">
        <v>45862</v>
      </c>
      <c r="C1564" s="1" t="s">
        <v>2028</v>
      </c>
      <c r="D1564" s="1" t="s">
        <v>2031</v>
      </c>
      <c r="E1564" s="1" t="s">
        <v>2046</v>
      </c>
      <c r="F1564" s="1" t="s">
        <v>2053</v>
      </c>
      <c r="G1564" s="1" t="s">
        <v>2060</v>
      </c>
      <c r="H1564" s="1" t="s">
        <v>2087</v>
      </c>
      <c r="I1564" s="1">
        <v>8</v>
      </c>
      <c r="J1564" s="1">
        <v>1030.83</v>
      </c>
      <c r="K1564" s="1">
        <v>3.03</v>
      </c>
      <c r="L1564" s="1">
        <v>7996.77</v>
      </c>
      <c r="M1564" s="1">
        <v>2003.03</v>
      </c>
      <c r="N1564" s="1" t="s">
        <v>2089</v>
      </c>
    </row>
    <row r="1565" spans="1:14">
      <c r="A1565" s="1" t="s">
        <v>1577</v>
      </c>
      <c r="B1565" s="2">
        <v>45862</v>
      </c>
      <c r="C1565" s="1" t="s">
        <v>2019</v>
      </c>
      <c r="D1565" s="1" t="s">
        <v>2032</v>
      </c>
      <c r="E1565" s="1" t="s">
        <v>2044</v>
      </c>
      <c r="F1565" s="1" t="s">
        <v>2050</v>
      </c>
      <c r="G1565" s="1" t="s">
        <v>2056</v>
      </c>
      <c r="H1565" s="1" t="s">
        <v>2087</v>
      </c>
      <c r="I1565" s="1">
        <v>8</v>
      </c>
      <c r="J1565" s="1">
        <v>5569.77</v>
      </c>
      <c r="K1565" s="1">
        <v>16.010000000000002</v>
      </c>
      <c r="L1565" s="1">
        <v>37424.400000000001</v>
      </c>
      <c r="M1565" s="1">
        <v>8111.6</v>
      </c>
      <c r="N1565" s="1" t="s">
        <v>2090</v>
      </c>
    </row>
    <row r="1566" spans="1:14">
      <c r="A1566" s="1" t="s">
        <v>1578</v>
      </c>
      <c r="B1566" s="2">
        <v>45863</v>
      </c>
      <c r="C1566" s="1" t="s">
        <v>2016</v>
      </c>
      <c r="D1566" s="1" t="s">
        <v>2033</v>
      </c>
      <c r="E1566" s="1" t="s">
        <v>2046</v>
      </c>
      <c r="F1566" s="1" t="s">
        <v>2051</v>
      </c>
      <c r="G1566" s="1" t="s">
        <v>2061</v>
      </c>
      <c r="H1566" s="1" t="s">
        <v>2085</v>
      </c>
      <c r="I1566" s="1">
        <v>10</v>
      </c>
      <c r="J1566" s="1">
        <v>20313.39</v>
      </c>
      <c r="K1566" s="1">
        <v>8.26</v>
      </c>
      <c r="L1566" s="1">
        <v>186355.04</v>
      </c>
      <c r="M1566" s="1">
        <v>31386.16</v>
      </c>
      <c r="N1566" s="1" t="s">
        <v>2089</v>
      </c>
    </row>
    <row r="1567" spans="1:14">
      <c r="A1567" s="1" t="s">
        <v>1579</v>
      </c>
      <c r="B1567" s="2">
        <v>45863</v>
      </c>
      <c r="C1567" s="1" t="s">
        <v>2023</v>
      </c>
      <c r="D1567" s="1" t="s">
        <v>2034</v>
      </c>
      <c r="E1567" s="1" t="s">
        <v>2048</v>
      </c>
      <c r="F1567" s="1" t="s">
        <v>2050</v>
      </c>
      <c r="G1567" s="1" t="s">
        <v>2070</v>
      </c>
      <c r="H1567" s="1" t="s">
        <v>2087</v>
      </c>
      <c r="I1567" s="1">
        <v>4</v>
      </c>
      <c r="J1567" s="1">
        <v>1274.48</v>
      </c>
      <c r="K1567" s="1">
        <v>11.57</v>
      </c>
      <c r="L1567" s="1">
        <v>4508.09</v>
      </c>
      <c r="M1567" s="1">
        <v>823.1</v>
      </c>
      <c r="N1567" s="1" t="s">
        <v>2088</v>
      </c>
    </row>
    <row r="1568" spans="1:14">
      <c r="A1568" s="1" t="s">
        <v>1580</v>
      </c>
      <c r="B1568" s="2">
        <v>45863</v>
      </c>
      <c r="C1568" s="1" t="s">
        <v>2027</v>
      </c>
      <c r="D1568" s="1" t="s">
        <v>2035</v>
      </c>
      <c r="E1568" s="1" t="s">
        <v>2048</v>
      </c>
      <c r="F1568" s="1" t="s">
        <v>2050</v>
      </c>
      <c r="G1568" s="1" t="s">
        <v>2064</v>
      </c>
      <c r="H1568" s="1" t="s">
        <v>2085</v>
      </c>
      <c r="I1568" s="1">
        <v>3</v>
      </c>
      <c r="J1568" s="1">
        <v>569.37</v>
      </c>
      <c r="K1568" s="1">
        <v>7.83</v>
      </c>
      <c r="L1568" s="1">
        <v>1574.36</v>
      </c>
      <c r="M1568" s="1">
        <v>188.41</v>
      </c>
      <c r="N1568" s="1" t="s">
        <v>2091</v>
      </c>
    </row>
    <row r="1569" spans="1:14">
      <c r="A1569" s="1" t="s">
        <v>1581</v>
      </c>
      <c r="B1569" s="2">
        <v>45864</v>
      </c>
      <c r="C1569" s="1" t="s">
        <v>2028</v>
      </c>
      <c r="D1569" s="1" t="s">
        <v>2036</v>
      </c>
      <c r="E1569" s="1" t="s">
        <v>2046</v>
      </c>
      <c r="F1569" s="1" t="s">
        <v>2049</v>
      </c>
      <c r="G1569" s="1" t="s">
        <v>2055</v>
      </c>
      <c r="H1569" s="1" t="s">
        <v>2086</v>
      </c>
      <c r="I1569" s="1">
        <v>7</v>
      </c>
      <c r="J1569" s="1">
        <v>2628.56</v>
      </c>
      <c r="K1569" s="1">
        <v>21.63</v>
      </c>
      <c r="L1569" s="1">
        <v>14420.02</v>
      </c>
      <c r="M1569" s="1">
        <v>3038.6</v>
      </c>
      <c r="N1569" s="1" t="s">
        <v>2088</v>
      </c>
    </row>
    <row r="1570" spans="1:14">
      <c r="A1570" s="1" t="s">
        <v>1582</v>
      </c>
      <c r="B1570" s="2">
        <v>45864</v>
      </c>
      <c r="C1570" s="1" t="s">
        <v>2021</v>
      </c>
      <c r="D1570" s="1" t="s">
        <v>2037</v>
      </c>
      <c r="E1570" s="1" t="s">
        <v>2044</v>
      </c>
      <c r="F1570" s="1" t="s">
        <v>2051</v>
      </c>
      <c r="G1570" s="1" t="s">
        <v>2069</v>
      </c>
      <c r="H1570" s="1" t="s">
        <v>2087</v>
      </c>
      <c r="I1570" s="1">
        <v>6</v>
      </c>
      <c r="J1570" s="1">
        <v>2559.46</v>
      </c>
      <c r="K1570" s="1">
        <v>14.37</v>
      </c>
      <c r="L1570" s="1">
        <v>13149.99</v>
      </c>
      <c r="M1570" s="1">
        <v>2627.67</v>
      </c>
      <c r="N1570" s="1" t="s">
        <v>2089</v>
      </c>
    </row>
    <row r="1571" spans="1:14">
      <c r="A1571" s="1" t="s">
        <v>1583</v>
      </c>
      <c r="B1571" s="2">
        <v>45864</v>
      </c>
      <c r="C1571" s="1" t="s">
        <v>2028</v>
      </c>
      <c r="D1571" s="1" t="s">
        <v>2038</v>
      </c>
      <c r="E1571" s="1" t="s">
        <v>2045</v>
      </c>
      <c r="F1571" s="1" t="s">
        <v>2053</v>
      </c>
      <c r="G1571" s="1" t="s">
        <v>2067</v>
      </c>
      <c r="H1571" s="1" t="s">
        <v>2086</v>
      </c>
      <c r="I1571" s="1">
        <v>4</v>
      </c>
      <c r="J1571" s="1">
        <v>329.56</v>
      </c>
      <c r="K1571" s="1">
        <v>4.95</v>
      </c>
      <c r="L1571" s="1">
        <v>1252.99</v>
      </c>
      <c r="M1571" s="1">
        <v>117.14</v>
      </c>
      <c r="N1571" s="1" t="s">
        <v>2090</v>
      </c>
    </row>
    <row r="1572" spans="1:14">
      <c r="A1572" s="1" t="s">
        <v>1584</v>
      </c>
      <c r="B1572" s="2">
        <v>45865</v>
      </c>
      <c r="C1572" s="1" t="s">
        <v>2024</v>
      </c>
      <c r="D1572" s="1" t="s">
        <v>2039</v>
      </c>
      <c r="E1572" s="1" t="s">
        <v>2048</v>
      </c>
      <c r="F1572" s="1" t="s">
        <v>2054</v>
      </c>
      <c r="G1572" s="1" t="s">
        <v>2063</v>
      </c>
      <c r="H1572" s="1" t="s">
        <v>2085</v>
      </c>
      <c r="I1572" s="1">
        <v>10</v>
      </c>
      <c r="J1572" s="1">
        <v>78174.58</v>
      </c>
      <c r="K1572" s="1">
        <v>8.18</v>
      </c>
      <c r="L1572" s="1">
        <v>717798.99</v>
      </c>
      <c r="M1572" s="1">
        <v>64309.95</v>
      </c>
      <c r="N1572" s="1" t="s">
        <v>2090</v>
      </c>
    </row>
    <row r="1573" spans="1:14">
      <c r="A1573" s="1" t="s">
        <v>1585</v>
      </c>
      <c r="B1573" s="2">
        <v>45865</v>
      </c>
      <c r="C1573" s="1" t="s">
        <v>2021</v>
      </c>
      <c r="D1573" s="1" t="s">
        <v>2040</v>
      </c>
      <c r="E1573" s="1" t="s">
        <v>2048</v>
      </c>
      <c r="F1573" s="1" t="s">
        <v>2051</v>
      </c>
      <c r="G1573" s="1" t="s">
        <v>2061</v>
      </c>
      <c r="H1573" s="1" t="s">
        <v>2086</v>
      </c>
      <c r="I1573" s="1">
        <v>8</v>
      </c>
      <c r="J1573" s="1">
        <v>23735.17</v>
      </c>
      <c r="K1573" s="1">
        <v>2.09</v>
      </c>
      <c r="L1573" s="1">
        <v>185912.84</v>
      </c>
      <c r="M1573" s="1">
        <v>11511.87</v>
      </c>
      <c r="N1573" s="1" t="s">
        <v>2092</v>
      </c>
    </row>
    <row r="1574" spans="1:14">
      <c r="A1574" s="1" t="s">
        <v>1586</v>
      </c>
      <c r="B1574" s="2">
        <v>45866</v>
      </c>
      <c r="C1574" s="1" t="s">
        <v>2026</v>
      </c>
      <c r="D1574" s="1" t="s">
        <v>2041</v>
      </c>
      <c r="E1574" s="1" t="s">
        <v>2044</v>
      </c>
      <c r="F1574" s="1" t="s">
        <v>2050</v>
      </c>
      <c r="G1574" s="1" t="s">
        <v>2070</v>
      </c>
      <c r="H1574" s="1" t="s">
        <v>2086</v>
      </c>
      <c r="I1574" s="1">
        <v>3</v>
      </c>
      <c r="J1574" s="1">
        <v>7416.47</v>
      </c>
      <c r="K1574" s="1">
        <v>15.16</v>
      </c>
      <c r="L1574" s="1">
        <v>18876.400000000001</v>
      </c>
      <c r="M1574" s="1">
        <v>2111.06</v>
      </c>
      <c r="N1574" s="1" t="s">
        <v>2090</v>
      </c>
    </row>
    <row r="1575" spans="1:14">
      <c r="A1575" s="1" t="s">
        <v>1587</v>
      </c>
      <c r="B1575" s="2">
        <v>45866</v>
      </c>
      <c r="C1575" s="1" t="s">
        <v>2027</v>
      </c>
      <c r="D1575" s="1" t="s">
        <v>2042</v>
      </c>
      <c r="E1575" s="1" t="s">
        <v>2048</v>
      </c>
      <c r="F1575" s="1" t="s">
        <v>2050</v>
      </c>
      <c r="G1575" s="1" t="s">
        <v>2056</v>
      </c>
      <c r="H1575" s="1" t="s">
        <v>2086</v>
      </c>
      <c r="I1575" s="1">
        <v>6</v>
      </c>
      <c r="J1575" s="1">
        <v>2968.65</v>
      </c>
      <c r="K1575" s="1">
        <v>25.08</v>
      </c>
      <c r="L1575" s="1">
        <v>13344.68</v>
      </c>
      <c r="M1575" s="1">
        <v>3197.54</v>
      </c>
      <c r="N1575" s="1" t="s">
        <v>2090</v>
      </c>
    </row>
    <row r="1576" spans="1:14">
      <c r="A1576" s="1" t="s">
        <v>1588</v>
      </c>
      <c r="B1576" s="2">
        <v>45866</v>
      </c>
      <c r="C1576" s="1" t="s">
        <v>2022</v>
      </c>
      <c r="D1576" s="1" t="s">
        <v>2043</v>
      </c>
      <c r="E1576" s="1" t="s">
        <v>2045</v>
      </c>
      <c r="F1576" s="1" t="s">
        <v>2051</v>
      </c>
      <c r="G1576" s="1" t="s">
        <v>2077</v>
      </c>
      <c r="H1576" s="1" t="s">
        <v>2085</v>
      </c>
      <c r="I1576" s="1">
        <v>5</v>
      </c>
      <c r="J1576" s="1">
        <v>34668.839999999997</v>
      </c>
      <c r="K1576" s="1">
        <v>19.79</v>
      </c>
      <c r="L1576" s="1">
        <v>139039.38</v>
      </c>
      <c r="M1576" s="1">
        <v>32020.95</v>
      </c>
      <c r="N1576" s="1" t="s">
        <v>2092</v>
      </c>
    </row>
    <row r="1577" spans="1:14">
      <c r="A1577" s="1" t="s">
        <v>1589</v>
      </c>
      <c r="B1577" s="2">
        <v>45867</v>
      </c>
      <c r="C1577" s="1" t="s">
        <v>2017</v>
      </c>
      <c r="D1577" s="1" t="s">
        <v>2029</v>
      </c>
      <c r="E1577" s="1" t="s">
        <v>2048</v>
      </c>
      <c r="F1577" s="1" t="s">
        <v>2052</v>
      </c>
      <c r="G1577" s="1" t="s">
        <v>2065</v>
      </c>
      <c r="H1577" s="1" t="s">
        <v>2087</v>
      </c>
      <c r="I1577" s="1">
        <v>3</v>
      </c>
      <c r="J1577" s="1">
        <v>7528.21</v>
      </c>
      <c r="K1577" s="1">
        <v>11.92</v>
      </c>
      <c r="L1577" s="1">
        <v>19892.54</v>
      </c>
      <c r="M1577" s="1">
        <v>2041.08</v>
      </c>
      <c r="N1577" s="1" t="s">
        <v>2089</v>
      </c>
    </row>
    <row r="1578" spans="1:14">
      <c r="A1578" s="1" t="s">
        <v>1590</v>
      </c>
      <c r="B1578" s="2">
        <v>45867</v>
      </c>
      <c r="C1578" s="1" t="s">
        <v>2028</v>
      </c>
      <c r="D1578" s="1" t="s">
        <v>2030</v>
      </c>
      <c r="E1578" s="1" t="s">
        <v>2047</v>
      </c>
      <c r="F1578" s="1" t="s">
        <v>2052</v>
      </c>
      <c r="G1578" s="1" t="s">
        <v>2072</v>
      </c>
      <c r="H1578" s="1" t="s">
        <v>2085</v>
      </c>
      <c r="I1578" s="1">
        <v>3</v>
      </c>
      <c r="J1578" s="1">
        <v>2430.58</v>
      </c>
      <c r="K1578" s="1">
        <v>29.62</v>
      </c>
      <c r="L1578" s="1">
        <v>5131.93</v>
      </c>
      <c r="M1578" s="1">
        <v>974.92</v>
      </c>
      <c r="N1578" s="1" t="s">
        <v>2090</v>
      </c>
    </row>
    <row r="1579" spans="1:14">
      <c r="A1579" s="1" t="s">
        <v>1591</v>
      </c>
      <c r="B1579" s="2">
        <v>45867</v>
      </c>
      <c r="C1579" s="1" t="s">
        <v>2023</v>
      </c>
      <c r="D1579" s="1" t="s">
        <v>2031</v>
      </c>
      <c r="E1579" s="1" t="s">
        <v>2047</v>
      </c>
      <c r="F1579" s="1" t="s">
        <v>2049</v>
      </c>
      <c r="G1579" s="1" t="s">
        <v>2082</v>
      </c>
      <c r="H1579" s="1" t="s">
        <v>2087</v>
      </c>
      <c r="I1579" s="1">
        <v>3</v>
      </c>
      <c r="J1579" s="1">
        <v>2212.12</v>
      </c>
      <c r="K1579" s="1">
        <v>3.26</v>
      </c>
      <c r="L1579" s="1">
        <v>6420.01</v>
      </c>
      <c r="M1579" s="1">
        <v>1528.06</v>
      </c>
      <c r="N1579" s="1" t="s">
        <v>2092</v>
      </c>
    </row>
    <row r="1580" spans="1:14">
      <c r="A1580" s="1" t="s">
        <v>1592</v>
      </c>
      <c r="B1580" s="2">
        <v>45868</v>
      </c>
      <c r="C1580" s="1" t="s">
        <v>2018</v>
      </c>
      <c r="D1580" s="1" t="s">
        <v>2032</v>
      </c>
      <c r="E1580" s="1" t="s">
        <v>2047</v>
      </c>
      <c r="F1580" s="1" t="s">
        <v>2050</v>
      </c>
      <c r="G1580" s="1" t="s">
        <v>2064</v>
      </c>
      <c r="H1580" s="1" t="s">
        <v>2086</v>
      </c>
      <c r="I1580" s="1">
        <v>2</v>
      </c>
      <c r="J1580" s="1">
        <v>3967.71</v>
      </c>
      <c r="K1580" s="1">
        <v>1.5</v>
      </c>
      <c r="L1580" s="1">
        <v>7816.39</v>
      </c>
      <c r="M1580" s="1">
        <v>1582.61</v>
      </c>
      <c r="N1580" s="1" t="s">
        <v>2090</v>
      </c>
    </row>
    <row r="1581" spans="1:14">
      <c r="A1581" s="1" t="s">
        <v>1593</v>
      </c>
      <c r="B1581" s="2">
        <v>45868</v>
      </c>
      <c r="C1581" s="1" t="s">
        <v>2015</v>
      </c>
      <c r="D1581" s="1" t="s">
        <v>2033</v>
      </c>
      <c r="E1581" s="1" t="s">
        <v>2048</v>
      </c>
      <c r="F1581" s="1" t="s">
        <v>2051</v>
      </c>
      <c r="G1581" s="1" t="s">
        <v>2077</v>
      </c>
      <c r="H1581" s="1" t="s">
        <v>2085</v>
      </c>
      <c r="I1581" s="1">
        <v>3</v>
      </c>
      <c r="J1581" s="1">
        <v>3198.75</v>
      </c>
      <c r="K1581" s="1">
        <v>15.75</v>
      </c>
      <c r="L1581" s="1">
        <v>8084.84</v>
      </c>
      <c r="M1581" s="1">
        <v>572.77</v>
      </c>
      <c r="N1581" s="1" t="s">
        <v>2091</v>
      </c>
    </row>
    <row r="1582" spans="1:14">
      <c r="A1582" s="1" t="s">
        <v>1594</v>
      </c>
      <c r="B1582" s="2">
        <v>45868</v>
      </c>
      <c r="C1582" s="1" t="s">
        <v>2026</v>
      </c>
      <c r="D1582" s="1" t="s">
        <v>2034</v>
      </c>
      <c r="E1582" s="1" t="s">
        <v>2048</v>
      </c>
      <c r="F1582" s="1" t="s">
        <v>2053</v>
      </c>
      <c r="G1582" s="1" t="s">
        <v>2067</v>
      </c>
      <c r="H1582" s="1" t="s">
        <v>2087</v>
      </c>
      <c r="I1582" s="1">
        <v>9</v>
      </c>
      <c r="J1582" s="1">
        <v>1775.76</v>
      </c>
      <c r="K1582" s="1">
        <v>27.79</v>
      </c>
      <c r="L1582" s="1">
        <v>11540.49</v>
      </c>
      <c r="M1582" s="1">
        <v>2918.17</v>
      </c>
      <c r="N1582" s="1" t="s">
        <v>2092</v>
      </c>
    </row>
    <row r="1583" spans="1:14">
      <c r="A1583" s="1" t="s">
        <v>1595</v>
      </c>
      <c r="B1583" s="2">
        <v>45869</v>
      </c>
      <c r="C1583" s="1" t="s">
        <v>2015</v>
      </c>
      <c r="D1583" s="1" t="s">
        <v>2035</v>
      </c>
      <c r="E1583" s="1" t="s">
        <v>2044</v>
      </c>
      <c r="F1583" s="1" t="s">
        <v>2050</v>
      </c>
      <c r="G1583" s="1" t="s">
        <v>2064</v>
      </c>
      <c r="H1583" s="1" t="s">
        <v>2087</v>
      </c>
      <c r="I1583" s="1">
        <v>7</v>
      </c>
      <c r="J1583" s="1">
        <v>5139.41</v>
      </c>
      <c r="K1583" s="1">
        <v>5.18</v>
      </c>
      <c r="L1583" s="1">
        <v>34112.32</v>
      </c>
      <c r="M1583" s="1">
        <v>3911.32</v>
      </c>
      <c r="N1583" s="1" t="s">
        <v>2090</v>
      </c>
    </row>
    <row r="1584" spans="1:14">
      <c r="A1584" s="1" t="s">
        <v>1596</v>
      </c>
      <c r="B1584" s="2">
        <v>45869</v>
      </c>
      <c r="C1584" s="1" t="s">
        <v>2023</v>
      </c>
      <c r="D1584" s="1" t="s">
        <v>2036</v>
      </c>
      <c r="E1584" s="1" t="s">
        <v>2048</v>
      </c>
      <c r="F1584" s="1" t="s">
        <v>2050</v>
      </c>
      <c r="G1584" s="1" t="s">
        <v>2056</v>
      </c>
      <c r="H1584" s="1" t="s">
        <v>2087</v>
      </c>
      <c r="I1584" s="1">
        <v>8</v>
      </c>
      <c r="J1584" s="1">
        <v>529.46</v>
      </c>
      <c r="K1584" s="1">
        <v>16.899999999999999</v>
      </c>
      <c r="L1584" s="1">
        <v>3519.85</v>
      </c>
      <c r="M1584" s="1">
        <v>847.26</v>
      </c>
      <c r="N1584" s="1" t="s">
        <v>2092</v>
      </c>
    </row>
    <row r="1585" spans="1:14">
      <c r="A1585" s="1" t="s">
        <v>1597</v>
      </c>
      <c r="B1585" s="2">
        <v>45870</v>
      </c>
      <c r="C1585" s="1" t="s">
        <v>2020</v>
      </c>
      <c r="D1585" s="1" t="s">
        <v>2037</v>
      </c>
      <c r="E1585" s="1" t="s">
        <v>2045</v>
      </c>
      <c r="F1585" s="1" t="s">
        <v>2052</v>
      </c>
      <c r="G1585" s="1" t="s">
        <v>2078</v>
      </c>
      <c r="H1585" s="1" t="s">
        <v>2085</v>
      </c>
      <c r="I1585" s="1">
        <v>1</v>
      </c>
      <c r="J1585" s="1">
        <v>1284.92</v>
      </c>
      <c r="K1585" s="1">
        <v>24.36</v>
      </c>
      <c r="L1585" s="1">
        <v>971.91</v>
      </c>
      <c r="M1585" s="1">
        <v>250.12</v>
      </c>
      <c r="N1585" s="1" t="s">
        <v>2088</v>
      </c>
    </row>
    <row r="1586" spans="1:14">
      <c r="A1586" s="1" t="s">
        <v>1598</v>
      </c>
      <c r="B1586" s="2">
        <v>45870</v>
      </c>
      <c r="C1586" s="1" t="s">
        <v>2023</v>
      </c>
      <c r="D1586" s="1" t="s">
        <v>2038</v>
      </c>
      <c r="E1586" s="1" t="s">
        <v>2045</v>
      </c>
      <c r="F1586" s="1" t="s">
        <v>2054</v>
      </c>
      <c r="G1586" s="1" t="s">
        <v>2066</v>
      </c>
      <c r="H1586" s="1" t="s">
        <v>2086</v>
      </c>
      <c r="I1586" s="1">
        <v>4</v>
      </c>
      <c r="J1586" s="1">
        <v>53751.75</v>
      </c>
      <c r="K1586" s="1">
        <v>20.02</v>
      </c>
      <c r="L1586" s="1">
        <v>171962.6</v>
      </c>
      <c r="M1586" s="1">
        <v>30697.16</v>
      </c>
      <c r="N1586" s="1" t="s">
        <v>2090</v>
      </c>
    </row>
    <row r="1587" spans="1:14">
      <c r="A1587" s="1" t="s">
        <v>1599</v>
      </c>
      <c r="B1587" s="2">
        <v>45870</v>
      </c>
      <c r="C1587" s="1" t="s">
        <v>2025</v>
      </c>
      <c r="D1587" s="1" t="s">
        <v>2039</v>
      </c>
      <c r="E1587" s="1" t="s">
        <v>2048</v>
      </c>
      <c r="F1587" s="1" t="s">
        <v>2053</v>
      </c>
      <c r="G1587" s="1" t="s">
        <v>2076</v>
      </c>
      <c r="H1587" s="1" t="s">
        <v>2086</v>
      </c>
      <c r="I1587" s="1">
        <v>5</v>
      </c>
      <c r="J1587" s="1">
        <v>1140.05</v>
      </c>
      <c r="K1587" s="1">
        <v>8.3000000000000007</v>
      </c>
      <c r="L1587" s="1">
        <v>5227.13</v>
      </c>
      <c r="M1587" s="1">
        <v>1535.06</v>
      </c>
      <c r="N1587" s="1" t="s">
        <v>2091</v>
      </c>
    </row>
    <row r="1588" spans="1:14">
      <c r="A1588" s="1" t="s">
        <v>1600</v>
      </c>
      <c r="B1588" s="2">
        <v>45871</v>
      </c>
      <c r="C1588" s="1" t="s">
        <v>2018</v>
      </c>
      <c r="D1588" s="1" t="s">
        <v>2040</v>
      </c>
      <c r="E1588" s="1" t="s">
        <v>2044</v>
      </c>
      <c r="F1588" s="1" t="s">
        <v>2051</v>
      </c>
      <c r="G1588" s="1" t="s">
        <v>2080</v>
      </c>
      <c r="H1588" s="1" t="s">
        <v>2085</v>
      </c>
      <c r="I1588" s="1">
        <v>7</v>
      </c>
      <c r="J1588" s="1">
        <v>23876.99</v>
      </c>
      <c r="K1588" s="1">
        <v>18.39</v>
      </c>
      <c r="L1588" s="1">
        <v>136402.07999999999</v>
      </c>
      <c r="M1588" s="1">
        <v>34801.67</v>
      </c>
      <c r="N1588" s="1" t="s">
        <v>2092</v>
      </c>
    </row>
    <row r="1589" spans="1:14">
      <c r="A1589" s="1" t="s">
        <v>1601</v>
      </c>
      <c r="B1589" s="2">
        <v>45871</v>
      </c>
      <c r="C1589" s="1" t="s">
        <v>2018</v>
      </c>
      <c r="D1589" s="1" t="s">
        <v>2041</v>
      </c>
      <c r="E1589" s="1" t="s">
        <v>2045</v>
      </c>
      <c r="F1589" s="1" t="s">
        <v>2051</v>
      </c>
      <c r="G1589" s="1" t="s">
        <v>2061</v>
      </c>
      <c r="H1589" s="1" t="s">
        <v>2086</v>
      </c>
      <c r="I1589" s="1">
        <v>5</v>
      </c>
      <c r="J1589" s="1">
        <v>24950.49</v>
      </c>
      <c r="K1589" s="1">
        <v>6.19</v>
      </c>
      <c r="L1589" s="1">
        <v>117030.27</v>
      </c>
      <c r="M1589" s="1">
        <v>10095.77</v>
      </c>
      <c r="N1589" s="1" t="s">
        <v>2088</v>
      </c>
    </row>
    <row r="1590" spans="1:14">
      <c r="A1590" s="1" t="s">
        <v>1602</v>
      </c>
      <c r="B1590" s="2">
        <v>45871</v>
      </c>
      <c r="C1590" s="1" t="s">
        <v>2020</v>
      </c>
      <c r="D1590" s="1" t="s">
        <v>2042</v>
      </c>
      <c r="E1590" s="1" t="s">
        <v>2047</v>
      </c>
      <c r="F1590" s="1" t="s">
        <v>2053</v>
      </c>
      <c r="G1590" s="1" t="s">
        <v>2076</v>
      </c>
      <c r="H1590" s="1" t="s">
        <v>2087</v>
      </c>
      <c r="I1590" s="1">
        <v>1</v>
      </c>
      <c r="J1590" s="1">
        <v>2017.62</v>
      </c>
      <c r="K1590" s="1">
        <v>1.0900000000000001</v>
      </c>
      <c r="L1590" s="1">
        <v>1995.63</v>
      </c>
      <c r="M1590" s="1">
        <v>590.72</v>
      </c>
      <c r="N1590" s="1" t="s">
        <v>2090</v>
      </c>
    </row>
    <row r="1591" spans="1:14">
      <c r="A1591" s="1" t="s">
        <v>1603</v>
      </c>
      <c r="B1591" s="2">
        <v>45872</v>
      </c>
      <c r="C1591" s="1" t="s">
        <v>2023</v>
      </c>
      <c r="D1591" s="1" t="s">
        <v>2043</v>
      </c>
      <c r="E1591" s="1" t="s">
        <v>2045</v>
      </c>
      <c r="F1591" s="1" t="s">
        <v>2054</v>
      </c>
      <c r="G1591" s="1" t="s">
        <v>2066</v>
      </c>
      <c r="H1591" s="1" t="s">
        <v>2086</v>
      </c>
      <c r="I1591" s="1">
        <v>6</v>
      </c>
      <c r="J1591" s="1">
        <v>76455.429999999993</v>
      </c>
      <c r="K1591" s="1">
        <v>12.41</v>
      </c>
      <c r="L1591" s="1">
        <v>401803.87</v>
      </c>
      <c r="M1591" s="1">
        <v>115761.77</v>
      </c>
      <c r="N1591" s="1" t="s">
        <v>2089</v>
      </c>
    </row>
    <row r="1592" spans="1:14">
      <c r="A1592" s="1" t="s">
        <v>1604</v>
      </c>
      <c r="B1592" s="2">
        <v>45872</v>
      </c>
      <c r="C1592" s="1" t="s">
        <v>2021</v>
      </c>
      <c r="D1592" s="1" t="s">
        <v>2029</v>
      </c>
      <c r="E1592" s="1" t="s">
        <v>2047</v>
      </c>
      <c r="F1592" s="1" t="s">
        <v>2049</v>
      </c>
      <c r="G1592" s="1" t="s">
        <v>2074</v>
      </c>
      <c r="H1592" s="1" t="s">
        <v>2087</v>
      </c>
      <c r="I1592" s="1">
        <v>10</v>
      </c>
      <c r="J1592" s="1">
        <v>1698.23</v>
      </c>
      <c r="K1592" s="1">
        <v>1.74</v>
      </c>
      <c r="L1592" s="1">
        <v>16686.810000000001</v>
      </c>
      <c r="M1592" s="1">
        <v>3738.94</v>
      </c>
      <c r="N1592" s="1" t="s">
        <v>2089</v>
      </c>
    </row>
    <row r="1593" spans="1:14">
      <c r="A1593" s="1" t="s">
        <v>1605</v>
      </c>
      <c r="B1593" s="2">
        <v>45873</v>
      </c>
      <c r="C1593" s="1" t="s">
        <v>2016</v>
      </c>
      <c r="D1593" s="1" t="s">
        <v>2030</v>
      </c>
      <c r="E1593" s="1" t="s">
        <v>2046</v>
      </c>
      <c r="F1593" s="1" t="s">
        <v>2053</v>
      </c>
      <c r="G1593" s="1" t="s">
        <v>2060</v>
      </c>
      <c r="H1593" s="1" t="s">
        <v>2085</v>
      </c>
      <c r="I1593" s="1">
        <v>6</v>
      </c>
      <c r="J1593" s="1">
        <v>1234.99</v>
      </c>
      <c r="K1593" s="1">
        <v>22.51</v>
      </c>
      <c r="L1593" s="1">
        <v>5741.96</v>
      </c>
      <c r="M1593" s="1">
        <v>1164.8900000000001</v>
      </c>
      <c r="N1593" s="1" t="s">
        <v>2090</v>
      </c>
    </row>
    <row r="1594" spans="1:14">
      <c r="A1594" s="1" t="s">
        <v>1606</v>
      </c>
      <c r="B1594" s="2">
        <v>45873</v>
      </c>
      <c r="C1594" s="1" t="s">
        <v>2018</v>
      </c>
      <c r="D1594" s="1" t="s">
        <v>2031</v>
      </c>
      <c r="E1594" s="1" t="s">
        <v>2044</v>
      </c>
      <c r="F1594" s="1" t="s">
        <v>2053</v>
      </c>
      <c r="G1594" s="1" t="s">
        <v>2060</v>
      </c>
      <c r="H1594" s="1" t="s">
        <v>2087</v>
      </c>
      <c r="I1594" s="1">
        <v>4</v>
      </c>
      <c r="J1594" s="1">
        <v>528.66</v>
      </c>
      <c r="K1594" s="1">
        <v>29.47</v>
      </c>
      <c r="L1594" s="1">
        <v>1491.46</v>
      </c>
      <c r="M1594" s="1">
        <v>214.83</v>
      </c>
      <c r="N1594" s="1" t="s">
        <v>2091</v>
      </c>
    </row>
    <row r="1595" spans="1:14">
      <c r="A1595" s="1" t="s">
        <v>1607</v>
      </c>
      <c r="B1595" s="2">
        <v>45873</v>
      </c>
      <c r="C1595" s="1" t="s">
        <v>2025</v>
      </c>
      <c r="D1595" s="1" t="s">
        <v>2032</v>
      </c>
      <c r="E1595" s="1" t="s">
        <v>2046</v>
      </c>
      <c r="F1595" s="1" t="s">
        <v>2052</v>
      </c>
      <c r="G1595" s="1" t="s">
        <v>2078</v>
      </c>
      <c r="H1595" s="1" t="s">
        <v>2086</v>
      </c>
      <c r="I1595" s="1">
        <v>9</v>
      </c>
      <c r="J1595" s="1">
        <v>9990.2900000000009</v>
      </c>
      <c r="K1595" s="1">
        <v>9.5500000000000007</v>
      </c>
      <c r="L1595" s="1">
        <v>81325.960000000006</v>
      </c>
      <c r="M1595" s="1">
        <v>7092.78</v>
      </c>
      <c r="N1595" s="1" t="s">
        <v>2092</v>
      </c>
    </row>
    <row r="1596" spans="1:14">
      <c r="A1596" s="1" t="s">
        <v>1608</v>
      </c>
      <c r="B1596" s="2">
        <v>45874</v>
      </c>
      <c r="C1596" s="1" t="s">
        <v>2020</v>
      </c>
      <c r="D1596" s="1" t="s">
        <v>2033</v>
      </c>
      <c r="E1596" s="1" t="s">
        <v>2046</v>
      </c>
      <c r="F1596" s="1" t="s">
        <v>2049</v>
      </c>
      <c r="G1596" s="1" t="s">
        <v>2055</v>
      </c>
      <c r="H1596" s="1" t="s">
        <v>2086</v>
      </c>
      <c r="I1596" s="1">
        <v>3</v>
      </c>
      <c r="J1596" s="1">
        <v>1151.25</v>
      </c>
      <c r="K1596" s="1">
        <v>12.53</v>
      </c>
      <c r="L1596" s="1">
        <v>3021</v>
      </c>
      <c r="M1596" s="1">
        <v>378.07</v>
      </c>
      <c r="N1596" s="1" t="s">
        <v>2092</v>
      </c>
    </row>
    <row r="1597" spans="1:14">
      <c r="A1597" s="1" t="s">
        <v>1609</v>
      </c>
      <c r="B1597" s="2">
        <v>45874</v>
      </c>
      <c r="C1597" s="1" t="s">
        <v>2020</v>
      </c>
      <c r="D1597" s="1" t="s">
        <v>2034</v>
      </c>
      <c r="E1597" s="1" t="s">
        <v>2048</v>
      </c>
      <c r="F1597" s="1" t="s">
        <v>2050</v>
      </c>
      <c r="G1597" s="1" t="s">
        <v>2064</v>
      </c>
      <c r="H1597" s="1" t="s">
        <v>2085</v>
      </c>
      <c r="I1597" s="1">
        <v>10</v>
      </c>
      <c r="J1597" s="1">
        <v>2146.5500000000002</v>
      </c>
      <c r="K1597" s="1">
        <v>26.76</v>
      </c>
      <c r="L1597" s="1">
        <v>15721.33</v>
      </c>
      <c r="M1597" s="1">
        <v>4603.1000000000004</v>
      </c>
      <c r="N1597" s="1" t="s">
        <v>2091</v>
      </c>
    </row>
    <row r="1598" spans="1:14">
      <c r="A1598" s="1" t="s">
        <v>1610</v>
      </c>
      <c r="B1598" s="2">
        <v>45874</v>
      </c>
      <c r="C1598" s="1" t="s">
        <v>2014</v>
      </c>
      <c r="D1598" s="1" t="s">
        <v>2035</v>
      </c>
      <c r="E1598" s="1" t="s">
        <v>2044</v>
      </c>
      <c r="F1598" s="1" t="s">
        <v>2053</v>
      </c>
      <c r="G1598" s="1" t="s">
        <v>2062</v>
      </c>
      <c r="H1598" s="1" t="s">
        <v>2087</v>
      </c>
      <c r="I1598" s="1">
        <v>1</v>
      </c>
      <c r="J1598" s="1">
        <v>2025.8</v>
      </c>
      <c r="K1598" s="1">
        <v>20.11</v>
      </c>
      <c r="L1598" s="1">
        <v>1618.41</v>
      </c>
      <c r="M1598" s="1">
        <v>132.16999999999999</v>
      </c>
      <c r="N1598" s="1" t="s">
        <v>2089</v>
      </c>
    </row>
    <row r="1599" spans="1:14">
      <c r="A1599" s="1" t="s">
        <v>1611</v>
      </c>
      <c r="B1599" s="2">
        <v>45875</v>
      </c>
      <c r="C1599" s="1" t="s">
        <v>2014</v>
      </c>
      <c r="D1599" s="1" t="s">
        <v>2036</v>
      </c>
      <c r="E1599" s="1" t="s">
        <v>2046</v>
      </c>
      <c r="F1599" s="1" t="s">
        <v>2054</v>
      </c>
      <c r="G1599" s="1" t="s">
        <v>2081</v>
      </c>
      <c r="H1599" s="1" t="s">
        <v>2085</v>
      </c>
      <c r="I1599" s="1">
        <v>6</v>
      </c>
      <c r="J1599" s="1">
        <v>74562.84</v>
      </c>
      <c r="K1599" s="1">
        <v>29.18</v>
      </c>
      <c r="L1599" s="1">
        <v>316832.42</v>
      </c>
      <c r="M1599" s="1">
        <v>77712.41</v>
      </c>
      <c r="N1599" s="1" t="s">
        <v>2090</v>
      </c>
    </row>
    <row r="1600" spans="1:14">
      <c r="A1600" s="1" t="s">
        <v>1612</v>
      </c>
      <c r="B1600" s="2">
        <v>45875</v>
      </c>
      <c r="C1600" s="1" t="s">
        <v>2028</v>
      </c>
      <c r="D1600" s="1" t="s">
        <v>2037</v>
      </c>
      <c r="E1600" s="1" t="s">
        <v>2048</v>
      </c>
      <c r="F1600" s="1" t="s">
        <v>2050</v>
      </c>
      <c r="G1600" s="1" t="s">
        <v>2056</v>
      </c>
      <c r="H1600" s="1" t="s">
        <v>2085</v>
      </c>
      <c r="I1600" s="1">
        <v>3</v>
      </c>
      <c r="J1600" s="1">
        <v>6680.27</v>
      </c>
      <c r="K1600" s="1">
        <v>12.77</v>
      </c>
      <c r="L1600" s="1">
        <v>17481.599999999999</v>
      </c>
      <c r="M1600" s="1">
        <v>1144.1400000000001</v>
      </c>
      <c r="N1600" s="1" t="s">
        <v>2092</v>
      </c>
    </row>
    <row r="1601" spans="1:14">
      <c r="A1601" s="1" t="s">
        <v>1613</v>
      </c>
      <c r="B1601" s="2">
        <v>45875</v>
      </c>
      <c r="C1601" s="1" t="s">
        <v>2026</v>
      </c>
      <c r="D1601" s="1" t="s">
        <v>2038</v>
      </c>
      <c r="E1601" s="1" t="s">
        <v>2046</v>
      </c>
      <c r="F1601" s="1" t="s">
        <v>2049</v>
      </c>
      <c r="G1601" s="1" t="s">
        <v>2058</v>
      </c>
      <c r="H1601" s="1" t="s">
        <v>2087</v>
      </c>
      <c r="I1601" s="1">
        <v>5</v>
      </c>
      <c r="J1601" s="1">
        <v>1888.61</v>
      </c>
      <c r="K1601" s="1">
        <v>19.989999999999998</v>
      </c>
      <c r="L1601" s="1">
        <v>7555.38</v>
      </c>
      <c r="M1601" s="1">
        <v>1410.05</v>
      </c>
      <c r="N1601" s="1" t="s">
        <v>2091</v>
      </c>
    </row>
    <row r="1602" spans="1:14">
      <c r="A1602" s="1" t="s">
        <v>1614</v>
      </c>
      <c r="B1602" s="2">
        <v>45876</v>
      </c>
      <c r="C1602" s="1" t="s">
        <v>2026</v>
      </c>
      <c r="D1602" s="1" t="s">
        <v>2039</v>
      </c>
      <c r="E1602" s="1" t="s">
        <v>2044</v>
      </c>
      <c r="F1602" s="1" t="s">
        <v>2049</v>
      </c>
      <c r="G1602" s="1" t="s">
        <v>2071</v>
      </c>
      <c r="H1602" s="1" t="s">
        <v>2085</v>
      </c>
      <c r="I1602" s="1">
        <v>2</v>
      </c>
      <c r="J1602" s="1">
        <v>262.06</v>
      </c>
      <c r="K1602" s="1">
        <v>8.0500000000000007</v>
      </c>
      <c r="L1602" s="1">
        <v>481.93</v>
      </c>
      <c r="M1602" s="1">
        <v>33.76</v>
      </c>
      <c r="N1602" s="1" t="s">
        <v>2089</v>
      </c>
    </row>
    <row r="1603" spans="1:14">
      <c r="A1603" s="1" t="s">
        <v>1615</v>
      </c>
      <c r="B1603" s="2">
        <v>45876</v>
      </c>
      <c r="C1603" s="1" t="s">
        <v>2026</v>
      </c>
      <c r="D1603" s="1" t="s">
        <v>2040</v>
      </c>
      <c r="E1603" s="1" t="s">
        <v>2046</v>
      </c>
      <c r="F1603" s="1" t="s">
        <v>2054</v>
      </c>
      <c r="G1603" s="1" t="s">
        <v>2081</v>
      </c>
      <c r="H1603" s="1" t="s">
        <v>2087</v>
      </c>
      <c r="I1603" s="1">
        <v>2</v>
      </c>
      <c r="J1603" s="1">
        <v>13805.72</v>
      </c>
      <c r="K1603" s="1">
        <v>29.35</v>
      </c>
      <c r="L1603" s="1">
        <v>19507.48</v>
      </c>
      <c r="M1603" s="1">
        <v>2804.4</v>
      </c>
      <c r="N1603" s="1" t="s">
        <v>2091</v>
      </c>
    </row>
    <row r="1604" spans="1:14">
      <c r="A1604" s="1" t="s">
        <v>1616</v>
      </c>
      <c r="B1604" s="2">
        <v>45877</v>
      </c>
      <c r="C1604" s="1" t="s">
        <v>2017</v>
      </c>
      <c r="D1604" s="1" t="s">
        <v>2041</v>
      </c>
      <c r="E1604" s="1" t="s">
        <v>2047</v>
      </c>
      <c r="F1604" s="1" t="s">
        <v>2049</v>
      </c>
      <c r="G1604" s="1" t="s">
        <v>2074</v>
      </c>
      <c r="H1604" s="1" t="s">
        <v>2085</v>
      </c>
      <c r="I1604" s="1">
        <v>4</v>
      </c>
      <c r="J1604" s="1">
        <v>82.35</v>
      </c>
      <c r="K1604" s="1">
        <v>26.59</v>
      </c>
      <c r="L1604" s="1">
        <v>241.81</v>
      </c>
      <c r="M1604" s="1">
        <v>28.5</v>
      </c>
      <c r="N1604" s="1" t="s">
        <v>2088</v>
      </c>
    </row>
    <row r="1605" spans="1:14">
      <c r="A1605" s="1" t="s">
        <v>1617</v>
      </c>
      <c r="B1605" s="2">
        <v>45877</v>
      </c>
      <c r="C1605" s="1" t="s">
        <v>2025</v>
      </c>
      <c r="D1605" s="1" t="s">
        <v>2042</v>
      </c>
      <c r="E1605" s="1" t="s">
        <v>2048</v>
      </c>
      <c r="F1605" s="1" t="s">
        <v>2053</v>
      </c>
      <c r="G1605" s="1" t="s">
        <v>2073</v>
      </c>
      <c r="H1605" s="1" t="s">
        <v>2085</v>
      </c>
      <c r="I1605" s="1">
        <v>8</v>
      </c>
      <c r="J1605" s="1">
        <v>1997.97</v>
      </c>
      <c r="K1605" s="1">
        <v>17.46</v>
      </c>
      <c r="L1605" s="1">
        <v>13193</v>
      </c>
      <c r="M1605" s="1">
        <v>2867.73</v>
      </c>
      <c r="N1605" s="1" t="s">
        <v>2092</v>
      </c>
    </row>
    <row r="1606" spans="1:14">
      <c r="A1606" s="1" t="s">
        <v>1618</v>
      </c>
      <c r="B1606" s="2">
        <v>45877</v>
      </c>
      <c r="C1606" s="1" t="s">
        <v>2018</v>
      </c>
      <c r="D1606" s="1" t="s">
        <v>2043</v>
      </c>
      <c r="E1606" s="1" t="s">
        <v>2045</v>
      </c>
      <c r="F1606" s="1" t="s">
        <v>2051</v>
      </c>
      <c r="G1606" s="1" t="s">
        <v>2077</v>
      </c>
      <c r="H1606" s="1" t="s">
        <v>2086</v>
      </c>
      <c r="I1606" s="1">
        <v>10</v>
      </c>
      <c r="J1606" s="1">
        <v>20493.07</v>
      </c>
      <c r="K1606" s="1">
        <v>11.63</v>
      </c>
      <c r="L1606" s="1">
        <v>181097.26</v>
      </c>
      <c r="M1606" s="1">
        <v>36811.29</v>
      </c>
      <c r="N1606" s="1" t="s">
        <v>2090</v>
      </c>
    </row>
    <row r="1607" spans="1:14">
      <c r="A1607" s="1" t="s">
        <v>1619</v>
      </c>
      <c r="B1607" s="2">
        <v>45878</v>
      </c>
      <c r="C1607" s="1" t="s">
        <v>2020</v>
      </c>
      <c r="D1607" s="1" t="s">
        <v>2029</v>
      </c>
      <c r="E1607" s="1" t="s">
        <v>2046</v>
      </c>
      <c r="F1607" s="1" t="s">
        <v>2052</v>
      </c>
      <c r="G1607" s="1" t="s">
        <v>2065</v>
      </c>
      <c r="H1607" s="1" t="s">
        <v>2086</v>
      </c>
      <c r="I1607" s="1">
        <v>5</v>
      </c>
      <c r="J1607" s="1">
        <v>9406.91</v>
      </c>
      <c r="K1607" s="1">
        <v>12.86</v>
      </c>
      <c r="L1607" s="1">
        <v>40985.910000000003</v>
      </c>
      <c r="M1607" s="1">
        <v>5721.3</v>
      </c>
      <c r="N1607" s="1" t="s">
        <v>2089</v>
      </c>
    </row>
    <row r="1608" spans="1:14">
      <c r="A1608" s="1" t="s">
        <v>1620</v>
      </c>
      <c r="B1608" s="2">
        <v>45878</v>
      </c>
      <c r="C1608" s="1" t="s">
        <v>2014</v>
      </c>
      <c r="D1608" s="1" t="s">
        <v>2030</v>
      </c>
      <c r="E1608" s="1" t="s">
        <v>2046</v>
      </c>
      <c r="F1608" s="1" t="s">
        <v>2049</v>
      </c>
      <c r="G1608" s="1" t="s">
        <v>2071</v>
      </c>
      <c r="H1608" s="1" t="s">
        <v>2087</v>
      </c>
      <c r="I1608" s="1">
        <v>9</v>
      </c>
      <c r="J1608" s="1">
        <v>2650.35</v>
      </c>
      <c r="K1608" s="1">
        <v>23.73</v>
      </c>
      <c r="L1608" s="1">
        <v>18192.8</v>
      </c>
      <c r="M1608" s="1">
        <v>3426.31</v>
      </c>
      <c r="N1608" s="1" t="s">
        <v>2089</v>
      </c>
    </row>
    <row r="1609" spans="1:14">
      <c r="A1609" s="1" t="s">
        <v>1621</v>
      </c>
      <c r="B1609" s="2">
        <v>45878</v>
      </c>
      <c r="C1609" s="1" t="s">
        <v>2015</v>
      </c>
      <c r="D1609" s="1" t="s">
        <v>2031</v>
      </c>
      <c r="E1609" s="1" t="s">
        <v>2048</v>
      </c>
      <c r="F1609" s="1" t="s">
        <v>2053</v>
      </c>
      <c r="G1609" s="1" t="s">
        <v>2067</v>
      </c>
      <c r="H1609" s="1" t="s">
        <v>2085</v>
      </c>
      <c r="I1609" s="1">
        <v>10</v>
      </c>
      <c r="J1609" s="1">
        <v>1372.46</v>
      </c>
      <c r="K1609" s="1">
        <v>27.04</v>
      </c>
      <c r="L1609" s="1">
        <v>10013.469999999999</v>
      </c>
      <c r="M1609" s="1">
        <v>2266.63</v>
      </c>
      <c r="N1609" s="1" t="s">
        <v>2088</v>
      </c>
    </row>
    <row r="1610" spans="1:14">
      <c r="A1610" s="1" t="s">
        <v>1622</v>
      </c>
      <c r="B1610" s="2">
        <v>45879</v>
      </c>
      <c r="C1610" s="1" t="s">
        <v>2014</v>
      </c>
      <c r="D1610" s="1" t="s">
        <v>2032</v>
      </c>
      <c r="E1610" s="1" t="s">
        <v>2045</v>
      </c>
      <c r="F1610" s="1" t="s">
        <v>2049</v>
      </c>
      <c r="G1610" s="1" t="s">
        <v>2071</v>
      </c>
      <c r="H1610" s="1" t="s">
        <v>2087</v>
      </c>
      <c r="I1610" s="1">
        <v>3</v>
      </c>
      <c r="J1610" s="1">
        <v>1607.33</v>
      </c>
      <c r="K1610" s="1">
        <v>6.48</v>
      </c>
      <c r="L1610" s="1">
        <v>4509.53</v>
      </c>
      <c r="M1610" s="1">
        <v>1222.6099999999999</v>
      </c>
      <c r="N1610" s="1" t="s">
        <v>2090</v>
      </c>
    </row>
    <row r="1611" spans="1:14">
      <c r="A1611" s="1" t="s">
        <v>1623</v>
      </c>
      <c r="B1611" s="2">
        <v>45879</v>
      </c>
      <c r="C1611" s="1" t="s">
        <v>2027</v>
      </c>
      <c r="D1611" s="1" t="s">
        <v>2033</v>
      </c>
      <c r="E1611" s="1" t="s">
        <v>2046</v>
      </c>
      <c r="F1611" s="1" t="s">
        <v>2049</v>
      </c>
      <c r="G1611" s="1" t="s">
        <v>2058</v>
      </c>
      <c r="H1611" s="1" t="s">
        <v>2087</v>
      </c>
      <c r="I1611" s="1">
        <v>1</v>
      </c>
      <c r="J1611" s="1">
        <v>1291.24</v>
      </c>
      <c r="K1611" s="1">
        <v>21.2</v>
      </c>
      <c r="L1611" s="1">
        <v>1017.5</v>
      </c>
      <c r="M1611" s="1">
        <v>298.45</v>
      </c>
      <c r="N1611" s="1" t="s">
        <v>2091</v>
      </c>
    </row>
    <row r="1612" spans="1:14">
      <c r="A1612" s="1" t="s">
        <v>1624</v>
      </c>
      <c r="B1612" s="2">
        <v>45879</v>
      </c>
      <c r="C1612" s="1" t="s">
        <v>2017</v>
      </c>
      <c r="D1612" s="1" t="s">
        <v>2034</v>
      </c>
      <c r="E1612" s="1" t="s">
        <v>2044</v>
      </c>
      <c r="F1612" s="1" t="s">
        <v>2053</v>
      </c>
      <c r="G1612" s="1" t="s">
        <v>2076</v>
      </c>
      <c r="H1612" s="1" t="s">
        <v>2087</v>
      </c>
      <c r="I1612" s="1">
        <v>2</v>
      </c>
      <c r="J1612" s="1">
        <v>1654.02</v>
      </c>
      <c r="K1612" s="1">
        <v>4.09</v>
      </c>
      <c r="L1612" s="1">
        <v>3172.74</v>
      </c>
      <c r="M1612" s="1">
        <v>626.13</v>
      </c>
      <c r="N1612" s="1" t="s">
        <v>2090</v>
      </c>
    </row>
    <row r="1613" spans="1:14">
      <c r="A1613" s="1" t="s">
        <v>1625</v>
      </c>
      <c r="B1613" s="2">
        <v>45880</v>
      </c>
      <c r="C1613" s="1" t="s">
        <v>2019</v>
      </c>
      <c r="D1613" s="1" t="s">
        <v>2035</v>
      </c>
      <c r="E1613" s="1" t="s">
        <v>2048</v>
      </c>
      <c r="F1613" s="1" t="s">
        <v>2054</v>
      </c>
      <c r="G1613" s="1" t="s">
        <v>2063</v>
      </c>
      <c r="H1613" s="1" t="s">
        <v>2085</v>
      </c>
      <c r="I1613" s="1">
        <v>9</v>
      </c>
      <c r="J1613" s="1">
        <v>74134.02</v>
      </c>
      <c r="K1613" s="1">
        <v>24.45</v>
      </c>
      <c r="L1613" s="1">
        <v>504074.27</v>
      </c>
      <c r="M1613" s="1">
        <v>65931.63</v>
      </c>
      <c r="N1613" s="1" t="s">
        <v>2091</v>
      </c>
    </row>
    <row r="1614" spans="1:14">
      <c r="A1614" s="1" t="s">
        <v>1626</v>
      </c>
      <c r="B1614" s="2">
        <v>45880</v>
      </c>
      <c r="C1614" s="1" t="s">
        <v>2018</v>
      </c>
      <c r="D1614" s="1" t="s">
        <v>2036</v>
      </c>
      <c r="E1614" s="1" t="s">
        <v>2044</v>
      </c>
      <c r="F1614" s="1" t="s">
        <v>2049</v>
      </c>
      <c r="G1614" s="1" t="s">
        <v>2074</v>
      </c>
      <c r="H1614" s="1" t="s">
        <v>2087</v>
      </c>
      <c r="I1614" s="1">
        <v>1</v>
      </c>
      <c r="J1614" s="1">
        <v>2197.17</v>
      </c>
      <c r="K1614" s="1">
        <v>5.51</v>
      </c>
      <c r="L1614" s="1">
        <v>2076.11</v>
      </c>
      <c r="M1614" s="1">
        <v>369.28</v>
      </c>
      <c r="N1614" s="1" t="s">
        <v>2091</v>
      </c>
    </row>
    <row r="1615" spans="1:14">
      <c r="A1615" s="1" t="s">
        <v>1627</v>
      </c>
      <c r="B1615" s="2">
        <v>45881</v>
      </c>
      <c r="C1615" s="1" t="s">
        <v>2027</v>
      </c>
      <c r="D1615" s="1" t="s">
        <v>2037</v>
      </c>
      <c r="E1615" s="1" t="s">
        <v>2044</v>
      </c>
      <c r="F1615" s="1" t="s">
        <v>2052</v>
      </c>
      <c r="G1615" s="1" t="s">
        <v>2078</v>
      </c>
      <c r="H1615" s="1" t="s">
        <v>2087</v>
      </c>
      <c r="I1615" s="1">
        <v>2</v>
      </c>
      <c r="J1615" s="1">
        <v>260.06</v>
      </c>
      <c r="K1615" s="1">
        <v>13.92</v>
      </c>
      <c r="L1615" s="1">
        <v>447.72</v>
      </c>
      <c r="M1615" s="1">
        <v>25.15</v>
      </c>
      <c r="N1615" s="1" t="s">
        <v>2089</v>
      </c>
    </row>
    <row r="1616" spans="1:14">
      <c r="A1616" s="1" t="s">
        <v>1628</v>
      </c>
      <c r="B1616" s="2">
        <v>45881</v>
      </c>
      <c r="C1616" s="1" t="s">
        <v>2019</v>
      </c>
      <c r="D1616" s="1" t="s">
        <v>2038</v>
      </c>
      <c r="E1616" s="1" t="s">
        <v>2047</v>
      </c>
      <c r="F1616" s="1" t="s">
        <v>2054</v>
      </c>
      <c r="G1616" s="1" t="s">
        <v>2079</v>
      </c>
      <c r="H1616" s="1" t="s">
        <v>2085</v>
      </c>
      <c r="I1616" s="1">
        <v>1</v>
      </c>
      <c r="J1616" s="1">
        <v>75248.62</v>
      </c>
      <c r="K1616" s="1">
        <v>20.79</v>
      </c>
      <c r="L1616" s="1">
        <v>59604.43</v>
      </c>
      <c r="M1616" s="1">
        <v>15908.7</v>
      </c>
      <c r="N1616" s="1" t="s">
        <v>2092</v>
      </c>
    </row>
    <row r="1617" spans="1:14">
      <c r="A1617" s="1" t="s">
        <v>1629</v>
      </c>
      <c r="B1617" s="2">
        <v>45881</v>
      </c>
      <c r="C1617" s="1" t="s">
        <v>2020</v>
      </c>
      <c r="D1617" s="1" t="s">
        <v>2039</v>
      </c>
      <c r="E1617" s="1" t="s">
        <v>2044</v>
      </c>
      <c r="F1617" s="1" t="s">
        <v>2050</v>
      </c>
      <c r="G1617" s="1" t="s">
        <v>2070</v>
      </c>
      <c r="H1617" s="1" t="s">
        <v>2085</v>
      </c>
      <c r="I1617" s="1">
        <v>4</v>
      </c>
      <c r="J1617" s="1">
        <v>3138.82</v>
      </c>
      <c r="K1617" s="1">
        <v>0.3</v>
      </c>
      <c r="L1617" s="1">
        <v>12517.61</v>
      </c>
      <c r="M1617" s="1">
        <v>2782.53</v>
      </c>
      <c r="N1617" s="1" t="s">
        <v>2092</v>
      </c>
    </row>
    <row r="1618" spans="1:14">
      <c r="A1618" s="1" t="s">
        <v>1630</v>
      </c>
      <c r="B1618" s="2">
        <v>45882</v>
      </c>
      <c r="C1618" s="1" t="s">
        <v>2028</v>
      </c>
      <c r="D1618" s="1" t="s">
        <v>2040</v>
      </c>
      <c r="E1618" s="1" t="s">
        <v>2044</v>
      </c>
      <c r="F1618" s="1" t="s">
        <v>2054</v>
      </c>
      <c r="G1618" s="1" t="s">
        <v>2066</v>
      </c>
      <c r="H1618" s="1" t="s">
        <v>2086</v>
      </c>
      <c r="I1618" s="1">
        <v>3</v>
      </c>
      <c r="J1618" s="1">
        <v>59283.72</v>
      </c>
      <c r="K1618" s="1">
        <v>5.43</v>
      </c>
      <c r="L1618" s="1">
        <v>168193.84</v>
      </c>
      <c r="M1618" s="1">
        <v>48734.46</v>
      </c>
      <c r="N1618" s="1" t="s">
        <v>2088</v>
      </c>
    </row>
    <row r="1619" spans="1:14">
      <c r="A1619" s="1" t="s">
        <v>1631</v>
      </c>
      <c r="B1619" s="2">
        <v>45882</v>
      </c>
      <c r="C1619" s="1" t="s">
        <v>2018</v>
      </c>
      <c r="D1619" s="1" t="s">
        <v>2041</v>
      </c>
      <c r="E1619" s="1" t="s">
        <v>2044</v>
      </c>
      <c r="F1619" s="1" t="s">
        <v>2053</v>
      </c>
      <c r="G1619" s="1" t="s">
        <v>2062</v>
      </c>
      <c r="H1619" s="1" t="s">
        <v>2087</v>
      </c>
      <c r="I1619" s="1">
        <v>2</v>
      </c>
      <c r="J1619" s="1">
        <v>2387.9</v>
      </c>
      <c r="K1619" s="1">
        <v>20.260000000000002</v>
      </c>
      <c r="L1619" s="1">
        <v>3808.22</v>
      </c>
      <c r="M1619" s="1">
        <v>713.03</v>
      </c>
      <c r="N1619" s="1" t="s">
        <v>2092</v>
      </c>
    </row>
    <row r="1620" spans="1:14">
      <c r="A1620" s="1" t="s">
        <v>1632</v>
      </c>
      <c r="B1620" s="2">
        <v>45882</v>
      </c>
      <c r="C1620" s="1" t="s">
        <v>2023</v>
      </c>
      <c r="D1620" s="1" t="s">
        <v>2042</v>
      </c>
      <c r="E1620" s="1" t="s">
        <v>2048</v>
      </c>
      <c r="F1620" s="1" t="s">
        <v>2051</v>
      </c>
      <c r="G1620" s="1" t="s">
        <v>2077</v>
      </c>
      <c r="H1620" s="1" t="s">
        <v>2086</v>
      </c>
      <c r="I1620" s="1">
        <v>7</v>
      </c>
      <c r="J1620" s="1">
        <v>12892.45</v>
      </c>
      <c r="K1620" s="1">
        <v>10.8</v>
      </c>
      <c r="L1620" s="1">
        <v>80500.460000000006</v>
      </c>
      <c r="M1620" s="1">
        <v>12488.39</v>
      </c>
      <c r="N1620" s="1" t="s">
        <v>2091</v>
      </c>
    </row>
    <row r="1621" spans="1:14">
      <c r="A1621" s="1" t="s">
        <v>1633</v>
      </c>
      <c r="B1621" s="2">
        <v>45883</v>
      </c>
      <c r="C1621" s="1" t="s">
        <v>2014</v>
      </c>
      <c r="D1621" s="1" t="s">
        <v>2043</v>
      </c>
      <c r="E1621" s="1" t="s">
        <v>2046</v>
      </c>
      <c r="F1621" s="1" t="s">
        <v>2050</v>
      </c>
      <c r="G1621" s="1" t="s">
        <v>2056</v>
      </c>
      <c r="H1621" s="1" t="s">
        <v>2085</v>
      </c>
      <c r="I1621" s="1">
        <v>4</v>
      </c>
      <c r="J1621" s="1">
        <v>5892.95</v>
      </c>
      <c r="K1621" s="1">
        <v>13.68</v>
      </c>
      <c r="L1621" s="1">
        <v>20347.18</v>
      </c>
      <c r="M1621" s="1">
        <v>3801.09</v>
      </c>
      <c r="N1621" s="1" t="s">
        <v>2090</v>
      </c>
    </row>
    <row r="1622" spans="1:14">
      <c r="A1622" s="1" t="s">
        <v>1634</v>
      </c>
      <c r="B1622" s="2">
        <v>45883</v>
      </c>
      <c r="C1622" s="1" t="s">
        <v>2027</v>
      </c>
      <c r="D1622" s="1" t="s">
        <v>2029</v>
      </c>
      <c r="E1622" s="1" t="s">
        <v>2045</v>
      </c>
      <c r="F1622" s="1" t="s">
        <v>2049</v>
      </c>
      <c r="G1622" s="1" t="s">
        <v>2071</v>
      </c>
      <c r="H1622" s="1" t="s">
        <v>2086</v>
      </c>
      <c r="I1622" s="1">
        <v>9</v>
      </c>
      <c r="J1622" s="1">
        <v>1703.54</v>
      </c>
      <c r="K1622" s="1">
        <v>29.44</v>
      </c>
      <c r="L1622" s="1">
        <v>10818.16</v>
      </c>
      <c r="M1622" s="1">
        <v>1942.71</v>
      </c>
      <c r="N1622" s="1" t="s">
        <v>2089</v>
      </c>
    </row>
    <row r="1623" spans="1:14">
      <c r="A1623" s="1" t="s">
        <v>1635</v>
      </c>
      <c r="B1623" s="2">
        <v>45883</v>
      </c>
      <c r="C1623" s="1" t="s">
        <v>2025</v>
      </c>
      <c r="D1623" s="1" t="s">
        <v>2030</v>
      </c>
      <c r="E1623" s="1" t="s">
        <v>2045</v>
      </c>
      <c r="F1623" s="1" t="s">
        <v>2050</v>
      </c>
      <c r="G1623" s="1" t="s">
        <v>2075</v>
      </c>
      <c r="H1623" s="1" t="s">
        <v>2085</v>
      </c>
      <c r="I1623" s="1">
        <v>3</v>
      </c>
      <c r="J1623" s="1">
        <v>4818.01</v>
      </c>
      <c r="K1623" s="1">
        <v>8.24</v>
      </c>
      <c r="L1623" s="1">
        <v>13263.02</v>
      </c>
      <c r="M1623" s="1">
        <v>770.85</v>
      </c>
      <c r="N1623" s="1" t="s">
        <v>2092</v>
      </c>
    </row>
    <row r="1624" spans="1:14">
      <c r="A1624" s="1" t="s">
        <v>1636</v>
      </c>
      <c r="B1624" s="2">
        <v>45884</v>
      </c>
      <c r="C1624" s="1" t="s">
        <v>2017</v>
      </c>
      <c r="D1624" s="1" t="s">
        <v>2031</v>
      </c>
      <c r="E1624" s="1" t="s">
        <v>2044</v>
      </c>
      <c r="F1624" s="1" t="s">
        <v>2053</v>
      </c>
      <c r="G1624" s="1" t="s">
        <v>2067</v>
      </c>
      <c r="H1624" s="1" t="s">
        <v>2086</v>
      </c>
      <c r="I1624" s="1">
        <v>8</v>
      </c>
      <c r="J1624" s="1">
        <v>2437.4499999999998</v>
      </c>
      <c r="K1624" s="1">
        <v>10.85</v>
      </c>
      <c r="L1624" s="1">
        <v>17383.89</v>
      </c>
      <c r="M1624" s="1">
        <v>3482.76</v>
      </c>
      <c r="N1624" s="1" t="s">
        <v>2088</v>
      </c>
    </row>
    <row r="1625" spans="1:14">
      <c r="A1625" s="1" t="s">
        <v>1637</v>
      </c>
      <c r="B1625" s="2">
        <v>45884</v>
      </c>
      <c r="C1625" s="1" t="s">
        <v>2026</v>
      </c>
      <c r="D1625" s="1" t="s">
        <v>2032</v>
      </c>
      <c r="E1625" s="1" t="s">
        <v>2046</v>
      </c>
      <c r="F1625" s="1" t="s">
        <v>2053</v>
      </c>
      <c r="G1625" s="1" t="s">
        <v>2076</v>
      </c>
      <c r="H1625" s="1" t="s">
        <v>2085</v>
      </c>
      <c r="I1625" s="1">
        <v>1</v>
      </c>
      <c r="J1625" s="1">
        <v>1370.99</v>
      </c>
      <c r="K1625" s="1">
        <v>26.48</v>
      </c>
      <c r="L1625" s="1">
        <v>1007.95</v>
      </c>
      <c r="M1625" s="1">
        <v>288.38</v>
      </c>
      <c r="N1625" s="1" t="s">
        <v>2092</v>
      </c>
    </row>
    <row r="1626" spans="1:14">
      <c r="A1626" s="1" t="s">
        <v>1638</v>
      </c>
      <c r="B1626" s="2">
        <v>45885</v>
      </c>
      <c r="C1626" s="1" t="s">
        <v>2020</v>
      </c>
      <c r="D1626" s="1" t="s">
        <v>2033</v>
      </c>
      <c r="E1626" s="1" t="s">
        <v>2047</v>
      </c>
      <c r="F1626" s="1" t="s">
        <v>2051</v>
      </c>
      <c r="G1626" s="1" t="s">
        <v>2061</v>
      </c>
      <c r="H1626" s="1" t="s">
        <v>2087</v>
      </c>
      <c r="I1626" s="1">
        <v>3</v>
      </c>
      <c r="J1626" s="1">
        <v>33735.46</v>
      </c>
      <c r="K1626" s="1">
        <v>28.33</v>
      </c>
      <c r="L1626" s="1">
        <v>72534.61</v>
      </c>
      <c r="M1626" s="1">
        <v>8575.7999999999993</v>
      </c>
      <c r="N1626" s="1" t="s">
        <v>2090</v>
      </c>
    </row>
    <row r="1627" spans="1:14">
      <c r="A1627" s="1" t="s">
        <v>1639</v>
      </c>
      <c r="B1627" s="2">
        <v>45885</v>
      </c>
      <c r="C1627" s="1" t="s">
        <v>2015</v>
      </c>
      <c r="D1627" s="1" t="s">
        <v>2034</v>
      </c>
      <c r="E1627" s="1" t="s">
        <v>2046</v>
      </c>
      <c r="F1627" s="1" t="s">
        <v>2050</v>
      </c>
      <c r="G1627" s="1" t="s">
        <v>2064</v>
      </c>
      <c r="H1627" s="1" t="s">
        <v>2085</v>
      </c>
      <c r="I1627" s="1">
        <v>2</v>
      </c>
      <c r="J1627" s="1">
        <v>7760.22</v>
      </c>
      <c r="K1627" s="1">
        <v>20.85</v>
      </c>
      <c r="L1627" s="1">
        <v>12284.43</v>
      </c>
      <c r="M1627" s="1">
        <v>1846.74</v>
      </c>
      <c r="N1627" s="1" t="s">
        <v>2089</v>
      </c>
    </row>
    <row r="1628" spans="1:14">
      <c r="A1628" s="1" t="s">
        <v>1640</v>
      </c>
      <c r="B1628" s="2">
        <v>45885</v>
      </c>
      <c r="C1628" s="1" t="s">
        <v>2019</v>
      </c>
      <c r="D1628" s="1" t="s">
        <v>2035</v>
      </c>
      <c r="E1628" s="1" t="s">
        <v>2044</v>
      </c>
      <c r="F1628" s="1" t="s">
        <v>2049</v>
      </c>
      <c r="G1628" s="1" t="s">
        <v>2074</v>
      </c>
      <c r="H1628" s="1" t="s">
        <v>2085</v>
      </c>
      <c r="I1628" s="1">
        <v>8</v>
      </c>
      <c r="J1628" s="1">
        <v>2277.8000000000002</v>
      </c>
      <c r="K1628" s="1">
        <v>6.44</v>
      </c>
      <c r="L1628" s="1">
        <v>17048.88</v>
      </c>
      <c r="M1628" s="1">
        <v>5018.29</v>
      </c>
      <c r="N1628" s="1" t="s">
        <v>2088</v>
      </c>
    </row>
    <row r="1629" spans="1:14">
      <c r="A1629" s="1" t="s">
        <v>1641</v>
      </c>
      <c r="B1629" s="2">
        <v>45886</v>
      </c>
      <c r="C1629" s="1" t="s">
        <v>2027</v>
      </c>
      <c r="D1629" s="1" t="s">
        <v>2036</v>
      </c>
      <c r="E1629" s="1" t="s">
        <v>2048</v>
      </c>
      <c r="F1629" s="1" t="s">
        <v>2051</v>
      </c>
      <c r="G1629" s="1" t="s">
        <v>2061</v>
      </c>
      <c r="H1629" s="1" t="s">
        <v>2086</v>
      </c>
      <c r="I1629" s="1">
        <v>4</v>
      </c>
      <c r="J1629" s="1">
        <v>8833.9599999999991</v>
      </c>
      <c r="K1629" s="1">
        <v>23.23</v>
      </c>
      <c r="L1629" s="1">
        <v>27127.32</v>
      </c>
      <c r="M1629" s="1">
        <v>6188.95</v>
      </c>
      <c r="N1629" s="1" t="s">
        <v>2089</v>
      </c>
    </row>
    <row r="1630" spans="1:14">
      <c r="A1630" s="1" t="s">
        <v>1642</v>
      </c>
      <c r="B1630" s="2">
        <v>45886</v>
      </c>
      <c r="C1630" s="1" t="s">
        <v>2022</v>
      </c>
      <c r="D1630" s="1" t="s">
        <v>2037</v>
      </c>
      <c r="E1630" s="1" t="s">
        <v>2048</v>
      </c>
      <c r="F1630" s="1" t="s">
        <v>2050</v>
      </c>
      <c r="G1630" s="1" t="s">
        <v>2056</v>
      </c>
      <c r="H1630" s="1" t="s">
        <v>2087</v>
      </c>
      <c r="I1630" s="1">
        <v>1</v>
      </c>
      <c r="J1630" s="1">
        <v>2017.2</v>
      </c>
      <c r="K1630" s="1">
        <v>15.77</v>
      </c>
      <c r="L1630" s="1">
        <v>1699.09</v>
      </c>
      <c r="M1630" s="1">
        <v>123.72</v>
      </c>
      <c r="N1630" s="1" t="s">
        <v>2090</v>
      </c>
    </row>
    <row r="1631" spans="1:14">
      <c r="A1631" s="1" t="s">
        <v>1643</v>
      </c>
      <c r="B1631" s="2">
        <v>45886</v>
      </c>
      <c r="C1631" s="1" t="s">
        <v>2016</v>
      </c>
      <c r="D1631" s="1" t="s">
        <v>2038</v>
      </c>
      <c r="E1631" s="1" t="s">
        <v>2047</v>
      </c>
      <c r="F1631" s="1" t="s">
        <v>2049</v>
      </c>
      <c r="G1631" s="1" t="s">
        <v>2071</v>
      </c>
      <c r="H1631" s="1" t="s">
        <v>2086</v>
      </c>
      <c r="I1631" s="1">
        <v>4</v>
      </c>
      <c r="J1631" s="1">
        <v>1981.69</v>
      </c>
      <c r="K1631" s="1">
        <v>20.55</v>
      </c>
      <c r="L1631" s="1">
        <v>6297.81</v>
      </c>
      <c r="M1631" s="1">
        <v>1782.98</v>
      </c>
      <c r="N1631" s="1" t="s">
        <v>2092</v>
      </c>
    </row>
    <row r="1632" spans="1:14">
      <c r="A1632" s="1" t="s">
        <v>1644</v>
      </c>
      <c r="B1632" s="2">
        <v>45887</v>
      </c>
      <c r="C1632" s="1" t="s">
        <v>2015</v>
      </c>
      <c r="D1632" s="1" t="s">
        <v>2039</v>
      </c>
      <c r="E1632" s="1" t="s">
        <v>2045</v>
      </c>
      <c r="F1632" s="1" t="s">
        <v>2054</v>
      </c>
      <c r="G1632" s="1" t="s">
        <v>2063</v>
      </c>
      <c r="H1632" s="1" t="s">
        <v>2087</v>
      </c>
      <c r="I1632" s="1">
        <v>7</v>
      </c>
      <c r="J1632" s="1">
        <v>14074.58</v>
      </c>
      <c r="K1632" s="1">
        <v>26</v>
      </c>
      <c r="L1632" s="1">
        <v>72906.320000000007</v>
      </c>
      <c r="M1632" s="1">
        <v>10831.08</v>
      </c>
      <c r="N1632" s="1" t="s">
        <v>2092</v>
      </c>
    </row>
    <row r="1633" spans="1:14">
      <c r="A1633" s="1" t="s">
        <v>1645</v>
      </c>
      <c r="B1633" s="2">
        <v>45887</v>
      </c>
      <c r="C1633" s="1" t="s">
        <v>2016</v>
      </c>
      <c r="D1633" s="1" t="s">
        <v>2040</v>
      </c>
      <c r="E1633" s="1" t="s">
        <v>2045</v>
      </c>
      <c r="F1633" s="1" t="s">
        <v>2052</v>
      </c>
      <c r="G1633" s="1" t="s">
        <v>2059</v>
      </c>
      <c r="H1633" s="1" t="s">
        <v>2086</v>
      </c>
      <c r="I1633" s="1">
        <v>2</v>
      </c>
      <c r="J1633" s="1">
        <v>2779.57</v>
      </c>
      <c r="K1633" s="1">
        <v>21.31</v>
      </c>
      <c r="L1633" s="1">
        <v>4374.49</v>
      </c>
      <c r="M1633" s="1">
        <v>960.1</v>
      </c>
      <c r="N1633" s="1" t="s">
        <v>2089</v>
      </c>
    </row>
    <row r="1634" spans="1:14">
      <c r="A1634" s="1" t="s">
        <v>1646</v>
      </c>
      <c r="B1634" s="2">
        <v>45887</v>
      </c>
      <c r="C1634" s="1" t="s">
        <v>2025</v>
      </c>
      <c r="D1634" s="1" t="s">
        <v>2041</v>
      </c>
      <c r="E1634" s="1" t="s">
        <v>2047</v>
      </c>
      <c r="F1634" s="1" t="s">
        <v>2053</v>
      </c>
      <c r="G1634" s="1" t="s">
        <v>2076</v>
      </c>
      <c r="H1634" s="1" t="s">
        <v>2087</v>
      </c>
      <c r="I1634" s="1">
        <v>1</v>
      </c>
      <c r="J1634" s="1">
        <v>917.96</v>
      </c>
      <c r="K1634" s="1">
        <v>28.64</v>
      </c>
      <c r="L1634" s="1">
        <v>655.05999999999995</v>
      </c>
      <c r="M1634" s="1">
        <v>146.85</v>
      </c>
      <c r="N1634" s="1" t="s">
        <v>2091</v>
      </c>
    </row>
    <row r="1635" spans="1:14">
      <c r="A1635" s="1" t="s">
        <v>1647</v>
      </c>
      <c r="B1635" s="2">
        <v>45888</v>
      </c>
      <c r="C1635" s="1" t="s">
        <v>2018</v>
      </c>
      <c r="D1635" s="1" t="s">
        <v>2042</v>
      </c>
      <c r="E1635" s="1" t="s">
        <v>2047</v>
      </c>
      <c r="F1635" s="1" t="s">
        <v>2054</v>
      </c>
      <c r="G1635" s="1" t="s">
        <v>2068</v>
      </c>
      <c r="H1635" s="1" t="s">
        <v>2086</v>
      </c>
      <c r="I1635" s="1">
        <v>4</v>
      </c>
      <c r="J1635" s="1">
        <v>24380.99</v>
      </c>
      <c r="K1635" s="1">
        <v>13.02</v>
      </c>
      <c r="L1635" s="1">
        <v>84826.34</v>
      </c>
      <c r="M1635" s="1">
        <v>5999.71</v>
      </c>
      <c r="N1635" s="1" t="s">
        <v>2092</v>
      </c>
    </row>
    <row r="1636" spans="1:14">
      <c r="A1636" s="1" t="s">
        <v>1648</v>
      </c>
      <c r="B1636" s="2">
        <v>45888</v>
      </c>
      <c r="C1636" s="1" t="s">
        <v>2020</v>
      </c>
      <c r="D1636" s="1" t="s">
        <v>2043</v>
      </c>
      <c r="E1636" s="1" t="s">
        <v>2047</v>
      </c>
      <c r="F1636" s="1" t="s">
        <v>2052</v>
      </c>
      <c r="G1636" s="1" t="s">
        <v>2078</v>
      </c>
      <c r="H1636" s="1" t="s">
        <v>2085</v>
      </c>
      <c r="I1636" s="1">
        <v>4</v>
      </c>
      <c r="J1636" s="1">
        <v>7093.13</v>
      </c>
      <c r="K1636" s="1">
        <v>8.9700000000000006</v>
      </c>
      <c r="L1636" s="1">
        <v>25827.5</v>
      </c>
      <c r="M1636" s="1">
        <v>6188.43</v>
      </c>
      <c r="N1636" s="1" t="s">
        <v>2090</v>
      </c>
    </row>
    <row r="1637" spans="1:14">
      <c r="A1637" s="1" t="s">
        <v>1649</v>
      </c>
      <c r="B1637" s="2">
        <v>45889</v>
      </c>
      <c r="C1637" s="1" t="s">
        <v>2024</v>
      </c>
      <c r="D1637" s="1" t="s">
        <v>2029</v>
      </c>
      <c r="E1637" s="1" t="s">
        <v>2044</v>
      </c>
      <c r="F1637" s="1" t="s">
        <v>2053</v>
      </c>
      <c r="G1637" s="1" t="s">
        <v>2062</v>
      </c>
      <c r="H1637" s="1" t="s">
        <v>2085</v>
      </c>
      <c r="I1637" s="1">
        <v>10</v>
      </c>
      <c r="J1637" s="1">
        <v>552.64</v>
      </c>
      <c r="K1637" s="1">
        <v>16.850000000000001</v>
      </c>
      <c r="L1637" s="1">
        <v>4595.2</v>
      </c>
      <c r="M1637" s="1">
        <v>1025.6600000000001</v>
      </c>
      <c r="N1637" s="1" t="s">
        <v>2089</v>
      </c>
    </row>
    <row r="1638" spans="1:14">
      <c r="A1638" s="1" t="s">
        <v>1650</v>
      </c>
      <c r="B1638" s="2">
        <v>45889</v>
      </c>
      <c r="C1638" s="1" t="s">
        <v>2021</v>
      </c>
      <c r="D1638" s="1" t="s">
        <v>2030</v>
      </c>
      <c r="E1638" s="1" t="s">
        <v>2046</v>
      </c>
      <c r="F1638" s="1" t="s">
        <v>2053</v>
      </c>
      <c r="G1638" s="1" t="s">
        <v>2073</v>
      </c>
      <c r="H1638" s="1" t="s">
        <v>2087</v>
      </c>
      <c r="I1638" s="1">
        <v>8</v>
      </c>
      <c r="J1638" s="1">
        <v>1029.99</v>
      </c>
      <c r="K1638" s="1">
        <v>18.8</v>
      </c>
      <c r="L1638" s="1">
        <v>6690.82</v>
      </c>
      <c r="M1638" s="1">
        <v>1260.32</v>
      </c>
      <c r="N1638" s="1" t="s">
        <v>2091</v>
      </c>
    </row>
    <row r="1639" spans="1:14">
      <c r="A1639" s="1" t="s">
        <v>1651</v>
      </c>
      <c r="B1639" s="2">
        <v>45889</v>
      </c>
      <c r="C1639" s="1" t="s">
        <v>2018</v>
      </c>
      <c r="D1639" s="1" t="s">
        <v>2031</v>
      </c>
      <c r="E1639" s="1" t="s">
        <v>2044</v>
      </c>
      <c r="F1639" s="1" t="s">
        <v>2054</v>
      </c>
      <c r="G1639" s="1" t="s">
        <v>2081</v>
      </c>
      <c r="H1639" s="1" t="s">
        <v>2086</v>
      </c>
      <c r="I1639" s="1">
        <v>5</v>
      </c>
      <c r="J1639" s="1">
        <v>68006.36</v>
      </c>
      <c r="K1639" s="1">
        <v>7.07</v>
      </c>
      <c r="L1639" s="1">
        <v>315991.55</v>
      </c>
      <c r="M1639" s="1">
        <v>89675.4</v>
      </c>
      <c r="N1639" s="1" t="s">
        <v>2091</v>
      </c>
    </row>
    <row r="1640" spans="1:14">
      <c r="A1640" s="1" t="s">
        <v>1652</v>
      </c>
      <c r="B1640" s="2">
        <v>45890</v>
      </c>
      <c r="C1640" s="1" t="s">
        <v>2023</v>
      </c>
      <c r="D1640" s="1" t="s">
        <v>2032</v>
      </c>
      <c r="E1640" s="1" t="s">
        <v>2044</v>
      </c>
      <c r="F1640" s="1" t="s">
        <v>2052</v>
      </c>
      <c r="G1640" s="1" t="s">
        <v>2078</v>
      </c>
      <c r="H1640" s="1" t="s">
        <v>2086</v>
      </c>
      <c r="I1640" s="1">
        <v>6</v>
      </c>
      <c r="J1640" s="1">
        <v>993.95</v>
      </c>
      <c r="K1640" s="1">
        <v>9.5</v>
      </c>
      <c r="L1640" s="1">
        <v>5397.15</v>
      </c>
      <c r="M1640" s="1">
        <v>1573.7</v>
      </c>
      <c r="N1640" s="1" t="s">
        <v>2090</v>
      </c>
    </row>
    <row r="1641" spans="1:14">
      <c r="A1641" s="1" t="s">
        <v>1653</v>
      </c>
      <c r="B1641" s="2">
        <v>45890</v>
      </c>
      <c r="C1641" s="1" t="s">
        <v>2017</v>
      </c>
      <c r="D1641" s="1" t="s">
        <v>2033</v>
      </c>
      <c r="E1641" s="1" t="s">
        <v>2044</v>
      </c>
      <c r="F1641" s="1" t="s">
        <v>2054</v>
      </c>
      <c r="G1641" s="1" t="s">
        <v>2066</v>
      </c>
      <c r="H1641" s="1" t="s">
        <v>2087</v>
      </c>
      <c r="I1641" s="1">
        <v>1</v>
      </c>
      <c r="J1641" s="1">
        <v>8414.07</v>
      </c>
      <c r="K1641" s="1">
        <v>9.19</v>
      </c>
      <c r="L1641" s="1">
        <v>7640.82</v>
      </c>
      <c r="M1641" s="1">
        <v>1338.8</v>
      </c>
      <c r="N1641" s="1" t="s">
        <v>2089</v>
      </c>
    </row>
    <row r="1642" spans="1:14">
      <c r="A1642" s="1" t="s">
        <v>1654</v>
      </c>
      <c r="B1642" s="2">
        <v>45890</v>
      </c>
      <c r="C1642" s="1" t="s">
        <v>2015</v>
      </c>
      <c r="D1642" s="1" t="s">
        <v>2034</v>
      </c>
      <c r="E1642" s="1" t="s">
        <v>2047</v>
      </c>
      <c r="F1642" s="1" t="s">
        <v>2052</v>
      </c>
      <c r="G1642" s="1" t="s">
        <v>2065</v>
      </c>
      <c r="H1642" s="1" t="s">
        <v>2087</v>
      </c>
      <c r="I1642" s="1">
        <v>4</v>
      </c>
      <c r="J1642" s="1">
        <v>6816.41</v>
      </c>
      <c r="K1642" s="1">
        <v>5.1100000000000003</v>
      </c>
      <c r="L1642" s="1">
        <v>25872.37</v>
      </c>
      <c r="M1642" s="1">
        <v>2521.0300000000002</v>
      </c>
      <c r="N1642" s="1" t="s">
        <v>2092</v>
      </c>
    </row>
    <row r="1643" spans="1:14">
      <c r="A1643" s="1" t="s">
        <v>1655</v>
      </c>
      <c r="B1643" s="2">
        <v>45891</v>
      </c>
      <c r="C1643" s="1" t="s">
        <v>2015</v>
      </c>
      <c r="D1643" s="1" t="s">
        <v>2035</v>
      </c>
      <c r="E1643" s="1" t="s">
        <v>2045</v>
      </c>
      <c r="F1643" s="1" t="s">
        <v>2051</v>
      </c>
      <c r="G1643" s="1" t="s">
        <v>2080</v>
      </c>
      <c r="H1643" s="1" t="s">
        <v>2087</v>
      </c>
      <c r="I1643" s="1">
        <v>4</v>
      </c>
      <c r="J1643" s="1">
        <v>8764.76</v>
      </c>
      <c r="K1643" s="1">
        <v>28.22</v>
      </c>
      <c r="L1643" s="1">
        <v>25165.38</v>
      </c>
      <c r="M1643" s="1">
        <v>6049.39</v>
      </c>
      <c r="N1643" s="1" t="s">
        <v>2092</v>
      </c>
    </row>
    <row r="1644" spans="1:14">
      <c r="A1644" s="1" t="s">
        <v>1656</v>
      </c>
      <c r="B1644" s="2">
        <v>45891</v>
      </c>
      <c r="C1644" s="1" t="s">
        <v>2020</v>
      </c>
      <c r="D1644" s="1" t="s">
        <v>2036</v>
      </c>
      <c r="E1644" s="1" t="s">
        <v>2047</v>
      </c>
      <c r="F1644" s="1" t="s">
        <v>2051</v>
      </c>
      <c r="G1644" s="1" t="s">
        <v>2061</v>
      </c>
      <c r="H1644" s="1" t="s">
        <v>2087</v>
      </c>
      <c r="I1644" s="1">
        <v>9</v>
      </c>
      <c r="J1644" s="1">
        <v>18111.73</v>
      </c>
      <c r="K1644" s="1">
        <v>7.02</v>
      </c>
      <c r="L1644" s="1">
        <v>151562.57999999999</v>
      </c>
      <c r="M1644" s="1">
        <v>23183.9</v>
      </c>
      <c r="N1644" s="1" t="s">
        <v>2088</v>
      </c>
    </row>
    <row r="1645" spans="1:14">
      <c r="A1645" s="1" t="s">
        <v>1657</v>
      </c>
      <c r="B1645" s="2">
        <v>45891</v>
      </c>
      <c r="C1645" s="1" t="s">
        <v>2026</v>
      </c>
      <c r="D1645" s="1" t="s">
        <v>2037</v>
      </c>
      <c r="E1645" s="1" t="s">
        <v>2048</v>
      </c>
      <c r="F1645" s="1" t="s">
        <v>2052</v>
      </c>
      <c r="G1645" s="1" t="s">
        <v>2065</v>
      </c>
      <c r="H1645" s="1" t="s">
        <v>2085</v>
      </c>
      <c r="I1645" s="1">
        <v>2</v>
      </c>
      <c r="J1645" s="1">
        <v>1627.69</v>
      </c>
      <c r="K1645" s="1">
        <v>21.79</v>
      </c>
      <c r="L1645" s="1">
        <v>2546.0300000000002</v>
      </c>
      <c r="M1645" s="1">
        <v>259.35000000000002</v>
      </c>
      <c r="N1645" s="1" t="s">
        <v>2090</v>
      </c>
    </row>
    <row r="1646" spans="1:14">
      <c r="A1646" s="1" t="s">
        <v>1658</v>
      </c>
      <c r="B1646" s="2">
        <v>45892</v>
      </c>
      <c r="C1646" s="1" t="s">
        <v>2023</v>
      </c>
      <c r="D1646" s="1" t="s">
        <v>2038</v>
      </c>
      <c r="E1646" s="1" t="s">
        <v>2047</v>
      </c>
      <c r="F1646" s="1" t="s">
        <v>2049</v>
      </c>
      <c r="G1646" s="1" t="s">
        <v>2082</v>
      </c>
      <c r="H1646" s="1" t="s">
        <v>2085</v>
      </c>
      <c r="I1646" s="1">
        <v>1</v>
      </c>
      <c r="J1646" s="1">
        <v>743.04</v>
      </c>
      <c r="K1646" s="1">
        <v>3.01</v>
      </c>
      <c r="L1646" s="1">
        <v>720.67</v>
      </c>
      <c r="M1646" s="1">
        <v>62.75</v>
      </c>
      <c r="N1646" s="1" t="s">
        <v>2089</v>
      </c>
    </row>
    <row r="1647" spans="1:14">
      <c r="A1647" s="1" t="s">
        <v>1659</v>
      </c>
      <c r="B1647" s="2">
        <v>45892</v>
      </c>
      <c r="C1647" s="1" t="s">
        <v>2016</v>
      </c>
      <c r="D1647" s="1" t="s">
        <v>2039</v>
      </c>
      <c r="E1647" s="1" t="s">
        <v>2044</v>
      </c>
      <c r="F1647" s="1" t="s">
        <v>2052</v>
      </c>
      <c r="G1647" s="1" t="s">
        <v>2065</v>
      </c>
      <c r="H1647" s="1" t="s">
        <v>2086</v>
      </c>
      <c r="I1647" s="1">
        <v>1</v>
      </c>
      <c r="J1647" s="1">
        <v>2871.78</v>
      </c>
      <c r="K1647" s="1">
        <v>15.23</v>
      </c>
      <c r="L1647" s="1">
        <v>2434.41</v>
      </c>
      <c r="M1647" s="1">
        <v>313.77999999999997</v>
      </c>
      <c r="N1647" s="1" t="s">
        <v>2092</v>
      </c>
    </row>
    <row r="1648" spans="1:14">
      <c r="A1648" s="1" t="s">
        <v>1660</v>
      </c>
      <c r="B1648" s="2">
        <v>45893</v>
      </c>
      <c r="C1648" s="1" t="s">
        <v>2022</v>
      </c>
      <c r="D1648" s="1" t="s">
        <v>2040</v>
      </c>
      <c r="E1648" s="1" t="s">
        <v>2044</v>
      </c>
      <c r="F1648" s="1" t="s">
        <v>2052</v>
      </c>
      <c r="G1648" s="1" t="s">
        <v>2078</v>
      </c>
      <c r="H1648" s="1" t="s">
        <v>2086</v>
      </c>
      <c r="I1648" s="1">
        <v>7</v>
      </c>
      <c r="J1648" s="1">
        <v>3599.2</v>
      </c>
      <c r="K1648" s="1">
        <v>1.1000000000000001</v>
      </c>
      <c r="L1648" s="1">
        <v>24917.26</v>
      </c>
      <c r="M1648" s="1">
        <v>2407.09</v>
      </c>
      <c r="N1648" s="1" t="s">
        <v>2092</v>
      </c>
    </row>
    <row r="1649" spans="1:14">
      <c r="A1649" s="1" t="s">
        <v>1661</v>
      </c>
      <c r="B1649" s="2">
        <v>45893</v>
      </c>
      <c r="C1649" s="1" t="s">
        <v>2015</v>
      </c>
      <c r="D1649" s="1" t="s">
        <v>2041</v>
      </c>
      <c r="E1649" s="1" t="s">
        <v>2046</v>
      </c>
      <c r="F1649" s="1" t="s">
        <v>2054</v>
      </c>
      <c r="G1649" s="1" t="s">
        <v>2079</v>
      </c>
      <c r="H1649" s="1" t="s">
        <v>2087</v>
      </c>
      <c r="I1649" s="1">
        <v>6</v>
      </c>
      <c r="J1649" s="1">
        <v>76716.47</v>
      </c>
      <c r="K1649" s="1">
        <v>0.64</v>
      </c>
      <c r="L1649" s="1">
        <v>457352.91</v>
      </c>
      <c r="M1649" s="1">
        <v>107323.88</v>
      </c>
      <c r="N1649" s="1" t="s">
        <v>2091</v>
      </c>
    </row>
    <row r="1650" spans="1:14">
      <c r="A1650" s="1" t="s">
        <v>1662</v>
      </c>
      <c r="B1650" s="2">
        <v>45893</v>
      </c>
      <c r="C1650" s="1" t="s">
        <v>2024</v>
      </c>
      <c r="D1650" s="1" t="s">
        <v>2042</v>
      </c>
      <c r="E1650" s="1" t="s">
        <v>2045</v>
      </c>
      <c r="F1650" s="1" t="s">
        <v>2051</v>
      </c>
      <c r="G1650" s="1" t="s">
        <v>2080</v>
      </c>
      <c r="H1650" s="1" t="s">
        <v>2087</v>
      </c>
      <c r="I1650" s="1">
        <v>7</v>
      </c>
      <c r="J1650" s="1">
        <v>37359.919999999998</v>
      </c>
      <c r="K1650" s="1">
        <v>18.04</v>
      </c>
      <c r="L1650" s="1">
        <v>214341.33</v>
      </c>
      <c r="M1650" s="1">
        <v>18402.310000000001</v>
      </c>
      <c r="N1650" s="1" t="s">
        <v>2089</v>
      </c>
    </row>
    <row r="1651" spans="1:14">
      <c r="A1651" s="1" t="s">
        <v>1663</v>
      </c>
      <c r="B1651" s="2">
        <v>45894</v>
      </c>
      <c r="C1651" s="1" t="s">
        <v>2024</v>
      </c>
      <c r="D1651" s="1" t="s">
        <v>2043</v>
      </c>
      <c r="E1651" s="1" t="s">
        <v>2045</v>
      </c>
      <c r="F1651" s="1" t="s">
        <v>2053</v>
      </c>
      <c r="G1651" s="1" t="s">
        <v>2076</v>
      </c>
      <c r="H1651" s="1" t="s">
        <v>2086</v>
      </c>
      <c r="I1651" s="1">
        <v>9</v>
      </c>
      <c r="J1651" s="1">
        <v>1590.7</v>
      </c>
      <c r="K1651" s="1">
        <v>7.06</v>
      </c>
      <c r="L1651" s="1">
        <v>13305.57</v>
      </c>
      <c r="M1651" s="1">
        <v>2519.8000000000002</v>
      </c>
      <c r="N1651" s="1" t="s">
        <v>2089</v>
      </c>
    </row>
    <row r="1652" spans="1:14">
      <c r="A1652" s="1" t="s">
        <v>1664</v>
      </c>
      <c r="B1652" s="2">
        <v>45894</v>
      </c>
      <c r="C1652" s="1" t="s">
        <v>2024</v>
      </c>
      <c r="D1652" s="1" t="s">
        <v>2029</v>
      </c>
      <c r="E1652" s="1" t="s">
        <v>2047</v>
      </c>
      <c r="F1652" s="1" t="s">
        <v>2054</v>
      </c>
      <c r="G1652" s="1" t="s">
        <v>2081</v>
      </c>
      <c r="H1652" s="1" t="s">
        <v>2085</v>
      </c>
      <c r="I1652" s="1">
        <v>2</v>
      </c>
      <c r="J1652" s="1">
        <v>75622.42</v>
      </c>
      <c r="K1652" s="1">
        <v>24.71</v>
      </c>
      <c r="L1652" s="1">
        <v>113872.24</v>
      </c>
      <c r="M1652" s="1">
        <v>23860.65</v>
      </c>
      <c r="N1652" s="1" t="s">
        <v>2090</v>
      </c>
    </row>
    <row r="1653" spans="1:14">
      <c r="A1653" s="1" t="s">
        <v>1665</v>
      </c>
      <c r="B1653" s="2">
        <v>45894</v>
      </c>
      <c r="C1653" s="1" t="s">
        <v>2023</v>
      </c>
      <c r="D1653" s="1" t="s">
        <v>2030</v>
      </c>
      <c r="E1653" s="1" t="s">
        <v>2045</v>
      </c>
      <c r="F1653" s="1" t="s">
        <v>2054</v>
      </c>
      <c r="G1653" s="1" t="s">
        <v>2081</v>
      </c>
      <c r="H1653" s="1" t="s">
        <v>2086</v>
      </c>
      <c r="I1653" s="1">
        <v>5</v>
      </c>
      <c r="J1653" s="1">
        <v>45823.21</v>
      </c>
      <c r="K1653" s="1">
        <v>19.45</v>
      </c>
      <c r="L1653" s="1">
        <v>184552.98</v>
      </c>
      <c r="M1653" s="1">
        <v>40509.15</v>
      </c>
      <c r="N1653" s="1" t="s">
        <v>2088</v>
      </c>
    </row>
    <row r="1654" spans="1:14">
      <c r="A1654" s="1" t="s">
        <v>1666</v>
      </c>
      <c r="B1654" s="2">
        <v>45895</v>
      </c>
      <c r="C1654" s="1" t="s">
        <v>2021</v>
      </c>
      <c r="D1654" s="1" t="s">
        <v>2031</v>
      </c>
      <c r="E1654" s="1" t="s">
        <v>2046</v>
      </c>
      <c r="F1654" s="1" t="s">
        <v>2049</v>
      </c>
      <c r="G1654" s="1" t="s">
        <v>2082</v>
      </c>
      <c r="H1654" s="1" t="s">
        <v>2085</v>
      </c>
      <c r="I1654" s="1">
        <v>4</v>
      </c>
      <c r="J1654" s="1">
        <v>465.89</v>
      </c>
      <c r="K1654" s="1">
        <v>20.37</v>
      </c>
      <c r="L1654" s="1">
        <v>1483.95</v>
      </c>
      <c r="M1654" s="1">
        <v>351.5</v>
      </c>
      <c r="N1654" s="1" t="s">
        <v>2092</v>
      </c>
    </row>
    <row r="1655" spans="1:14">
      <c r="A1655" s="1" t="s">
        <v>1667</v>
      </c>
      <c r="B1655" s="2">
        <v>45895</v>
      </c>
      <c r="C1655" s="1" t="s">
        <v>2028</v>
      </c>
      <c r="D1655" s="1" t="s">
        <v>2032</v>
      </c>
      <c r="E1655" s="1" t="s">
        <v>2047</v>
      </c>
      <c r="F1655" s="1" t="s">
        <v>2050</v>
      </c>
      <c r="G1655" s="1" t="s">
        <v>2075</v>
      </c>
      <c r="H1655" s="1" t="s">
        <v>2085</v>
      </c>
      <c r="I1655" s="1">
        <v>9</v>
      </c>
      <c r="J1655" s="1">
        <v>3993.17</v>
      </c>
      <c r="K1655" s="1">
        <v>26.63</v>
      </c>
      <c r="L1655" s="1">
        <v>26368.1</v>
      </c>
      <c r="M1655" s="1">
        <v>5052.07</v>
      </c>
      <c r="N1655" s="1" t="s">
        <v>2089</v>
      </c>
    </row>
    <row r="1656" spans="1:14">
      <c r="A1656" s="1" t="s">
        <v>1668</v>
      </c>
      <c r="B1656" s="2">
        <v>45896</v>
      </c>
      <c r="C1656" s="1" t="s">
        <v>2028</v>
      </c>
      <c r="D1656" s="1" t="s">
        <v>2033</v>
      </c>
      <c r="E1656" s="1" t="s">
        <v>2044</v>
      </c>
      <c r="F1656" s="1" t="s">
        <v>2054</v>
      </c>
      <c r="G1656" s="1" t="s">
        <v>2081</v>
      </c>
      <c r="H1656" s="1" t="s">
        <v>2087</v>
      </c>
      <c r="I1656" s="1">
        <v>10</v>
      </c>
      <c r="J1656" s="1">
        <v>52900.83</v>
      </c>
      <c r="K1656" s="1">
        <v>1.52</v>
      </c>
      <c r="L1656" s="1">
        <v>520967.37</v>
      </c>
      <c r="M1656" s="1">
        <v>90296.7</v>
      </c>
      <c r="N1656" s="1" t="s">
        <v>2090</v>
      </c>
    </row>
    <row r="1657" spans="1:14">
      <c r="A1657" s="1" t="s">
        <v>1669</v>
      </c>
      <c r="B1657" s="2">
        <v>45896</v>
      </c>
      <c r="C1657" s="1" t="s">
        <v>2019</v>
      </c>
      <c r="D1657" s="1" t="s">
        <v>2034</v>
      </c>
      <c r="E1657" s="1" t="s">
        <v>2048</v>
      </c>
      <c r="F1657" s="1" t="s">
        <v>2050</v>
      </c>
      <c r="G1657" s="1" t="s">
        <v>2075</v>
      </c>
      <c r="H1657" s="1" t="s">
        <v>2087</v>
      </c>
      <c r="I1657" s="1">
        <v>1</v>
      </c>
      <c r="J1657" s="1">
        <v>1712.31</v>
      </c>
      <c r="K1657" s="1">
        <v>26.81</v>
      </c>
      <c r="L1657" s="1">
        <v>1253.24</v>
      </c>
      <c r="M1657" s="1">
        <v>356.83</v>
      </c>
      <c r="N1657" s="1" t="s">
        <v>2090</v>
      </c>
    </row>
    <row r="1658" spans="1:14">
      <c r="A1658" s="1" t="s">
        <v>1670</v>
      </c>
      <c r="B1658" s="2">
        <v>45896</v>
      </c>
      <c r="C1658" s="1" t="s">
        <v>2027</v>
      </c>
      <c r="D1658" s="1" t="s">
        <v>2035</v>
      </c>
      <c r="E1658" s="1" t="s">
        <v>2044</v>
      </c>
      <c r="F1658" s="1" t="s">
        <v>2051</v>
      </c>
      <c r="G1658" s="1" t="s">
        <v>2080</v>
      </c>
      <c r="H1658" s="1" t="s">
        <v>2085</v>
      </c>
      <c r="I1658" s="1">
        <v>9</v>
      </c>
      <c r="J1658" s="1">
        <v>2729.53</v>
      </c>
      <c r="K1658" s="1">
        <v>9.25</v>
      </c>
      <c r="L1658" s="1">
        <v>22293.439999999999</v>
      </c>
      <c r="M1658" s="1">
        <v>4901.26</v>
      </c>
      <c r="N1658" s="1" t="s">
        <v>2089</v>
      </c>
    </row>
    <row r="1659" spans="1:14">
      <c r="A1659" s="1" t="s">
        <v>1671</v>
      </c>
      <c r="B1659" s="2">
        <v>45897</v>
      </c>
      <c r="C1659" s="1" t="s">
        <v>2014</v>
      </c>
      <c r="D1659" s="1" t="s">
        <v>2036</v>
      </c>
      <c r="E1659" s="1" t="s">
        <v>2045</v>
      </c>
      <c r="F1659" s="1" t="s">
        <v>2051</v>
      </c>
      <c r="G1659" s="1" t="s">
        <v>2077</v>
      </c>
      <c r="H1659" s="1" t="s">
        <v>2085</v>
      </c>
      <c r="I1659" s="1">
        <v>4</v>
      </c>
      <c r="J1659" s="1">
        <v>20566.419999999998</v>
      </c>
      <c r="K1659" s="1">
        <v>27.04</v>
      </c>
      <c r="L1659" s="1">
        <v>60021.04</v>
      </c>
      <c r="M1659" s="1">
        <v>6914.95</v>
      </c>
      <c r="N1659" s="1" t="s">
        <v>2091</v>
      </c>
    </row>
    <row r="1660" spans="1:14">
      <c r="A1660" s="1" t="s">
        <v>1672</v>
      </c>
      <c r="B1660" s="2">
        <v>45897</v>
      </c>
      <c r="C1660" s="1" t="s">
        <v>2014</v>
      </c>
      <c r="D1660" s="1" t="s">
        <v>2037</v>
      </c>
      <c r="E1660" s="1" t="s">
        <v>2047</v>
      </c>
      <c r="F1660" s="1" t="s">
        <v>2052</v>
      </c>
      <c r="G1660" s="1" t="s">
        <v>2078</v>
      </c>
      <c r="H1660" s="1" t="s">
        <v>2085</v>
      </c>
      <c r="I1660" s="1">
        <v>5</v>
      </c>
      <c r="J1660" s="1">
        <v>9974.34</v>
      </c>
      <c r="K1660" s="1">
        <v>26.18</v>
      </c>
      <c r="L1660" s="1">
        <v>36815.29</v>
      </c>
      <c r="M1660" s="1">
        <v>4577.46</v>
      </c>
      <c r="N1660" s="1" t="s">
        <v>2090</v>
      </c>
    </row>
    <row r="1661" spans="1:14">
      <c r="A1661" s="1" t="s">
        <v>1673</v>
      </c>
      <c r="B1661" s="2">
        <v>45897</v>
      </c>
      <c r="C1661" s="1" t="s">
        <v>2018</v>
      </c>
      <c r="D1661" s="1" t="s">
        <v>2038</v>
      </c>
      <c r="E1661" s="1" t="s">
        <v>2047</v>
      </c>
      <c r="F1661" s="1" t="s">
        <v>2049</v>
      </c>
      <c r="G1661" s="1" t="s">
        <v>2082</v>
      </c>
      <c r="H1661" s="1" t="s">
        <v>2085</v>
      </c>
      <c r="I1661" s="1">
        <v>2</v>
      </c>
      <c r="J1661" s="1">
        <v>144.88</v>
      </c>
      <c r="K1661" s="1">
        <v>26.88</v>
      </c>
      <c r="L1661" s="1">
        <v>211.87</v>
      </c>
      <c r="M1661" s="1">
        <v>45.13</v>
      </c>
      <c r="N1661" s="1" t="s">
        <v>2090</v>
      </c>
    </row>
    <row r="1662" spans="1:14">
      <c r="A1662" s="1" t="s">
        <v>1674</v>
      </c>
      <c r="B1662" s="2">
        <v>45898</v>
      </c>
      <c r="C1662" s="1" t="s">
        <v>2017</v>
      </c>
      <c r="D1662" s="1" t="s">
        <v>2039</v>
      </c>
      <c r="E1662" s="1" t="s">
        <v>2048</v>
      </c>
      <c r="F1662" s="1" t="s">
        <v>2051</v>
      </c>
      <c r="G1662" s="1" t="s">
        <v>2069</v>
      </c>
      <c r="H1662" s="1" t="s">
        <v>2085</v>
      </c>
      <c r="I1662" s="1">
        <v>2</v>
      </c>
      <c r="J1662" s="1">
        <v>1685.05</v>
      </c>
      <c r="K1662" s="1">
        <v>18.579999999999998</v>
      </c>
      <c r="L1662" s="1">
        <v>2743.94</v>
      </c>
      <c r="M1662" s="1">
        <v>451.32</v>
      </c>
      <c r="N1662" s="1" t="s">
        <v>2092</v>
      </c>
    </row>
    <row r="1663" spans="1:14">
      <c r="A1663" s="1" t="s">
        <v>1675</v>
      </c>
      <c r="B1663" s="2">
        <v>45898</v>
      </c>
      <c r="C1663" s="1" t="s">
        <v>2027</v>
      </c>
      <c r="D1663" s="1" t="s">
        <v>2040</v>
      </c>
      <c r="E1663" s="1" t="s">
        <v>2044</v>
      </c>
      <c r="F1663" s="1" t="s">
        <v>2052</v>
      </c>
      <c r="G1663" s="1" t="s">
        <v>2065</v>
      </c>
      <c r="H1663" s="1" t="s">
        <v>2085</v>
      </c>
      <c r="I1663" s="1">
        <v>5</v>
      </c>
      <c r="J1663" s="1">
        <v>3489.8</v>
      </c>
      <c r="K1663" s="1">
        <v>15.9</v>
      </c>
      <c r="L1663" s="1">
        <v>14674.61</v>
      </c>
      <c r="M1663" s="1">
        <v>3148.91</v>
      </c>
      <c r="N1663" s="1" t="s">
        <v>2089</v>
      </c>
    </row>
    <row r="1664" spans="1:14">
      <c r="A1664" s="1" t="s">
        <v>1676</v>
      </c>
      <c r="B1664" s="2">
        <v>45898</v>
      </c>
      <c r="C1664" s="1" t="s">
        <v>2016</v>
      </c>
      <c r="D1664" s="1" t="s">
        <v>2041</v>
      </c>
      <c r="E1664" s="1" t="s">
        <v>2048</v>
      </c>
      <c r="F1664" s="1" t="s">
        <v>2053</v>
      </c>
      <c r="G1664" s="1" t="s">
        <v>2067</v>
      </c>
      <c r="H1664" s="1" t="s">
        <v>2085</v>
      </c>
      <c r="I1664" s="1">
        <v>10</v>
      </c>
      <c r="J1664" s="1">
        <v>1604.6</v>
      </c>
      <c r="K1664" s="1">
        <v>5.21</v>
      </c>
      <c r="L1664" s="1">
        <v>15210</v>
      </c>
      <c r="M1664" s="1">
        <v>1003.2</v>
      </c>
      <c r="N1664" s="1" t="s">
        <v>2088</v>
      </c>
    </row>
    <row r="1665" spans="1:14">
      <c r="A1665" s="1" t="s">
        <v>1677</v>
      </c>
      <c r="B1665" s="2">
        <v>45899</v>
      </c>
      <c r="C1665" s="1" t="s">
        <v>2015</v>
      </c>
      <c r="D1665" s="1" t="s">
        <v>2042</v>
      </c>
      <c r="E1665" s="1" t="s">
        <v>2046</v>
      </c>
      <c r="F1665" s="1" t="s">
        <v>2050</v>
      </c>
      <c r="G1665" s="1" t="s">
        <v>2084</v>
      </c>
      <c r="H1665" s="1" t="s">
        <v>2086</v>
      </c>
      <c r="I1665" s="1">
        <v>10</v>
      </c>
      <c r="J1665" s="1">
        <v>6232.18</v>
      </c>
      <c r="K1665" s="1">
        <v>11.13</v>
      </c>
      <c r="L1665" s="1">
        <v>55385.38</v>
      </c>
      <c r="M1665" s="1">
        <v>12883.56</v>
      </c>
      <c r="N1665" s="1" t="s">
        <v>2091</v>
      </c>
    </row>
    <row r="1666" spans="1:14">
      <c r="A1666" s="1" t="s">
        <v>1678</v>
      </c>
      <c r="B1666" s="2">
        <v>45899</v>
      </c>
      <c r="C1666" s="1" t="s">
        <v>2020</v>
      </c>
      <c r="D1666" s="1" t="s">
        <v>2043</v>
      </c>
      <c r="E1666" s="1" t="s">
        <v>2048</v>
      </c>
      <c r="F1666" s="1" t="s">
        <v>2051</v>
      </c>
      <c r="G1666" s="1" t="s">
        <v>2069</v>
      </c>
      <c r="H1666" s="1" t="s">
        <v>2085</v>
      </c>
      <c r="I1666" s="1">
        <v>9</v>
      </c>
      <c r="J1666" s="1">
        <v>28068.58</v>
      </c>
      <c r="K1666" s="1">
        <v>23.03</v>
      </c>
      <c r="L1666" s="1">
        <v>194439.47</v>
      </c>
      <c r="M1666" s="1">
        <v>53255.58</v>
      </c>
      <c r="N1666" s="1" t="s">
        <v>2092</v>
      </c>
    </row>
    <row r="1667" spans="1:14">
      <c r="A1667" s="1" t="s">
        <v>1679</v>
      </c>
      <c r="B1667" s="2">
        <v>45900</v>
      </c>
      <c r="C1667" s="1" t="s">
        <v>2028</v>
      </c>
      <c r="D1667" s="1" t="s">
        <v>2029</v>
      </c>
      <c r="E1667" s="1" t="s">
        <v>2045</v>
      </c>
      <c r="F1667" s="1" t="s">
        <v>2052</v>
      </c>
      <c r="G1667" s="1" t="s">
        <v>2078</v>
      </c>
      <c r="H1667" s="1" t="s">
        <v>2086</v>
      </c>
      <c r="I1667" s="1">
        <v>5</v>
      </c>
      <c r="J1667" s="1">
        <v>7057.74</v>
      </c>
      <c r="K1667" s="1">
        <v>6.17</v>
      </c>
      <c r="L1667" s="1">
        <v>33111.39</v>
      </c>
      <c r="M1667" s="1">
        <v>2246.9299999999998</v>
      </c>
      <c r="N1667" s="1" t="s">
        <v>2089</v>
      </c>
    </row>
    <row r="1668" spans="1:14">
      <c r="A1668" s="1" t="s">
        <v>1680</v>
      </c>
      <c r="B1668" s="2">
        <v>45900</v>
      </c>
      <c r="C1668" s="1" t="s">
        <v>2026</v>
      </c>
      <c r="D1668" s="1" t="s">
        <v>2030</v>
      </c>
      <c r="E1668" s="1" t="s">
        <v>2044</v>
      </c>
      <c r="F1668" s="1" t="s">
        <v>2053</v>
      </c>
      <c r="G1668" s="1" t="s">
        <v>2062</v>
      </c>
      <c r="H1668" s="1" t="s">
        <v>2086</v>
      </c>
      <c r="I1668" s="1">
        <v>9</v>
      </c>
      <c r="J1668" s="1">
        <v>1911.24</v>
      </c>
      <c r="K1668" s="1">
        <v>28</v>
      </c>
      <c r="L1668" s="1">
        <v>12384.84</v>
      </c>
      <c r="M1668" s="1">
        <v>1300.81</v>
      </c>
      <c r="N1668" s="1" t="s">
        <v>2089</v>
      </c>
    </row>
    <row r="1669" spans="1:14">
      <c r="A1669" s="1" t="s">
        <v>1681</v>
      </c>
      <c r="B1669" s="2">
        <v>45900</v>
      </c>
      <c r="C1669" s="1" t="s">
        <v>2028</v>
      </c>
      <c r="D1669" s="1" t="s">
        <v>2031</v>
      </c>
      <c r="E1669" s="1" t="s">
        <v>2047</v>
      </c>
      <c r="F1669" s="1" t="s">
        <v>2051</v>
      </c>
      <c r="G1669" s="1" t="s">
        <v>2057</v>
      </c>
      <c r="H1669" s="1" t="s">
        <v>2087</v>
      </c>
      <c r="I1669" s="1">
        <v>10</v>
      </c>
      <c r="J1669" s="1">
        <v>14513.31</v>
      </c>
      <c r="K1669" s="1">
        <v>23.23</v>
      </c>
      <c r="L1669" s="1">
        <v>111418.68</v>
      </c>
      <c r="M1669" s="1">
        <v>12881.57</v>
      </c>
      <c r="N1669" s="1" t="s">
        <v>2091</v>
      </c>
    </row>
    <row r="1670" spans="1:14">
      <c r="A1670" s="1" t="s">
        <v>1682</v>
      </c>
      <c r="B1670" s="2">
        <v>45901</v>
      </c>
      <c r="C1670" s="1" t="s">
        <v>2026</v>
      </c>
      <c r="D1670" s="1" t="s">
        <v>2032</v>
      </c>
      <c r="E1670" s="1" t="s">
        <v>2048</v>
      </c>
      <c r="F1670" s="1" t="s">
        <v>2053</v>
      </c>
      <c r="G1670" s="1" t="s">
        <v>2076</v>
      </c>
      <c r="H1670" s="1" t="s">
        <v>2085</v>
      </c>
      <c r="I1670" s="1">
        <v>5</v>
      </c>
      <c r="J1670" s="1">
        <v>1039.2</v>
      </c>
      <c r="K1670" s="1">
        <v>28.8</v>
      </c>
      <c r="L1670" s="1">
        <v>3699.55</v>
      </c>
      <c r="M1670" s="1">
        <v>494.86</v>
      </c>
      <c r="N1670" s="1" t="s">
        <v>2089</v>
      </c>
    </row>
    <row r="1671" spans="1:14">
      <c r="A1671" s="1" t="s">
        <v>1683</v>
      </c>
      <c r="B1671" s="2">
        <v>45901</v>
      </c>
      <c r="C1671" s="1" t="s">
        <v>2022</v>
      </c>
      <c r="D1671" s="1" t="s">
        <v>2033</v>
      </c>
      <c r="E1671" s="1" t="s">
        <v>2045</v>
      </c>
      <c r="F1671" s="1" t="s">
        <v>2051</v>
      </c>
      <c r="G1671" s="1" t="s">
        <v>2061</v>
      </c>
      <c r="H1671" s="1" t="s">
        <v>2087</v>
      </c>
      <c r="I1671" s="1">
        <v>5</v>
      </c>
      <c r="J1671" s="1">
        <v>36602.94</v>
      </c>
      <c r="K1671" s="1">
        <v>22.65</v>
      </c>
      <c r="L1671" s="1">
        <v>141561.87</v>
      </c>
      <c r="M1671" s="1">
        <v>15116.2</v>
      </c>
      <c r="N1671" s="1" t="s">
        <v>2092</v>
      </c>
    </row>
    <row r="1672" spans="1:14">
      <c r="A1672" s="1" t="s">
        <v>1684</v>
      </c>
      <c r="B1672" s="2">
        <v>45901</v>
      </c>
      <c r="C1672" s="1" t="s">
        <v>2017</v>
      </c>
      <c r="D1672" s="1" t="s">
        <v>2034</v>
      </c>
      <c r="E1672" s="1" t="s">
        <v>2047</v>
      </c>
      <c r="F1672" s="1" t="s">
        <v>2051</v>
      </c>
      <c r="G1672" s="1" t="s">
        <v>2057</v>
      </c>
      <c r="H1672" s="1" t="s">
        <v>2086</v>
      </c>
      <c r="I1672" s="1">
        <v>7</v>
      </c>
      <c r="J1672" s="1">
        <v>24250.35</v>
      </c>
      <c r="K1672" s="1">
        <v>26.8</v>
      </c>
      <c r="L1672" s="1">
        <v>124258.79</v>
      </c>
      <c r="M1672" s="1">
        <v>11555.15</v>
      </c>
      <c r="N1672" s="1" t="s">
        <v>2089</v>
      </c>
    </row>
    <row r="1673" spans="1:14">
      <c r="A1673" s="1" t="s">
        <v>1685</v>
      </c>
      <c r="B1673" s="2">
        <v>45902</v>
      </c>
      <c r="C1673" s="1" t="s">
        <v>2017</v>
      </c>
      <c r="D1673" s="1" t="s">
        <v>2035</v>
      </c>
      <c r="E1673" s="1" t="s">
        <v>2045</v>
      </c>
      <c r="F1673" s="1" t="s">
        <v>2049</v>
      </c>
      <c r="G1673" s="1" t="s">
        <v>2071</v>
      </c>
      <c r="H1673" s="1" t="s">
        <v>2086</v>
      </c>
      <c r="I1673" s="1">
        <v>8</v>
      </c>
      <c r="J1673" s="1">
        <v>1804.73</v>
      </c>
      <c r="K1673" s="1">
        <v>0.82</v>
      </c>
      <c r="L1673" s="1">
        <v>14319.45</v>
      </c>
      <c r="M1673" s="1">
        <v>947.59</v>
      </c>
      <c r="N1673" s="1" t="s">
        <v>2091</v>
      </c>
    </row>
    <row r="1674" spans="1:14">
      <c r="A1674" s="1" t="s">
        <v>1686</v>
      </c>
      <c r="B1674" s="2">
        <v>45902</v>
      </c>
      <c r="C1674" s="1" t="s">
        <v>2019</v>
      </c>
      <c r="D1674" s="1" t="s">
        <v>2036</v>
      </c>
      <c r="E1674" s="1" t="s">
        <v>2046</v>
      </c>
      <c r="F1674" s="1" t="s">
        <v>2051</v>
      </c>
      <c r="G1674" s="1" t="s">
        <v>2061</v>
      </c>
      <c r="H1674" s="1" t="s">
        <v>2085</v>
      </c>
      <c r="I1674" s="1">
        <v>4</v>
      </c>
      <c r="J1674" s="1">
        <v>10162.99</v>
      </c>
      <c r="K1674" s="1">
        <v>13.27</v>
      </c>
      <c r="L1674" s="1">
        <v>35257.440000000002</v>
      </c>
      <c r="M1674" s="1">
        <v>3133.08</v>
      </c>
      <c r="N1674" s="1" t="s">
        <v>2092</v>
      </c>
    </row>
    <row r="1675" spans="1:14">
      <c r="A1675" s="1" t="s">
        <v>1687</v>
      </c>
      <c r="B1675" s="2">
        <v>45902</v>
      </c>
      <c r="C1675" s="1" t="s">
        <v>2020</v>
      </c>
      <c r="D1675" s="1" t="s">
        <v>2037</v>
      </c>
      <c r="E1675" s="1" t="s">
        <v>2044</v>
      </c>
      <c r="F1675" s="1" t="s">
        <v>2054</v>
      </c>
      <c r="G1675" s="1" t="s">
        <v>2066</v>
      </c>
      <c r="H1675" s="1" t="s">
        <v>2087</v>
      </c>
      <c r="I1675" s="1">
        <v>5</v>
      </c>
      <c r="J1675" s="1">
        <v>7809.07</v>
      </c>
      <c r="K1675" s="1">
        <v>20.58</v>
      </c>
      <c r="L1675" s="1">
        <v>31009.82</v>
      </c>
      <c r="M1675" s="1">
        <v>4876.0600000000004</v>
      </c>
      <c r="N1675" s="1" t="s">
        <v>2089</v>
      </c>
    </row>
    <row r="1676" spans="1:14">
      <c r="A1676" s="1" t="s">
        <v>1688</v>
      </c>
      <c r="B1676" s="2">
        <v>45903</v>
      </c>
      <c r="C1676" s="1" t="s">
        <v>2021</v>
      </c>
      <c r="D1676" s="1" t="s">
        <v>2038</v>
      </c>
      <c r="E1676" s="1" t="s">
        <v>2047</v>
      </c>
      <c r="F1676" s="1" t="s">
        <v>2054</v>
      </c>
      <c r="G1676" s="1" t="s">
        <v>2079</v>
      </c>
      <c r="H1676" s="1" t="s">
        <v>2086</v>
      </c>
      <c r="I1676" s="1">
        <v>3</v>
      </c>
      <c r="J1676" s="1">
        <v>19366.48</v>
      </c>
      <c r="K1676" s="1">
        <v>13.13</v>
      </c>
      <c r="L1676" s="1">
        <v>50470.98</v>
      </c>
      <c r="M1676" s="1">
        <v>13325.54</v>
      </c>
      <c r="N1676" s="1" t="s">
        <v>2091</v>
      </c>
    </row>
    <row r="1677" spans="1:14">
      <c r="A1677" s="1" t="s">
        <v>1689</v>
      </c>
      <c r="B1677" s="2">
        <v>45903</v>
      </c>
      <c r="C1677" s="1" t="s">
        <v>2021</v>
      </c>
      <c r="D1677" s="1" t="s">
        <v>2039</v>
      </c>
      <c r="E1677" s="1" t="s">
        <v>2044</v>
      </c>
      <c r="F1677" s="1" t="s">
        <v>2053</v>
      </c>
      <c r="G1677" s="1" t="s">
        <v>2073</v>
      </c>
      <c r="H1677" s="1" t="s">
        <v>2087</v>
      </c>
      <c r="I1677" s="1">
        <v>4</v>
      </c>
      <c r="J1677" s="1">
        <v>1002.12</v>
      </c>
      <c r="K1677" s="1">
        <v>27.83</v>
      </c>
      <c r="L1677" s="1">
        <v>2892.92</v>
      </c>
      <c r="M1677" s="1">
        <v>212.96</v>
      </c>
      <c r="N1677" s="1" t="s">
        <v>2091</v>
      </c>
    </row>
    <row r="1678" spans="1:14">
      <c r="A1678" s="1" t="s">
        <v>1690</v>
      </c>
      <c r="B1678" s="2">
        <v>45904</v>
      </c>
      <c r="C1678" s="1" t="s">
        <v>2015</v>
      </c>
      <c r="D1678" s="1" t="s">
        <v>2040</v>
      </c>
      <c r="E1678" s="1" t="s">
        <v>2046</v>
      </c>
      <c r="F1678" s="1" t="s">
        <v>2050</v>
      </c>
      <c r="G1678" s="1" t="s">
        <v>2070</v>
      </c>
      <c r="H1678" s="1" t="s">
        <v>2087</v>
      </c>
      <c r="I1678" s="1">
        <v>2</v>
      </c>
      <c r="J1678" s="1">
        <v>4568.07</v>
      </c>
      <c r="K1678" s="1">
        <v>20.010000000000002</v>
      </c>
      <c r="L1678" s="1">
        <v>7308</v>
      </c>
      <c r="M1678" s="1">
        <v>2064.77</v>
      </c>
      <c r="N1678" s="1" t="s">
        <v>2092</v>
      </c>
    </row>
    <row r="1679" spans="1:14">
      <c r="A1679" s="1" t="s">
        <v>1691</v>
      </c>
      <c r="B1679" s="2">
        <v>45904</v>
      </c>
      <c r="C1679" s="1" t="s">
        <v>2026</v>
      </c>
      <c r="D1679" s="1" t="s">
        <v>2041</v>
      </c>
      <c r="E1679" s="1" t="s">
        <v>2044</v>
      </c>
      <c r="F1679" s="1" t="s">
        <v>2049</v>
      </c>
      <c r="G1679" s="1" t="s">
        <v>2074</v>
      </c>
      <c r="H1679" s="1" t="s">
        <v>2085</v>
      </c>
      <c r="I1679" s="1">
        <v>4</v>
      </c>
      <c r="J1679" s="1">
        <v>2205.1</v>
      </c>
      <c r="K1679" s="1">
        <v>1.39</v>
      </c>
      <c r="L1679" s="1">
        <v>8697.7999999999993</v>
      </c>
      <c r="M1679" s="1">
        <v>1630.12</v>
      </c>
      <c r="N1679" s="1" t="s">
        <v>2092</v>
      </c>
    </row>
    <row r="1680" spans="1:14">
      <c r="A1680" s="1" t="s">
        <v>1692</v>
      </c>
      <c r="B1680" s="2">
        <v>45904</v>
      </c>
      <c r="C1680" s="1" t="s">
        <v>2016</v>
      </c>
      <c r="D1680" s="1" t="s">
        <v>2042</v>
      </c>
      <c r="E1680" s="1" t="s">
        <v>2046</v>
      </c>
      <c r="F1680" s="1" t="s">
        <v>2049</v>
      </c>
      <c r="G1680" s="1" t="s">
        <v>2058</v>
      </c>
      <c r="H1680" s="1" t="s">
        <v>2086</v>
      </c>
      <c r="I1680" s="1">
        <v>3</v>
      </c>
      <c r="J1680" s="1">
        <v>2992.37</v>
      </c>
      <c r="K1680" s="1">
        <v>28.27</v>
      </c>
      <c r="L1680" s="1">
        <v>6439.28</v>
      </c>
      <c r="M1680" s="1">
        <v>1402.05</v>
      </c>
      <c r="N1680" s="1" t="s">
        <v>2092</v>
      </c>
    </row>
    <row r="1681" spans="1:14">
      <c r="A1681" s="1" t="s">
        <v>1693</v>
      </c>
      <c r="B1681" s="2">
        <v>45905</v>
      </c>
      <c r="C1681" s="1" t="s">
        <v>2015</v>
      </c>
      <c r="D1681" s="1" t="s">
        <v>2043</v>
      </c>
      <c r="E1681" s="1" t="s">
        <v>2047</v>
      </c>
      <c r="F1681" s="1" t="s">
        <v>2049</v>
      </c>
      <c r="G1681" s="1" t="s">
        <v>2074</v>
      </c>
      <c r="H1681" s="1" t="s">
        <v>2085</v>
      </c>
      <c r="I1681" s="1">
        <v>3</v>
      </c>
      <c r="J1681" s="1">
        <v>295.49</v>
      </c>
      <c r="K1681" s="1">
        <v>27.46</v>
      </c>
      <c r="L1681" s="1">
        <v>643.04999999999995</v>
      </c>
      <c r="M1681" s="1">
        <v>97.14</v>
      </c>
      <c r="N1681" s="1" t="s">
        <v>2090</v>
      </c>
    </row>
    <row r="1682" spans="1:14">
      <c r="A1682" s="1" t="s">
        <v>1694</v>
      </c>
      <c r="B1682" s="2">
        <v>45905</v>
      </c>
      <c r="C1682" s="1" t="s">
        <v>2026</v>
      </c>
      <c r="D1682" s="1" t="s">
        <v>2029</v>
      </c>
      <c r="E1682" s="1" t="s">
        <v>2047</v>
      </c>
      <c r="F1682" s="1" t="s">
        <v>2054</v>
      </c>
      <c r="G1682" s="1" t="s">
        <v>2081</v>
      </c>
      <c r="H1682" s="1" t="s">
        <v>2086</v>
      </c>
      <c r="I1682" s="1">
        <v>5</v>
      </c>
      <c r="J1682" s="1">
        <v>66823.31</v>
      </c>
      <c r="K1682" s="1">
        <v>9.1300000000000008</v>
      </c>
      <c r="L1682" s="1">
        <v>303611.71000000002</v>
      </c>
      <c r="M1682" s="1">
        <v>50780.15</v>
      </c>
      <c r="N1682" s="1" t="s">
        <v>2091</v>
      </c>
    </row>
    <row r="1683" spans="1:14">
      <c r="A1683" s="1" t="s">
        <v>1695</v>
      </c>
      <c r="B1683" s="2">
        <v>45905</v>
      </c>
      <c r="C1683" s="1" t="s">
        <v>2020</v>
      </c>
      <c r="D1683" s="1" t="s">
        <v>2030</v>
      </c>
      <c r="E1683" s="1" t="s">
        <v>2047</v>
      </c>
      <c r="F1683" s="1" t="s">
        <v>2054</v>
      </c>
      <c r="G1683" s="1" t="s">
        <v>2081</v>
      </c>
      <c r="H1683" s="1" t="s">
        <v>2085</v>
      </c>
      <c r="I1683" s="1">
        <v>4</v>
      </c>
      <c r="J1683" s="1">
        <v>46812.86</v>
      </c>
      <c r="K1683" s="1">
        <v>16.59</v>
      </c>
      <c r="L1683" s="1">
        <v>156186.43</v>
      </c>
      <c r="M1683" s="1">
        <v>41364.42</v>
      </c>
      <c r="N1683" s="1" t="s">
        <v>2091</v>
      </c>
    </row>
    <row r="1684" spans="1:14">
      <c r="A1684" s="1" t="s">
        <v>1696</v>
      </c>
      <c r="B1684" s="2">
        <v>45906</v>
      </c>
      <c r="C1684" s="1" t="s">
        <v>2015</v>
      </c>
      <c r="D1684" s="1" t="s">
        <v>2031</v>
      </c>
      <c r="E1684" s="1" t="s">
        <v>2045</v>
      </c>
      <c r="F1684" s="1" t="s">
        <v>2049</v>
      </c>
      <c r="G1684" s="1" t="s">
        <v>2082</v>
      </c>
      <c r="H1684" s="1" t="s">
        <v>2086</v>
      </c>
      <c r="I1684" s="1">
        <v>1</v>
      </c>
      <c r="J1684" s="1">
        <v>688.51</v>
      </c>
      <c r="K1684" s="1">
        <v>24.09</v>
      </c>
      <c r="L1684" s="1">
        <v>522.65</v>
      </c>
      <c r="M1684" s="1">
        <v>78.349999999999994</v>
      </c>
      <c r="N1684" s="1" t="s">
        <v>2088</v>
      </c>
    </row>
    <row r="1685" spans="1:14">
      <c r="A1685" s="1" t="s">
        <v>1697</v>
      </c>
      <c r="B1685" s="2">
        <v>45906</v>
      </c>
      <c r="C1685" s="1" t="s">
        <v>2015</v>
      </c>
      <c r="D1685" s="1" t="s">
        <v>2032</v>
      </c>
      <c r="E1685" s="1" t="s">
        <v>2044</v>
      </c>
      <c r="F1685" s="1" t="s">
        <v>2049</v>
      </c>
      <c r="G1685" s="1" t="s">
        <v>2082</v>
      </c>
      <c r="H1685" s="1" t="s">
        <v>2086</v>
      </c>
      <c r="I1685" s="1">
        <v>4</v>
      </c>
      <c r="J1685" s="1">
        <v>1773.28</v>
      </c>
      <c r="K1685" s="1">
        <v>22.14</v>
      </c>
      <c r="L1685" s="1">
        <v>5522.7</v>
      </c>
      <c r="M1685" s="1">
        <v>712.64</v>
      </c>
      <c r="N1685" s="1" t="s">
        <v>2091</v>
      </c>
    </row>
    <row r="1686" spans="1:14">
      <c r="A1686" s="1" t="s">
        <v>1698</v>
      </c>
      <c r="B1686" s="2">
        <v>45906</v>
      </c>
      <c r="C1686" s="1" t="s">
        <v>2014</v>
      </c>
      <c r="D1686" s="1" t="s">
        <v>2033</v>
      </c>
      <c r="E1686" s="1" t="s">
        <v>2044</v>
      </c>
      <c r="F1686" s="1" t="s">
        <v>2051</v>
      </c>
      <c r="G1686" s="1" t="s">
        <v>2069</v>
      </c>
      <c r="H1686" s="1" t="s">
        <v>2086</v>
      </c>
      <c r="I1686" s="1">
        <v>6</v>
      </c>
      <c r="J1686" s="1">
        <v>34167.660000000003</v>
      </c>
      <c r="K1686" s="1">
        <v>4.3600000000000003</v>
      </c>
      <c r="L1686" s="1">
        <v>196067.7</v>
      </c>
      <c r="M1686" s="1">
        <v>11263.15</v>
      </c>
      <c r="N1686" s="1" t="s">
        <v>2088</v>
      </c>
    </row>
    <row r="1687" spans="1:14">
      <c r="A1687" s="1" t="s">
        <v>1699</v>
      </c>
      <c r="B1687" s="2">
        <v>45907</v>
      </c>
      <c r="C1687" s="1" t="s">
        <v>2022</v>
      </c>
      <c r="D1687" s="1" t="s">
        <v>2034</v>
      </c>
      <c r="E1687" s="1" t="s">
        <v>2045</v>
      </c>
      <c r="F1687" s="1" t="s">
        <v>2050</v>
      </c>
      <c r="G1687" s="1" t="s">
        <v>2070</v>
      </c>
      <c r="H1687" s="1" t="s">
        <v>2086</v>
      </c>
      <c r="I1687" s="1">
        <v>8</v>
      </c>
      <c r="J1687" s="1">
        <v>4010.69</v>
      </c>
      <c r="K1687" s="1">
        <v>29.06</v>
      </c>
      <c r="L1687" s="1">
        <v>22761.47</v>
      </c>
      <c r="M1687" s="1">
        <v>4962.8500000000004</v>
      </c>
      <c r="N1687" s="1" t="s">
        <v>2092</v>
      </c>
    </row>
    <row r="1688" spans="1:14">
      <c r="A1688" s="1" t="s">
        <v>1700</v>
      </c>
      <c r="B1688" s="2">
        <v>45907</v>
      </c>
      <c r="C1688" s="1" t="s">
        <v>2014</v>
      </c>
      <c r="D1688" s="1" t="s">
        <v>2035</v>
      </c>
      <c r="E1688" s="1" t="s">
        <v>2044</v>
      </c>
      <c r="F1688" s="1" t="s">
        <v>2049</v>
      </c>
      <c r="G1688" s="1" t="s">
        <v>2082</v>
      </c>
      <c r="H1688" s="1" t="s">
        <v>2086</v>
      </c>
      <c r="I1688" s="1">
        <v>2</v>
      </c>
      <c r="J1688" s="1">
        <v>1108.8599999999999</v>
      </c>
      <c r="K1688" s="1">
        <v>12.16</v>
      </c>
      <c r="L1688" s="1">
        <v>1948.05</v>
      </c>
      <c r="M1688" s="1">
        <v>538.42999999999995</v>
      </c>
      <c r="N1688" s="1" t="s">
        <v>2088</v>
      </c>
    </row>
    <row r="1689" spans="1:14">
      <c r="A1689" s="1" t="s">
        <v>1701</v>
      </c>
      <c r="B1689" s="2">
        <v>45908</v>
      </c>
      <c r="C1689" s="1" t="s">
        <v>2020</v>
      </c>
      <c r="D1689" s="1" t="s">
        <v>2036</v>
      </c>
      <c r="E1689" s="1" t="s">
        <v>2046</v>
      </c>
      <c r="F1689" s="1" t="s">
        <v>2050</v>
      </c>
      <c r="G1689" s="1" t="s">
        <v>2070</v>
      </c>
      <c r="H1689" s="1" t="s">
        <v>2085</v>
      </c>
      <c r="I1689" s="1">
        <v>7</v>
      </c>
      <c r="J1689" s="1">
        <v>1502.57</v>
      </c>
      <c r="K1689" s="1">
        <v>3.16</v>
      </c>
      <c r="L1689" s="1">
        <v>10185.620000000001</v>
      </c>
      <c r="M1689" s="1">
        <v>2249.54</v>
      </c>
      <c r="N1689" s="1" t="s">
        <v>2089</v>
      </c>
    </row>
    <row r="1690" spans="1:14">
      <c r="A1690" s="1" t="s">
        <v>1702</v>
      </c>
      <c r="B1690" s="2">
        <v>45908</v>
      </c>
      <c r="C1690" s="1" t="s">
        <v>2020</v>
      </c>
      <c r="D1690" s="1" t="s">
        <v>2037</v>
      </c>
      <c r="E1690" s="1" t="s">
        <v>2048</v>
      </c>
      <c r="F1690" s="1" t="s">
        <v>2051</v>
      </c>
      <c r="G1690" s="1" t="s">
        <v>2080</v>
      </c>
      <c r="H1690" s="1" t="s">
        <v>2086</v>
      </c>
      <c r="I1690" s="1">
        <v>6</v>
      </c>
      <c r="J1690" s="1">
        <v>23234.7</v>
      </c>
      <c r="K1690" s="1">
        <v>3.39</v>
      </c>
      <c r="L1690" s="1">
        <v>134682.26</v>
      </c>
      <c r="M1690" s="1">
        <v>37337.620000000003</v>
      </c>
      <c r="N1690" s="1" t="s">
        <v>2090</v>
      </c>
    </row>
    <row r="1691" spans="1:14">
      <c r="A1691" s="1" t="s">
        <v>1703</v>
      </c>
      <c r="B1691" s="2">
        <v>45908</v>
      </c>
      <c r="C1691" s="1" t="s">
        <v>2020</v>
      </c>
      <c r="D1691" s="1" t="s">
        <v>2038</v>
      </c>
      <c r="E1691" s="1" t="s">
        <v>2044</v>
      </c>
      <c r="F1691" s="1" t="s">
        <v>2053</v>
      </c>
      <c r="G1691" s="1" t="s">
        <v>2060</v>
      </c>
      <c r="H1691" s="1" t="s">
        <v>2087</v>
      </c>
      <c r="I1691" s="1">
        <v>2</v>
      </c>
      <c r="J1691" s="1">
        <v>842.2</v>
      </c>
      <c r="K1691" s="1">
        <v>26.57</v>
      </c>
      <c r="L1691" s="1">
        <v>1236.8499999999999</v>
      </c>
      <c r="M1691" s="1">
        <v>154.07</v>
      </c>
      <c r="N1691" s="1" t="s">
        <v>2090</v>
      </c>
    </row>
    <row r="1692" spans="1:14">
      <c r="A1692" s="1" t="s">
        <v>1704</v>
      </c>
      <c r="B1692" s="2">
        <v>45909</v>
      </c>
      <c r="C1692" s="1" t="s">
        <v>2018</v>
      </c>
      <c r="D1692" s="1" t="s">
        <v>2039</v>
      </c>
      <c r="E1692" s="1" t="s">
        <v>2048</v>
      </c>
      <c r="F1692" s="1" t="s">
        <v>2049</v>
      </c>
      <c r="G1692" s="1" t="s">
        <v>2058</v>
      </c>
      <c r="H1692" s="1" t="s">
        <v>2085</v>
      </c>
      <c r="I1692" s="1">
        <v>1</v>
      </c>
      <c r="J1692" s="1">
        <v>374.09</v>
      </c>
      <c r="K1692" s="1">
        <v>12.74</v>
      </c>
      <c r="L1692" s="1">
        <v>326.43</v>
      </c>
      <c r="M1692" s="1">
        <v>17.77</v>
      </c>
      <c r="N1692" s="1" t="s">
        <v>2089</v>
      </c>
    </row>
    <row r="1693" spans="1:14">
      <c r="A1693" s="1" t="s">
        <v>1705</v>
      </c>
      <c r="B1693" s="2">
        <v>45909</v>
      </c>
      <c r="C1693" s="1" t="s">
        <v>2022</v>
      </c>
      <c r="D1693" s="1" t="s">
        <v>2040</v>
      </c>
      <c r="E1693" s="1" t="s">
        <v>2046</v>
      </c>
      <c r="F1693" s="1" t="s">
        <v>2051</v>
      </c>
      <c r="G1693" s="1" t="s">
        <v>2069</v>
      </c>
      <c r="H1693" s="1" t="s">
        <v>2086</v>
      </c>
      <c r="I1693" s="1">
        <v>6</v>
      </c>
      <c r="J1693" s="1">
        <v>35074.660000000003</v>
      </c>
      <c r="K1693" s="1">
        <v>23.68</v>
      </c>
      <c r="L1693" s="1">
        <v>160613.88</v>
      </c>
      <c r="M1693" s="1">
        <v>35083.879999999997</v>
      </c>
      <c r="N1693" s="1" t="s">
        <v>2091</v>
      </c>
    </row>
    <row r="1694" spans="1:14">
      <c r="A1694" s="1" t="s">
        <v>1706</v>
      </c>
      <c r="B1694" s="2">
        <v>45909</v>
      </c>
      <c r="C1694" s="1" t="s">
        <v>2014</v>
      </c>
      <c r="D1694" s="1" t="s">
        <v>2041</v>
      </c>
      <c r="E1694" s="1" t="s">
        <v>2047</v>
      </c>
      <c r="F1694" s="1" t="s">
        <v>2050</v>
      </c>
      <c r="G1694" s="1" t="s">
        <v>2056</v>
      </c>
      <c r="H1694" s="1" t="s">
        <v>2085</v>
      </c>
      <c r="I1694" s="1">
        <v>8</v>
      </c>
      <c r="J1694" s="1">
        <v>4483.24</v>
      </c>
      <c r="K1694" s="1">
        <v>17.32</v>
      </c>
      <c r="L1694" s="1">
        <v>29653.94</v>
      </c>
      <c r="M1694" s="1">
        <v>6709.33</v>
      </c>
      <c r="N1694" s="1" t="s">
        <v>2090</v>
      </c>
    </row>
    <row r="1695" spans="1:14">
      <c r="A1695" s="1" t="s">
        <v>1707</v>
      </c>
      <c r="B1695" s="2">
        <v>45910</v>
      </c>
      <c r="C1695" s="1" t="s">
        <v>2015</v>
      </c>
      <c r="D1695" s="1" t="s">
        <v>2042</v>
      </c>
      <c r="E1695" s="1" t="s">
        <v>2047</v>
      </c>
      <c r="F1695" s="1" t="s">
        <v>2050</v>
      </c>
      <c r="G1695" s="1" t="s">
        <v>2056</v>
      </c>
      <c r="H1695" s="1" t="s">
        <v>2086</v>
      </c>
      <c r="I1695" s="1">
        <v>6</v>
      </c>
      <c r="J1695" s="1">
        <v>5267.25</v>
      </c>
      <c r="K1695" s="1">
        <v>16.72</v>
      </c>
      <c r="L1695" s="1">
        <v>26319.39</v>
      </c>
      <c r="M1695" s="1">
        <v>5553.01</v>
      </c>
      <c r="N1695" s="1" t="s">
        <v>2092</v>
      </c>
    </row>
    <row r="1696" spans="1:14">
      <c r="A1696" s="1" t="s">
        <v>1708</v>
      </c>
      <c r="B1696" s="2">
        <v>45910</v>
      </c>
      <c r="C1696" s="1" t="s">
        <v>2025</v>
      </c>
      <c r="D1696" s="1" t="s">
        <v>2043</v>
      </c>
      <c r="E1696" s="1" t="s">
        <v>2045</v>
      </c>
      <c r="F1696" s="1" t="s">
        <v>2054</v>
      </c>
      <c r="G1696" s="1" t="s">
        <v>2079</v>
      </c>
      <c r="H1696" s="1" t="s">
        <v>2085</v>
      </c>
      <c r="I1696" s="1">
        <v>5</v>
      </c>
      <c r="J1696" s="1">
        <v>612.75</v>
      </c>
      <c r="K1696" s="1">
        <v>16.8</v>
      </c>
      <c r="L1696" s="1">
        <v>2549.04</v>
      </c>
      <c r="M1696" s="1">
        <v>503.85</v>
      </c>
      <c r="N1696" s="1" t="s">
        <v>2092</v>
      </c>
    </row>
    <row r="1697" spans="1:14">
      <c r="A1697" s="1" t="s">
        <v>1709</v>
      </c>
      <c r="B1697" s="2">
        <v>45910</v>
      </c>
      <c r="C1697" s="1" t="s">
        <v>2027</v>
      </c>
      <c r="D1697" s="1" t="s">
        <v>2029</v>
      </c>
      <c r="E1697" s="1" t="s">
        <v>2047</v>
      </c>
      <c r="F1697" s="1" t="s">
        <v>2050</v>
      </c>
      <c r="G1697" s="1" t="s">
        <v>2064</v>
      </c>
      <c r="H1697" s="1" t="s">
        <v>2086</v>
      </c>
      <c r="I1697" s="1">
        <v>7</v>
      </c>
      <c r="J1697" s="1">
        <v>2222.54</v>
      </c>
      <c r="K1697" s="1">
        <v>18.27</v>
      </c>
      <c r="L1697" s="1">
        <v>12715.37</v>
      </c>
      <c r="M1697" s="1">
        <v>2822.09</v>
      </c>
      <c r="N1697" s="1" t="s">
        <v>2088</v>
      </c>
    </row>
    <row r="1698" spans="1:14">
      <c r="A1698" s="1" t="s">
        <v>1710</v>
      </c>
      <c r="B1698" s="2">
        <v>45911</v>
      </c>
      <c r="C1698" s="1" t="s">
        <v>2016</v>
      </c>
      <c r="D1698" s="1" t="s">
        <v>2030</v>
      </c>
      <c r="E1698" s="1" t="s">
        <v>2048</v>
      </c>
      <c r="F1698" s="1" t="s">
        <v>2051</v>
      </c>
      <c r="G1698" s="1" t="s">
        <v>2061</v>
      </c>
      <c r="H1698" s="1" t="s">
        <v>2086</v>
      </c>
      <c r="I1698" s="1">
        <v>7</v>
      </c>
      <c r="J1698" s="1">
        <v>3818.69</v>
      </c>
      <c r="K1698" s="1">
        <v>22.34</v>
      </c>
      <c r="L1698" s="1">
        <v>20759.16</v>
      </c>
      <c r="M1698" s="1">
        <v>4971.6899999999996</v>
      </c>
      <c r="N1698" s="1" t="s">
        <v>2091</v>
      </c>
    </row>
    <row r="1699" spans="1:14">
      <c r="A1699" s="1" t="s">
        <v>1711</v>
      </c>
      <c r="B1699" s="2">
        <v>45911</v>
      </c>
      <c r="C1699" s="1" t="s">
        <v>2028</v>
      </c>
      <c r="D1699" s="1" t="s">
        <v>2031</v>
      </c>
      <c r="E1699" s="1" t="s">
        <v>2044</v>
      </c>
      <c r="F1699" s="1" t="s">
        <v>2051</v>
      </c>
      <c r="G1699" s="1" t="s">
        <v>2069</v>
      </c>
      <c r="H1699" s="1" t="s">
        <v>2087</v>
      </c>
      <c r="I1699" s="1">
        <v>6</v>
      </c>
      <c r="J1699" s="1">
        <v>22782.13</v>
      </c>
      <c r="K1699" s="1">
        <v>11.2</v>
      </c>
      <c r="L1699" s="1">
        <v>121383.19</v>
      </c>
      <c r="M1699" s="1">
        <v>33037.96</v>
      </c>
      <c r="N1699" s="1" t="s">
        <v>2092</v>
      </c>
    </row>
    <row r="1700" spans="1:14">
      <c r="A1700" s="1" t="s">
        <v>1712</v>
      </c>
      <c r="B1700" s="2">
        <v>45912</v>
      </c>
      <c r="C1700" s="1" t="s">
        <v>2016</v>
      </c>
      <c r="D1700" s="1" t="s">
        <v>2032</v>
      </c>
      <c r="E1700" s="1" t="s">
        <v>2047</v>
      </c>
      <c r="F1700" s="1" t="s">
        <v>2050</v>
      </c>
      <c r="G1700" s="1" t="s">
        <v>2084</v>
      </c>
      <c r="H1700" s="1" t="s">
        <v>2085</v>
      </c>
      <c r="I1700" s="1">
        <v>2</v>
      </c>
      <c r="J1700" s="1">
        <v>6796.25</v>
      </c>
      <c r="K1700" s="1">
        <v>15.37</v>
      </c>
      <c r="L1700" s="1">
        <v>11503.33</v>
      </c>
      <c r="M1700" s="1">
        <v>2845.46</v>
      </c>
      <c r="N1700" s="1" t="s">
        <v>2092</v>
      </c>
    </row>
    <row r="1701" spans="1:14">
      <c r="A1701" s="1" t="s">
        <v>1713</v>
      </c>
      <c r="B1701" s="2">
        <v>45912</v>
      </c>
      <c r="C1701" s="1" t="s">
        <v>2014</v>
      </c>
      <c r="D1701" s="1" t="s">
        <v>2033</v>
      </c>
      <c r="E1701" s="1" t="s">
        <v>2048</v>
      </c>
      <c r="F1701" s="1" t="s">
        <v>2054</v>
      </c>
      <c r="G1701" s="1" t="s">
        <v>2063</v>
      </c>
      <c r="H1701" s="1" t="s">
        <v>2085</v>
      </c>
      <c r="I1701" s="1">
        <v>1</v>
      </c>
      <c r="J1701" s="1">
        <v>61160.04</v>
      </c>
      <c r="K1701" s="1">
        <v>5.0599999999999996</v>
      </c>
      <c r="L1701" s="1">
        <v>58065.34</v>
      </c>
      <c r="M1701" s="1">
        <v>12069.95</v>
      </c>
      <c r="N1701" s="1" t="s">
        <v>2090</v>
      </c>
    </row>
    <row r="1702" spans="1:14">
      <c r="A1702" s="1" t="s">
        <v>1714</v>
      </c>
      <c r="B1702" s="2">
        <v>45912</v>
      </c>
      <c r="C1702" s="1" t="s">
        <v>2022</v>
      </c>
      <c r="D1702" s="1" t="s">
        <v>2034</v>
      </c>
      <c r="E1702" s="1" t="s">
        <v>2047</v>
      </c>
      <c r="F1702" s="1" t="s">
        <v>2049</v>
      </c>
      <c r="G1702" s="1" t="s">
        <v>2074</v>
      </c>
      <c r="H1702" s="1" t="s">
        <v>2086</v>
      </c>
      <c r="I1702" s="1">
        <v>5</v>
      </c>
      <c r="J1702" s="1">
        <v>2602.25</v>
      </c>
      <c r="K1702" s="1">
        <v>12.91</v>
      </c>
      <c r="L1702" s="1">
        <v>11331.5</v>
      </c>
      <c r="M1702" s="1">
        <v>2213.31</v>
      </c>
      <c r="N1702" s="1" t="s">
        <v>2091</v>
      </c>
    </row>
    <row r="1703" spans="1:14">
      <c r="A1703" s="1" t="s">
        <v>1715</v>
      </c>
      <c r="B1703" s="2">
        <v>45913</v>
      </c>
      <c r="C1703" s="1" t="s">
        <v>2022</v>
      </c>
      <c r="D1703" s="1" t="s">
        <v>2035</v>
      </c>
      <c r="E1703" s="1" t="s">
        <v>2044</v>
      </c>
      <c r="F1703" s="1" t="s">
        <v>2052</v>
      </c>
      <c r="G1703" s="1" t="s">
        <v>2072</v>
      </c>
      <c r="H1703" s="1" t="s">
        <v>2086</v>
      </c>
      <c r="I1703" s="1">
        <v>4</v>
      </c>
      <c r="J1703" s="1">
        <v>3248.24</v>
      </c>
      <c r="K1703" s="1">
        <v>9.34</v>
      </c>
      <c r="L1703" s="1">
        <v>11779.42</v>
      </c>
      <c r="M1703" s="1">
        <v>1260.6600000000001</v>
      </c>
      <c r="N1703" s="1" t="s">
        <v>2088</v>
      </c>
    </row>
    <row r="1704" spans="1:14">
      <c r="A1704" s="1" t="s">
        <v>1716</v>
      </c>
      <c r="B1704" s="2">
        <v>45913</v>
      </c>
      <c r="C1704" s="1" t="s">
        <v>2019</v>
      </c>
      <c r="D1704" s="1" t="s">
        <v>2036</v>
      </c>
      <c r="E1704" s="1" t="s">
        <v>2046</v>
      </c>
      <c r="F1704" s="1" t="s">
        <v>2051</v>
      </c>
      <c r="G1704" s="1" t="s">
        <v>2080</v>
      </c>
      <c r="H1704" s="1" t="s">
        <v>2085</v>
      </c>
      <c r="I1704" s="1">
        <v>2</v>
      </c>
      <c r="J1704" s="1">
        <v>4986.24</v>
      </c>
      <c r="K1704" s="1">
        <v>4.29</v>
      </c>
      <c r="L1704" s="1">
        <v>9544.66</v>
      </c>
      <c r="M1704" s="1">
        <v>2534.15</v>
      </c>
      <c r="N1704" s="1" t="s">
        <v>2090</v>
      </c>
    </row>
    <row r="1705" spans="1:14">
      <c r="A1705" s="1" t="s">
        <v>1717</v>
      </c>
      <c r="B1705" s="2">
        <v>45913</v>
      </c>
      <c r="C1705" s="1" t="s">
        <v>2023</v>
      </c>
      <c r="D1705" s="1" t="s">
        <v>2037</v>
      </c>
      <c r="E1705" s="1" t="s">
        <v>2047</v>
      </c>
      <c r="F1705" s="1" t="s">
        <v>2052</v>
      </c>
      <c r="G1705" s="1" t="s">
        <v>2083</v>
      </c>
      <c r="H1705" s="1" t="s">
        <v>2085</v>
      </c>
      <c r="I1705" s="1">
        <v>8</v>
      </c>
      <c r="J1705" s="1">
        <v>9268.7900000000009</v>
      </c>
      <c r="K1705" s="1">
        <v>16.75</v>
      </c>
      <c r="L1705" s="1">
        <v>61730.14</v>
      </c>
      <c r="M1705" s="1">
        <v>6947.8</v>
      </c>
      <c r="N1705" s="1" t="s">
        <v>2088</v>
      </c>
    </row>
    <row r="1706" spans="1:14">
      <c r="A1706" s="1" t="s">
        <v>1718</v>
      </c>
      <c r="B1706" s="2">
        <v>45914</v>
      </c>
      <c r="C1706" s="1" t="s">
        <v>2016</v>
      </c>
      <c r="D1706" s="1" t="s">
        <v>2038</v>
      </c>
      <c r="E1706" s="1" t="s">
        <v>2047</v>
      </c>
      <c r="F1706" s="1" t="s">
        <v>2050</v>
      </c>
      <c r="G1706" s="1" t="s">
        <v>2075</v>
      </c>
      <c r="H1706" s="1" t="s">
        <v>2087</v>
      </c>
      <c r="I1706" s="1">
        <v>2</v>
      </c>
      <c r="J1706" s="1">
        <v>6346.36</v>
      </c>
      <c r="K1706" s="1">
        <v>16.489999999999998</v>
      </c>
      <c r="L1706" s="1">
        <v>10599.69</v>
      </c>
      <c r="M1706" s="1">
        <v>2332.08</v>
      </c>
      <c r="N1706" s="1" t="s">
        <v>2088</v>
      </c>
    </row>
    <row r="1707" spans="1:14">
      <c r="A1707" s="1" t="s">
        <v>1719</v>
      </c>
      <c r="B1707" s="2">
        <v>45914</v>
      </c>
      <c r="C1707" s="1" t="s">
        <v>2026</v>
      </c>
      <c r="D1707" s="1" t="s">
        <v>2039</v>
      </c>
      <c r="E1707" s="1" t="s">
        <v>2044</v>
      </c>
      <c r="F1707" s="1" t="s">
        <v>2049</v>
      </c>
      <c r="G1707" s="1" t="s">
        <v>2055</v>
      </c>
      <c r="H1707" s="1" t="s">
        <v>2087</v>
      </c>
      <c r="I1707" s="1">
        <v>8</v>
      </c>
      <c r="J1707" s="1">
        <v>435.62</v>
      </c>
      <c r="K1707" s="1">
        <v>9.77</v>
      </c>
      <c r="L1707" s="1">
        <v>3144.48</v>
      </c>
      <c r="M1707" s="1">
        <v>611.04</v>
      </c>
      <c r="N1707" s="1" t="s">
        <v>2091</v>
      </c>
    </row>
    <row r="1708" spans="1:14">
      <c r="A1708" s="1" t="s">
        <v>1720</v>
      </c>
      <c r="B1708" s="2">
        <v>45915</v>
      </c>
      <c r="C1708" s="1" t="s">
        <v>2027</v>
      </c>
      <c r="D1708" s="1" t="s">
        <v>2040</v>
      </c>
      <c r="E1708" s="1" t="s">
        <v>2045</v>
      </c>
      <c r="F1708" s="1" t="s">
        <v>2050</v>
      </c>
      <c r="G1708" s="1" t="s">
        <v>2075</v>
      </c>
      <c r="H1708" s="1" t="s">
        <v>2085</v>
      </c>
      <c r="I1708" s="1">
        <v>10</v>
      </c>
      <c r="J1708" s="1">
        <v>4725.62</v>
      </c>
      <c r="K1708" s="1">
        <v>9.84</v>
      </c>
      <c r="L1708" s="1">
        <v>42606.19</v>
      </c>
      <c r="M1708" s="1">
        <v>10868.25</v>
      </c>
      <c r="N1708" s="1" t="s">
        <v>2090</v>
      </c>
    </row>
    <row r="1709" spans="1:14">
      <c r="A1709" s="1" t="s">
        <v>1721</v>
      </c>
      <c r="B1709" s="2">
        <v>45915</v>
      </c>
      <c r="C1709" s="1" t="s">
        <v>2022</v>
      </c>
      <c r="D1709" s="1" t="s">
        <v>2041</v>
      </c>
      <c r="E1709" s="1" t="s">
        <v>2045</v>
      </c>
      <c r="F1709" s="1" t="s">
        <v>2054</v>
      </c>
      <c r="G1709" s="1" t="s">
        <v>2081</v>
      </c>
      <c r="H1709" s="1" t="s">
        <v>2086</v>
      </c>
      <c r="I1709" s="1">
        <v>1</v>
      </c>
      <c r="J1709" s="1">
        <v>30370.32</v>
      </c>
      <c r="K1709" s="1">
        <v>8.4600000000000009</v>
      </c>
      <c r="L1709" s="1">
        <v>27800.99</v>
      </c>
      <c r="M1709" s="1">
        <v>7373.31</v>
      </c>
      <c r="N1709" s="1" t="s">
        <v>2090</v>
      </c>
    </row>
    <row r="1710" spans="1:14">
      <c r="A1710" s="1" t="s">
        <v>1722</v>
      </c>
      <c r="B1710" s="2">
        <v>45915</v>
      </c>
      <c r="C1710" s="1" t="s">
        <v>2014</v>
      </c>
      <c r="D1710" s="1" t="s">
        <v>2042</v>
      </c>
      <c r="E1710" s="1" t="s">
        <v>2047</v>
      </c>
      <c r="F1710" s="1" t="s">
        <v>2053</v>
      </c>
      <c r="G1710" s="1" t="s">
        <v>2073</v>
      </c>
      <c r="H1710" s="1" t="s">
        <v>2085</v>
      </c>
      <c r="I1710" s="1">
        <v>4</v>
      </c>
      <c r="J1710" s="1">
        <v>2245.09</v>
      </c>
      <c r="K1710" s="1">
        <v>7.7</v>
      </c>
      <c r="L1710" s="1">
        <v>8288.8700000000008</v>
      </c>
      <c r="M1710" s="1">
        <v>912.32</v>
      </c>
      <c r="N1710" s="1" t="s">
        <v>2091</v>
      </c>
    </row>
    <row r="1711" spans="1:14">
      <c r="A1711" s="1" t="s">
        <v>1723</v>
      </c>
      <c r="B1711" s="2">
        <v>45916</v>
      </c>
      <c r="C1711" s="1" t="s">
        <v>2018</v>
      </c>
      <c r="D1711" s="1" t="s">
        <v>2043</v>
      </c>
      <c r="E1711" s="1" t="s">
        <v>2047</v>
      </c>
      <c r="F1711" s="1" t="s">
        <v>2049</v>
      </c>
      <c r="G1711" s="1" t="s">
        <v>2074</v>
      </c>
      <c r="H1711" s="1" t="s">
        <v>2087</v>
      </c>
      <c r="I1711" s="1">
        <v>1</v>
      </c>
      <c r="J1711" s="1">
        <v>2106.56</v>
      </c>
      <c r="K1711" s="1">
        <v>29.87</v>
      </c>
      <c r="L1711" s="1">
        <v>1477.33</v>
      </c>
      <c r="M1711" s="1">
        <v>78.92</v>
      </c>
      <c r="N1711" s="1" t="s">
        <v>2091</v>
      </c>
    </row>
    <row r="1712" spans="1:14">
      <c r="A1712" s="1" t="s">
        <v>1724</v>
      </c>
      <c r="B1712" s="2">
        <v>45916</v>
      </c>
      <c r="C1712" s="1" t="s">
        <v>2017</v>
      </c>
      <c r="D1712" s="1" t="s">
        <v>2029</v>
      </c>
      <c r="E1712" s="1" t="s">
        <v>2046</v>
      </c>
      <c r="F1712" s="1" t="s">
        <v>2054</v>
      </c>
      <c r="G1712" s="1" t="s">
        <v>2063</v>
      </c>
      <c r="H1712" s="1" t="s">
        <v>2085</v>
      </c>
      <c r="I1712" s="1">
        <v>5</v>
      </c>
      <c r="J1712" s="1">
        <v>74394.490000000005</v>
      </c>
      <c r="K1712" s="1">
        <v>22.7</v>
      </c>
      <c r="L1712" s="1">
        <v>287534.7</v>
      </c>
      <c r="M1712" s="1">
        <v>18108.3</v>
      </c>
      <c r="N1712" s="1" t="s">
        <v>2088</v>
      </c>
    </row>
    <row r="1713" spans="1:14">
      <c r="A1713" s="1" t="s">
        <v>1725</v>
      </c>
      <c r="B1713" s="2">
        <v>45916</v>
      </c>
      <c r="C1713" s="1" t="s">
        <v>2025</v>
      </c>
      <c r="D1713" s="1" t="s">
        <v>2030</v>
      </c>
      <c r="E1713" s="1" t="s">
        <v>2047</v>
      </c>
      <c r="F1713" s="1" t="s">
        <v>2054</v>
      </c>
      <c r="G1713" s="1" t="s">
        <v>2081</v>
      </c>
      <c r="H1713" s="1" t="s">
        <v>2087</v>
      </c>
      <c r="I1713" s="1">
        <v>7</v>
      </c>
      <c r="J1713" s="1">
        <v>70180.61</v>
      </c>
      <c r="K1713" s="1">
        <v>25.56</v>
      </c>
      <c r="L1713" s="1">
        <v>365697.12</v>
      </c>
      <c r="M1713" s="1">
        <v>106498.59</v>
      </c>
      <c r="N1713" s="1" t="s">
        <v>2092</v>
      </c>
    </row>
    <row r="1714" spans="1:14">
      <c r="A1714" s="1" t="s">
        <v>1726</v>
      </c>
      <c r="B1714" s="2">
        <v>45917</v>
      </c>
      <c r="C1714" s="1" t="s">
        <v>2028</v>
      </c>
      <c r="D1714" s="1" t="s">
        <v>2031</v>
      </c>
      <c r="E1714" s="1" t="s">
        <v>2047</v>
      </c>
      <c r="F1714" s="1" t="s">
        <v>2050</v>
      </c>
      <c r="G1714" s="1" t="s">
        <v>2056</v>
      </c>
      <c r="H1714" s="1" t="s">
        <v>2086</v>
      </c>
      <c r="I1714" s="1">
        <v>9</v>
      </c>
      <c r="J1714" s="1">
        <v>368.41</v>
      </c>
      <c r="K1714" s="1">
        <v>1.1000000000000001</v>
      </c>
      <c r="L1714" s="1">
        <v>3279.22</v>
      </c>
      <c r="M1714" s="1">
        <v>653.16</v>
      </c>
      <c r="N1714" s="1" t="s">
        <v>2090</v>
      </c>
    </row>
    <row r="1715" spans="1:14">
      <c r="A1715" s="1" t="s">
        <v>1727</v>
      </c>
      <c r="B1715" s="2">
        <v>45917</v>
      </c>
      <c r="C1715" s="1" t="s">
        <v>2020</v>
      </c>
      <c r="D1715" s="1" t="s">
        <v>2032</v>
      </c>
      <c r="E1715" s="1" t="s">
        <v>2048</v>
      </c>
      <c r="F1715" s="1" t="s">
        <v>2053</v>
      </c>
      <c r="G1715" s="1" t="s">
        <v>2060</v>
      </c>
      <c r="H1715" s="1" t="s">
        <v>2086</v>
      </c>
      <c r="I1715" s="1">
        <v>6</v>
      </c>
      <c r="J1715" s="1">
        <v>395.81</v>
      </c>
      <c r="K1715" s="1">
        <v>24.17</v>
      </c>
      <c r="L1715" s="1">
        <v>1800.86</v>
      </c>
      <c r="M1715" s="1">
        <v>94.2</v>
      </c>
      <c r="N1715" s="1" t="s">
        <v>2092</v>
      </c>
    </row>
    <row r="1716" spans="1:14">
      <c r="A1716" s="1" t="s">
        <v>1728</v>
      </c>
      <c r="B1716" s="2">
        <v>45917</v>
      </c>
      <c r="C1716" s="1" t="s">
        <v>2025</v>
      </c>
      <c r="D1716" s="1" t="s">
        <v>2033</v>
      </c>
      <c r="E1716" s="1" t="s">
        <v>2048</v>
      </c>
      <c r="F1716" s="1" t="s">
        <v>2049</v>
      </c>
      <c r="G1716" s="1" t="s">
        <v>2058</v>
      </c>
      <c r="H1716" s="1" t="s">
        <v>2085</v>
      </c>
      <c r="I1716" s="1">
        <v>10</v>
      </c>
      <c r="J1716" s="1">
        <v>589.23</v>
      </c>
      <c r="K1716" s="1">
        <v>28.53</v>
      </c>
      <c r="L1716" s="1">
        <v>4211.2299999999996</v>
      </c>
      <c r="M1716" s="1">
        <v>1097.5</v>
      </c>
      <c r="N1716" s="1" t="s">
        <v>2088</v>
      </c>
    </row>
    <row r="1717" spans="1:14">
      <c r="A1717" s="1" t="s">
        <v>1729</v>
      </c>
      <c r="B1717" s="2">
        <v>45918</v>
      </c>
      <c r="C1717" s="1" t="s">
        <v>2023</v>
      </c>
      <c r="D1717" s="1" t="s">
        <v>2034</v>
      </c>
      <c r="E1717" s="1" t="s">
        <v>2046</v>
      </c>
      <c r="F1717" s="1" t="s">
        <v>2053</v>
      </c>
      <c r="G1717" s="1" t="s">
        <v>2062</v>
      </c>
      <c r="H1717" s="1" t="s">
        <v>2085</v>
      </c>
      <c r="I1717" s="1">
        <v>3</v>
      </c>
      <c r="J1717" s="1">
        <v>183.38</v>
      </c>
      <c r="K1717" s="1">
        <v>14.06</v>
      </c>
      <c r="L1717" s="1">
        <v>472.79</v>
      </c>
      <c r="M1717" s="1">
        <v>70.760000000000005</v>
      </c>
      <c r="N1717" s="1" t="s">
        <v>2091</v>
      </c>
    </row>
    <row r="1718" spans="1:14">
      <c r="A1718" s="1" t="s">
        <v>1730</v>
      </c>
      <c r="B1718" s="2">
        <v>45918</v>
      </c>
      <c r="C1718" s="1" t="s">
        <v>2020</v>
      </c>
      <c r="D1718" s="1" t="s">
        <v>2035</v>
      </c>
      <c r="E1718" s="1" t="s">
        <v>2048</v>
      </c>
      <c r="F1718" s="1" t="s">
        <v>2052</v>
      </c>
      <c r="G1718" s="1" t="s">
        <v>2083</v>
      </c>
      <c r="H1718" s="1" t="s">
        <v>2086</v>
      </c>
      <c r="I1718" s="1">
        <v>1</v>
      </c>
      <c r="J1718" s="1">
        <v>6320.67</v>
      </c>
      <c r="K1718" s="1">
        <v>28.89</v>
      </c>
      <c r="L1718" s="1">
        <v>4494.63</v>
      </c>
      <c r="M1718" s="1">
        <v>1159.0899999999999</v>
      </c>
      <c r="N1718" s="1" t="s">
        <v>2088</v>
      </c>
    </row>
    <row r="1719" spans="1:14">
      <c r="A1719" s="1" t="s">
        <v>1731</v>
      </c>
      <c r="B1719" s="2">
        <v>45919</v>
      </c>
      <c r="C1719" s="1" t="s">
        <v>2021</v>
      </c>
      <c r="D1719" s="1" t="s">
        <v>2036</v>
      </c>
      <c r="E1719" s="1" t="s">
        <v>2047</v>
      </c>
      <c r="F1719" s="1" t="s">
        <v>2049</v>
      </c>
      <c r="G1719" s="1" t="s">
        <v>2074</v>
      </c>
      <c r="H1719" s="1" t="s">
        <v>2085</v>
      </c>
      <c r="I1719" s="1">
        <v>1</v>
      </c>
      <c r="J1719" s="1">
        <v>1165.52</v>
      </c>
      <c r="K1719" s="1">
        <v>0.77</v>
      </c>
      <c r="L1719" s="1">
        <v>1156.55</v>
      </c>
      <c r="M1719" s="1">
        <v>268.11</v>
      </c>
      <c r="N1719" s="1" t="s">
        <v>2089</v>
      </c>
    </row>
    <row r="1720" spans="1:14">
      <c r="A1720" s="1" t="s">
        <v>1732</v>
      </c>
      <c r="B1720" s="2">
        <v>45919</v>
      </c>
      <c r="C1720" s="1" t="s">
        <v>2028</v>
      </c>
      <c r="D1720" s="1" t="s">
        <v>2037</v>
      </c>
      <c r="E1720" s="1" t="s">
        <v>2048</v>
      </c>
      <c r="F1720" s="1" t="s">
        <v>2054</v>
      </c>
      <c r="G1720" s="1" t="s">
        <v>2066</v>
      </c>
      <c r="H1720" s="1" t="s">
        <v>2085</v>
      </c>
      <c r="I1720" s="1">
        <v>7</v>
      </c>
      <c r="J1720" s="1">
        <v>16459.22</v>
      </c>
      <c r="K1720" s="1">
        <v>12.35</v>
      </c>
      <c r="L1720" s="1">
        <v>100985.54</v>
      </c>
      <c r="M1720" s="1">
        <v>20218.38</v>
      </c>
      <c r="N1720" s="1" t="s">
        <v>2089</v>
      </c>
    </row>
    <row r="1721" spans="1:14">
      <c r="A1721" s="1" t="s">
        <v>1733</v>
      </c>
      <c r="B1721" s="2">
        <v>45919</v>
      </c>
      <c r="C1721" s="1" t="s">
        <v>2022</v>
      </c>
      <c r="D1721" s="1" t="s">
        <v>2038</v>
      </c>
      <c r="E1721" s="1" t="s">
        <v>2044</v>
      </c>
      <c r="F1721" s="1" t="s">
        <v>2051</v>
      </c>
      <c r="G1721" s="1" t="s">
        <v>2069</v>
      </c>
      <c r="H1721" s="1" t="s">
        <v>2086</v>
      </c>
      <c r="I1721" s="1">
        <v>3</v>
      </c>
      <c r="J1721" s="1">
        <v>13077.54</v>
      </c>
      <c r="K1721" s="1">
        <v>8.91</v>
      </c>
      <c r="L1721" s="1">
        <v>35736.99</v>
      </c>
      <c r="M1721" s="1">
        <v>4518.97</v>
      </c>
      <c r="N1721" s="1" t="s">
        <v>2090</v>
      </c>
    </row>
    <row r="1722" spans="1:14">
      <c r="A1722" s="1" t="s">
        <v>1734</v>
      </c>
      <c r="B1722" s="2">
        <v>45920</v>
      </c>
      <c r="C1722" s="1" t="s">
        <v>2018</v>
      </c>
      <c r="D1722" s="1" t="s">
        <v>2039</v>
      </c>
      <c r="E1722" s="1" t="s">
        <v>2045</v>
      </c>
      <c r="F1722" s="1" t="s">
        <v>2053</v>
      </c>
      <c r="G1722" s="1" t="s">
        <v>2076</v>
      </c>
      <c r="H1722" s="1" t="s">
        <v>2085</v>
      </c>
      <c r="I1722" s="1">
        <v>10</v>
      </c>
      <c r="J1722" s="1">
        <v>717.08</v>
      </c>
      <c r="K1722" s="1">
        <v>18.54</v>
      </c>
      <c r="L1722" s="1">
        <v>5841.33</v>
      </c>
      <c r="M1722" s="1">
        <v>963.92</v>
      </c>
      <c r="N1722" s="1" t="s">
        <v>2089</v>
      </c>
    </row>
    <row r="1723" spans="1:14">
      <c r="A1723" s="1" t="s">
        <v>1735</v>
      </c>
      <c r="B1723" s="2">
        <v>45920</v>
      </c>
      <c r="C1723" s="1" t="s">
        <v>2018</v>
      </c>
      <c r="D1723" s="1" t="s">
        <v>2040</v>
      </c>
      <c r="E1723" s="1" t="s">
        <v>2044</v>
      </c>
      <c r="F1723" s="1" t="s">
        <v>2053</v>
      </c>
      <c r="G1723" s="1" t="s">
        <v>2076</v>
      </c>
      <c r="H1723" s="1" t="s">
        <v>2086</v>
      </c>
      <c r="I1723" s="1">
        <v>4</v>
      </c>
      <c r="J1723" s="1">
        <v>1338.52</v>
      </c>
      <c r="K1723" s="1">
        <v>10.38</v>
      </c>
      <c r="L1723" s="1">
        <v>4798.33</v>
      </c>
      <c r="M1723" s="1">
        <v>1046.31</v>
      </c>
      <c r="N1723" s="1" t="s">
        <v>2088</v>
      </c>
    </row>
    <row r="1724" spans="1:14">
      <c r="A1724" s="1" t="s">
        <v>1736</v>
      </c>
      <c r="B1724" s="2">
        <v>45920</v>
      </c>
      <c r="C1724" s="1" t="s">
        <v>2023</v>
      </c>
      <c r="D1724" s="1" t="s">
        <v>2041</v>
      </c>
      <c r="E1724" s="1" t="s">
        <v>2048</v>
      </c>
      <c r="F1724" s="1" t="s">
        <v>2052</v>
      </c>
      <c r="G1724" s="1" t="s">
        <v>2078</v>
      </c>
      <c r="H1724" s="1" t="s">
        <v>2087</v>
      </c>
      <c r="I1724" s="1">
        <v>7</v>
      </c>
      <c r="J1724" s="1">
        <v>7902.8</v>
      </c>
      <c r="K1724" s="1">
        <v>21.34</v>
      </c>
      <c r="L1724" s="1">
        <v>43514.400000000001</v>
      </c>
      <c r="M1724" s="1">
        <v>3781.79</v>
      </c>
      <c r="N1724" s="1" t="s">
        <v>2088</v>
      </c>
    </row>
    <row r="1725" spans="1:14">
      <c r="A1725" s="1" t="s">
        <v>1737</v>
      </c>
      <c r="B1725" s="2">
        <v>45921</v>
      </c>
      <c r="C1725" s="1" t="s">
        <v>2023</v>
      </c>
      <c r="D1725" s="1" t="s">
        <v>2042</v>
      </c>
      <c r="E1725" s="1" t="s">
        <v>2044</v>
      </c>
      <c r="F1725" s="1" t="s">
        <v>2052</v>
      </c>
      <c r="G1725" s="1" t="s">
        <v>2059</v>
      </c>
      <c r="H1725" s="1" t="s">
        <v>2086</v>
      </c>
      <c r="I1725" s="1">
        <v>1</v>
      </c>
      <c r="J1725" s="1">
        <v>6896.94</v>
      </c>
      <c r="K1725" s="1">
        <v>21.73</v>
      </c>
      <c r="L1725" s="1">
        <v>5398.23</v>
      </c>
      <c r="M1725" s="1">
        <v>1478.31</v>
      </c>
      <c r="N1725" s="1" t="s">
        <v>2089</v>
      </c>
    </row>
    <row r="1726" spans="1:14">
      <c r="A1726" s="1" t="s">
        <v>1738</v>
      </c>
      <c r="B1726" s="2">
        <v>45921</v>
      </c>
      <c r="C1726" s="1" t="s">
        <v>2019</v>
      </c>
      <c r="D1726" s="1" t="s">
        <v>2043</v>
      </c>
      <c r="E1726" s="1" t="s">
        <v>2045</v>
      </c>
      <c r="F1726" s="1" t="s">
        <v>2051</v>
      </c>
      <c r="G1726" s="1" t="s">
        <v>2061</v>
      </c>
      <c r="H1726" s="1" t="s">
        <v>2087</v>
      </c>
      <c r="I1726" s="1">
        <v>9</v>
      </c>
      <c r="J1726" s="1">
        <v>10940.4</v>
      </c>
      <c r="K1726" s="1">
        <v>24.41</v>
      </c>
      <c r="L1726" s="1">
        <v>74428.639999999999</v>
      </c>
      <c r="M1726" s="1">
        <v>15231.76</v>
      </c>
      <c r="N1726" s="1" t="s">
        <v>2089</v>
      </c>
    </row>
    <row r="1727" spans="1:14">
      <c r="A1727" s="1" t="s">
        <v>1739</v>
      </c>
      <c r="B1727" s="2">
        <v>45921</v>
      </c>
      <c r="C1727" s="1" t="s">
        <v>2018</v>
      </c>
      <c r="D1727" s="1" t="s">
        <v>2029</v>
      </c>
      <c r="E1727" s="1" t="s">
        <v>2045</v>
      </c>
      <c r="F1727" s="1" t="s">
        <v>2051</v>
      </c>
      <c r="G1727" s="1" t="s">
        <v>2077</v>
      </c>
      <c r="H1727" s="1" t="s">
        <v>2086</v>
      </c>
      <c r="I1727" s="1">
        <v>3</v>
      </c>
      <c r="J1727" s="1">
        <v>34389.08</v>
      </c>
      <c r="K1727" s="1">
        <v>6.92</v>
      </c>
      <c r="L1727" s="1">
        <v>96028.07</v>
      </c>
      <c r="M1727" s="1">
        <v>25177.03</v>
      </c>
      <c r="N1727" s="1" t="s">
        <v>2088</v>
      </c>
    </row>
    <row r="1728" spans="1:14">
      <c r="A1728" s="1" t="s">
        <v>1740</v>
      </c>
      <c r="B1728" s="2">
        <v>45922</v>
      </c>
      <c r="C1728" s="1" t="s">
        <v>2021</v>
      </c>
      <c r="D1728" s="1" t="s">
        <v>2030</v>
      </c>
      <c r="E1728" s="1" t="s">
        <v>2045</v>
      </c>
      <c r="F1728" s="1" t="s">
        <v>2054</v>
      </c>
      <c r="G1728" s="1" t="s">
        <v>2068</v>
      </c>
      <c r="H1728" s="1" t="s">
        <v>2086</v>
      </c>
      <c r="I1728" s="1">
        <v>9</v>
      </c>
      <c r="J1728" s="1">
        <v>59852.05</v>
      </c>
      <c r="K1728" s="1">
        <v>24.14</v>
      </c>
      <c r="L1728" s="1">
        <v>408633.89</v>
      </c>
      <c r="M1728" s="1">
        <v>95670.82</v>
      </c>
      <c r="N1728" s="1" t="s">
        <v>2089</v>
      </c>
    </row>
    <row r="1729" spans="1:14">
      <c r="A1729" s="1" t="s">
        <v>1741</v>
      </c>
      <c r="B1729" s="2">
        <v>45922</v>
      </c>
      <c r="C1729" s="1" t="s">
        <v>2017</v>
      </c>
      <c r="D1729" s="1" t="s">
        <v>2031</v>
      </c>
      <c r="E1729" s="1" t="s">
        <v>2045</v>
      </c>
      <c r="F1729" s="1" t="s">
        <v>2051</v>
      </c>
      <c r="G1729" s="1" t="s">
        <v>2077</v>
      </c>
      <c r="H1729" s="1" t="s">
        <v>2086</v>
      </c>
      <c r="I1729" s="1">
        <v>2</v>
      </c>
      <c r="J1729" s="1">
        <v>25417.01</v>
      </c>
      <c r="K1729" s="1">
        <v>12.47</v>
      </c>
      <c r="L1729" s="1">
        <v>44495.02</v>
      </c>
      <c r="M1729" s="1">
        <v>12956.42</v>
      </c>
      <c r="N1729" s="1" t="s">
        <v>2092</v>
      </c>
    </row>
    <row r="1730" spans="1:14">
      <c r="A1730" s="1" t="s">
        <v>1742</v>
      </c>
      <c r="B1730" s="2">
        <v>45923</v>
      </c>
      <c r="C1730" s="1" t="s">
        <v>2028</v>
      </c>
      <c r="D1730" s="1" t="s">
        <v>2032</v>
      </c>
      <c r="E1730" s="1" t="s">
        <v>2046</v>
      </c>
      <c r="F1730" s="1" t="s">
        <v>2054</v>
      </c>
      <c r="G1730" s="1" t="s">
        <v>2081</v>
      </c>
      <c r="H1730" s="1" t="s">
        <v>2085</v>
      </c>
      <c r="I1730" s="1">
        <v>6</v>
      </c>
      <c r="J1730" s="1">
        <v>25127.48</v>
      </c>
      <c r="K1730" s="1">
        <v>26.19</v>
      </c>
      <c r="L1730" s="1">
        <v>111279.56</v>
      </c>
      <c r="M1730" s="1">
        <v>14936.88</v>
      </c>
      <c r="N1730" s="1" t="s">
        <v>2092</v>
      </c>
    </row>
    <row r="1731" spans="1:14">
      <c r="A1731" s="1" t="s">
        <v>1743</v>
      </c>
      <c r="B1731" s="2">
        <v>45923</v>
      </c>
      <c r="C1731" s="1" t="s">
        <v>2021</v>
      </c>
      <c r="D1731" s="1" t="s">
        <v>2033</v>
      </c>
      <c r="E1731" s="1" t="s">
        <v>2047</v>
      </c>
      <c r="F1731" s="1" t="s">
        <v>2053</v>
      </c>
      <c r="G1731" s="1" t="s">
        <v>2060</v>
      </c>
      <c r="H1731" s="1" t="s">
        <v>2087</v>
      </c>
      <c r="I1731" s="1">
        <v>5</v>
      </c>
      <c r="J1731" s="1">
        <v>769.21</v>
      </c>
      <c r="K1731" s="1">
        <v>2.8</v>
      </c>
      <c r="L1731" s="1">
        <v>3738.36</v>
      </c>
      <c r="M1731" s="1">
        <v>384</v>
      </c>
      <c r="N1731" s="1" t="s">
        <v>2090</v>
      </c>
    </row>
    <row r="1732" spans="1:14">
      <c r="A1732" s="1" t="s">
        <v>1744</v>
      </c>
      <c r="B1732" s="2">
        <v>45923</v>
      </c>
      <c r="C1732" s="1" t="s">
        <v>2023</v>
      </c>
      <c r="D1732" s="1" t="s">
        <v>2034</v>
      </c>
      <c r="E1732" s="1" t="s">
        <v>2045</v>
      </c>
      <c r="F1732" s="1" t="s">
        <v>2051</v>
      </c>
      <c r="G1732" s="1" t="s">
        <v>2069</v>
      </c>
      <c r="H1732" s="1" t="s">
        <v>2086</v>
      </c>
      <c r="I1732" s="1">
        <v>1</v>
      </c>
      <c r="J1732" s="1">
        <v>34177.599999999999</v>
      </c>
      <c r="K1732" s="1">
        <v>21.09</v>
      </c>
      <c r="L1732" s="1">
        <v>26969.54</v>
      </c>
      <c r="M1732" s="1">
        <v>1933.33</v>
      </c>
      <c r="N1732" s="1" t="s">
        <v>2090</v>
      </c>
    </row>
    <row r="1733" spans="1:14">
      <c r="A1733" s="1" t="s">
        <v>1745</v>
      </c>
      <c r="B1733" s="2">
        <v>45924</v>
      </c>
      <c r="C1733" s="1" t="s">
        <v>2016</v>
      </c>
      <c r="D1733" s="1" t="s">
        <v>2035</v>
      </c>
      <c r="E1733" s="1" t="s">
        <v>2044</v>
      </c>
      <c r="F1733" s="1" t="s">
        <v>2054</v>
      </c>
      <c r="G1733" s="1" t="s">
        <v>2063</v>
      </c>
      <c r="H1733" s="1" t="s">
        <v>2085</v>
      </c>
      <c r="I1733" s="1">
        <v>3</v>
      </c>
      <c r="J1733" s="1">
        <v>32452.65</v>
      </c>
      <c r="K1733" s="1">
        <v>19.399999999999999</v>
      </c>
      <c r="L1733" s="1">
        <v>78470.509999999995</v>
      </c>
      <c r="M1733" s="1">
        <v>10803.79</v>
      </c>
      <c r="N1733" s="1" t="s">
        <v>2088</v>
      </c>
    </row>
    <row r="1734" spans="1:14">
      <c r="A1734" s="1" t="s">
        <v>1746</v>
      </c>
      <c r="B1734" s="2">
        <v>45924</v>
      </c>
      <c r="C1734" s="1" t="s">
        <v>2017</v>
      </c>
      <c r="D1734" s="1" t="s">
        <v>2036</v>
      </c>
      <c r="E1734" s="1" t="s">
        <v>2044</v>
      </c>
      <c r="F1734" s="1" t="s">
        <v>2054</v>
      </c>
      <c r="G1734" s="1" t="s">
        <v>2081</v>
      </c>
      <c r="H1734" s="1" t="s">
        <v>2087</v>
      </c>
      <c r="I1734" s="1">
        <v>8</v>
      </c>
      <c r="J1734" s="1">
        <v>46969.46</v>
      </c>
      <c r="K1734" s="1">
        <v>13.38</v>
      </c>
      <c r="L1734" s="1">
        <v>325479.57</v>
      </c>
      <c r="M1734" s="1">
        <v>34401.089999999997</v>
      </c>
      <c r="N1734" s="1" t="s">
        <v>2089</v>
      </c>
    </row>
    <row r="1735" spans="1:14">
      <c r="A1735" s="1" t="s">
        <v>1747</v>
      </c>
      <c r="B1735" s="2">
        <v>45924</v>
      </c>
      <c r="C1735" s="1" t="s">
        <v>2025</v>
      </c>
      <c r="D1735" s="1" t="s">
        <v>2037</v>
      </c>
      <c r="E1735" s="1" t="s">
        <v>2047</v>
      </c>
      <c r="F1735" s="1" t="s">
        <v>2053</v>
      </c>
      <c r="G1735" s="1" t="s">
        <v>2076</v>
      </c>
      <c r="H1735" s="1" t="s">
        <v>2085</v>
      </c>
      <c r="I1735" s="1">
        <v>2</v>
      </c>
      <c r="J1735" s="1">
        <v>590.24</v>
      </c>
      <c r="K1735" s="1">
        <v>16.36</v>
      </c>
      <c r="L1735" s="1">
        <v>987.35</v>
      </c>
      <c r="M1735" s="1">
        <v>238.29</v>
      </c>
      <c r="N1735" s="1" t="s">
        <v>2089</v>
      </c>
    </row>
    <row r="1736" spans="1:14">
      <c r="A1736" s="1" t="s">
        <v>1748</v>
      </c>
      <c r="B1736" s="2">
        <v>45925</v>
      </c>
      <c r="C1736" s="1" t="s">
        <v>2017</v>
      </c>
      <c r="D1736" s="1" t="s">
        <v>2038</v>
      </c>
      <c r="E1736" s="1" t="s">
        <v>2047</v>
      </c>
      <c r="F1736" s="1" t="s">
        <v>2051</v>
      </c>
      <c r="G1736" s="1" t="s">
        <v>2061</v>
      </c>
      <c r="H1736" s="1" t="s">
        <v>2086</v>
      </c>
      <c r="I1736" s="1">
        <v>6</v>
      </c>
      <c r="J1736" s="1">
        <v>24726.98</v>
      </c>
      <c r="K1736" s="1">
        <v>1.21</v>
      </c>
      <c r="L1736" s="1">
        <v>146566.70000000001</v>
      </c>
      <c r="M1736" s="1">
        <v>35245.47</v>
      </c>
      <c r="N1736" s="1" t="s">
        <v>2090</v>
      </c>
    </row>
    <row r="1737" spans="1:14">
      <c r="A1737" s="1" t="s">
        <v>1749</v>
      </c>
      <c r="B1737" s="2">
        <v>45925</v>
      </c>
      <c r="C1737" s="1" t="s">
        <v>2019</v>
      </c>
      <c r="D1737" s="1" t="s">
        <v>2039</v>
      </c>
      <c r="E1737" s="1" t="s">
        <v>2045</v>
      </c>
      <c r="F1737" s="1" t="s">
        <v>2051</v>
      </c>
      <c r="G1737" s="1" t="s">
        <v>2077</v>
      </c>
      <c r="H1737" s="1" t="s">
        <v>2086</v>
      </c>
      <c r="I1737" s="1">
        <v>7</v>
      </c>
      <c r="J1737" s="1">
        <v>1373.84</v>
      </c>
      <c r="K1737" s="1">
        <v>8.52</v>
      </c>
      <c r="L1737" s="1">
        <v>8797.52</v>
      </c>
      <c r="M1737" s="1">
        <v>702.26</v>
      </c>
      <c r="N1737" s="1" t="s">
        <v>2090</v>
      </c>
    </row>
    <row r="1738" spans="1:14">
      <c r="A1738" s="1" t="s">
        <v>1750</v>
      </c>
      <c r="B1738" s="2">
        <v>45925</v>
      </c>
      <c r="C1738" s="1" t="s">
        <v>2026</v>
      </c>
      <c r="D1738" s="1" t="s">
        <v>2040</v>
      </c>
      <c r="E1738" s="1" t="s">
        <v>2047</v>
      </c>
      <c r="F1738" s="1" t="s">
        <v>2049</v>
      </c>
      <c r="G1738" s="1" t="s">
        <v>2074</v>
      </c>
      <c r="H1738" s="1" t="s">
        <v>2085</v>
      </c>
      <c r="I1738" s="1">
        <v>4</v>
      </c>
      <c r="J1738" s="1">
        <v>264.04000000000002</v>
      </c>
      <c r="K1738" s="1">
        <v>10.64</v>
      </c>
      <c r="L1738" s="1">
        <v>943.78</v>
      </c>
      <c r="M1738" s="1">
        <v>53.61</v>
      </c>
      <c r="N1738" s="1" t="s">
        <v>2092</v>
      </c>
    </row>
    <row r="1739" spans="1:14">
      <c r="A1739" s="1" t="s">
        <v>1751</v>
      </c>
      <c r="B1739" s="2">
        <v>45926</v>
      </c>
      <c r="C1739" s="1" t="s">
        <v>2024</v>
      </c>
      <c r="D1739" s="1" t="s">
        <v>2041</v>
      </c>
      <c r="E1739" s="1" t="s">
        <v>2045</v>
      </c>
      <c r="F1739" s="1" t="s">
        <v>2049</v>
      </c>
      <c r="G1739" s="1" t="s">
        <v>2082</v>
      </c>
      <c r="H1739" s="1" t="s">
        <v>2085</v>
      </c>
      <c r="I1739" s="1">
        <v>3</v>
      </c>
      <c r="J1739" s="1">
        <v>1973.32</v>
      </c>
      <c r="K1739" s="1">
        <v>14.61</v>
      </c>
      <c r="L1739" s="1">
        <v>5055.05</v>
      </c>
      <c r="M1739" s="1">
        <v>1251.6500000000001</v>
      </c>
      <c r="N1739" s="1" t="s">
        <v>2088</v>
      </c>
    </row>
    <row r="1740" spans="1:14">
      <c r="A1740" s="1" t="s">
        <v>1752</v>
      </c>
      <c r="B1740" s="2">
        <v>45926</v>
      </c>
      <c r="C1740" s="1" t="s">
        <v>2028</v>
      </c>
      <c r="D1740" s="1" t="s">
        <v>2042</v>
      </c>
      <c r="E1740" s="1" t="s">
        <v>2047</v>
      </c>
      <c r="F1740" s="1" t="s">
        <v>2050</v>
      </c>
      <c r="G1740" s="1" t="s">
        <v>2075</v>
      </c>
      <c r="H1740" s="1" t="s">
        <v>2086</v>
      </c>
      <c r="I1740" s="1">
        <v>5</v>
      </c>
      <c r="J1740" s="1">
        <v>7473.54</v>
      </c>
      <c r="K1740" s="1">
        <v>22.11</v>
      </c>
      <c r="L1740" s="1">
        <v>29105.7</v>
      </c>
      <c r="M1740" s="1">
        <v>6505.03</v>
      </c>
      <c r="N1740" s="1" t="s">
        <v>2091</v>
      </c>
    </row>
    <row r="1741" spans="1:14">
      <c r="A1741" s="1" t="s">
        <v>1753</v>
      </c>
      <c r="B1741" s="2">
        <v>45927</v>
      </c>
      <c r="C1741" s="1" t="s">
        <v>2018</v>
      </c>
      <c r="D1741" s="1" t="s">
        <v>2043</v>
      </c>
      <c r="E1741" s="1" t="s">
        <v>2045</v>
      </c>
      <c r="F1741" s="1" t="s">
        <v>2052</v>
      </c>
      <c r="G1741" s="1" t="s">
        <v>2072</v>
      </c>
      <c r="H1741" s="1" t="s">
        <v>2085</v>
      </c>
      <c r="I1741" s="1">
        <v>7</v>
      </c>
      <c r="J1741" s="1">
        <v>9531.93</v>
      </c>
      <c r="K1741" s="1">
        <v>13.28</v>
      </c>
      <c r="L1741" s="1">
        <v>57862.63</v>
      </c>
      <c r="M1741" s="1">
        <v>12886.12</v>
      </c>
      <c r="N1741" s="1" t="s">
        <v>2090</v>
      </c>
    </row>
    <row r="1742" spans="1:14">
      <c r="A1742" s="1" t="s">
        <v>1754</v>
      </c>
      <c r="B1742" s="2">
        <v>45927</v>
      </c>
      <c r="C1742" s="1" t="s">
        <v>2023</v>
      </c>
      <c r="D1742" s="1" t="s">
        <v>2029</v>
      </c>
      <c r="E1742" s="1" t="s">
        <v>2044</v>
      </c>
      <c r="F1742" s="1" t="s">
        <v>2050</v>
      </c>
      <c r="G1742" s="1" t="s">
        <v>2064</v>
      </c>
      <c r="H1742" s="1" t="s">
        <v>2085</v>
      </c>
      <c r="I1742" s="1">
        <v>6</v>
      </c>
      <c r="J1742" s="1">
        <v>4808.46</v>
      </c>
      <c r="K1742" s="1">
        <v>10.44</v>
      </c>
      <c r="L1742" s="1">
        <v>25838.74</v>
      </c>
      <c r="M1742" s="1">
        <v>5538.49</v>
      </c>
      <c r="N1742" s="1" t="s">
        <v>2092</v>
      </c>
    </row>
    <row r="1743" spans="1:14">
      <c r="A1743" s="1" t="s">
        <v>1755</v>
      </c>
      <c r="B1743" s="2">
        <v>45927</v>
      </c>
      <c r="C1743" s="1" t="s">
        <v>2023</v>
      </c>
      <c r="D1743" s="1" t="s">
        <v>2030</v>
      </c>
      <c r="E1743" s="1" t="s">
        <v>2048</v>
      </c>
      <c r="F1743" s="1" t="s">
        <v>2050</v>
      </c>
      <c r="G1743" s="1" t="s">
        <v>2056</v>
      </c>
      <c r="H1743" s="1" t="s">
        <v>2085</v>
      </c>
      <c r="I1743" s="1">
        <v>9</v>
      </c>
      <c r="J1743" s="1">
        <v>896.89</v>
      </c>
      <c r="K1743" s="1">
        <v>5.72</v>
      </c>
      <c r="L1743" s="1">
        <v>7610.29</v>
      </c>
      <c r="M1743" s="1">
        <v>991.19</v>
      </c>
      <c r="N1743" s="1" t="s">
        <v>2089</v>
      </c>
    </row>
    <row r="1744" spans="1:14">
      <c r="A1744" s="1" t="s">
        <v>1756</v>
      </c>
      <c r="B1744" s="2">
        <v>45928</v>
      </c>
      <c r="C1744" s="1" t="s">
        <v>2028</v>
      </c>
      <c r="D1744" s="1" t="s">
        <v>2031</v>
      </c>
      <c r="E1744" s="1" t="s">
        <v>2044</v>
      </c>
      <c r="F1744" s="1" t="s">
        <v>2052</v>
      </c>
      <c r="G1744" s="1" t="s">
        <v>2059</v>
      </c>
      <c r="H1744" s="1" t="s">
        <v>2085</v>
      </c>
      <c r="I1744" s="1">
        <v>2</v>
      </c>
      <c r="J1744" s="1">
        <v>1521.77</v>
      </c>
      <c r="K1744" s="1">
        <v>0.78</v>
      </c>
      <c r="L1744" s="1">
        <v>3019.8</v>
      </c>
      <c r="M1744" s="1">
        <v>266.35000000000002</v>
      </c>
      <c r="N1744" s="1" t="s">
        <v>2089</v>
      </c>
    </row>
    <row r="1745" spans="1:14">
      <c r="A1745" s="1" t="s">
        <v>1757</v>
      </c>
      <c r="B1745" s="2">
        <v>45928</v>
      </c>
      <c r="C1745" s="1" t="s">
        <v>2022</v>
      </c>
      <c r="D1745" s="1" t="s">
        <v>2032</v>
      </c>
      <c r="E1745" s="1" t="s">
        <v>2048</v>
      </c>
      <c r="F1745" s="1" t="s">
        <v>2049</v>
      </c>
      <c r="G1745" s="1" t="s">
        <v>2055</v>
      </c>
      <c r="H1745" s="1" t="s">
        <v>2085</v>
      </c>
      <c r="I1745" s="1">
        <v>6</v>
      </c>
      <c r="J1745" s="1">
        <v>615.51</v>
      </c>
      <c r="K1745" s="1">
        <v>27.34</v>
      </c>
      <c r="L1745" s="1">
        <v>2683.38</v>
      </c>
      <c r="M1745" s="1">
        <v>147.12</v>
      </c>
      <c r="N1745" s="1" t="s">
        <v>2090</v>
      </c>
    </row>
    <row r="1746" spans="1:14">
      <c r="A1746" s="1" t="s">
        <v>1758</v>
      </c>
      <c r="B1746" s="2">
        <v>45928</v>
      </c>
      <c r="C1746" s="1" t="s">
        <v>2024</v>
      </c>
      <c r="D1746" s="1" t="s">
        <v>2033</v>
      </c>
      <c r="E1746" s="1" t="s">
        <v>2048</v>
      </c>
      <c r="F1746" s="1" t="s">
        <v>2054</v>
      </c>
      <c r="G1746" s="1" t="s">
        <v>2063</v>
      </c>
      <c r="H1746" s="1" t="s">
        <v>2085</v>
      </c>
      <c r="I1746" s="1">
        <v>7</v>
      </c>
      <c r="J1746" s="1">
        <v>18268.150000000001</v>
      </c>
      <c r="K1746" s="1">
        <v>25.42</v>
      </c>
      <c r="L1746" s="1">
        <v>95370.7</v>
      </c>
      <c r="M1746" s="1">
        <v>16497.71</v>
      </c>
      <c r="N1746" s="1" t="s">
        <v>2092</v>
      </c>
    </row>
    <row r="1747" spans="1:14">
      <c r="A1747" s="1" t="s">
        <v>1759</v>
      </c>
      <c r="B1747" s="2">
        <v>45929</v>
      </c>
      <c r="C1747" s="1" t="s">
        <v>2019</v>
      </c>
      <c r="D1747" s="1" t="s">
        <v>2034</v>
      </c>
      <c r="E1747" s="1" t="s">
        <v>2044</v>
      </c>
      <c r="F1747" s="1" t="s">
        <v>2052</v>
      </c>
      <c r="G1747" s="1" t="s">
        <v>2059</v>
      </c>
      <c r="H1747" s="1" t="s">
        <v>2087</v>
      </c>
      <c r="I1747" s="1">
        <v>2</v>
      </c>
      <c r="J1747" s="1">
        <v>8935.17</v>
      </c>
      <c r="K1747" s="1">
        <v>13.49</v>
      </c>
      <c r="L1747" s="1">
        <v>15459.63</v>
      </c>
      <c r="M1747" s="1">
        <v>2897.93</v>
      </c>
      <c r="N1747" s="1" t="s">
        <v>2089</v>
      </c>
    </row>
    <row r="1748" spans="1:14">
      <c r="A1748" s="1" t="s">
        <v>1760</v>
      </c>
      <c r="B1748" s="2">
        <v>45929</v>
      </c>
      <c r="C1748" s="1" t="s">
        <v>2017</v>
      </c>
      <c r="D1748" s="1" t="s">
        <v>2035</v>
      </c>
      <c r="E1748" s="1" t="s">
        <v>2045</v>
      </c>
      <c r="F1748" s="1" t="s">
        <v>2054</v>
      </c>
      <c r="G1748" s="1" t="s">
        <v>2063</v>
      </c>
      <c r="H1748" s="1" t="s">
        <v>2087</v>
      </c>
      <c r="I1748" s="1">
        <v>6</v>
      </c>
      <c r="J1748" s="1">
        <v>42463.59</v>
      </c>
      <c r="K1748" s="1">
        <v>8.26</v>
      </c>
      <c r="L1748" s="1">
        <v>233736.58</v>
      </c>
      <c r="M1748" s="1">
        <v>62202.54</v>
      </c>
      <c r="N1748" s="1" t="s">
        <v>2091</v>
      </c>
    </row>
    <row r="1749" spans="1:14">
      <c r="A1749" s="1" t="s">
        <v>1761</v>
      </c>
      <c r="B1749" s="2">
        <v>45929</v>
      </c>
      <c r="C1749" s="1" t="s">
        <v>2022</v>
      </c>
      <c r="D1749" s="1" t="s">
        <v>2036</v>
      </c>
      <c r="E1749" s="1" t="s">
        <v>2048</v>
      </c>
      <c r="F1749" s="1" t="s">
        <v>2049</v>
      </c>
      <c r="G1749" s="1" t="s">
        <v>2058</v>
      </c>
      <c r="H1749" s="1" t="s">
        <v>2086</v>
      </c>
      <c r="I1749" s="1">
        <v>9</v>
      </c>
      <c r="J1749" s="1">
        <v>406.18</v>
      </c>
      <c r="K1749" s="1">
        <v>9.7799999999999994</v>
      </c>
      <c r="L1749" s="1">
        <v>3298.1</v>
      </c>
      <c r="M1749" s="1">
        <v>629.1</v>
      </c>
      <c r="N1749" s="1" t="s">
        <v>2089</v>
      </c>
    </row>
    <row r="1750" spans="1:14">
      <c r="A1750" s="1" t="s">
        <v>1762</v>
      </c>
      <c r="B1750" s="2">
        <v>45930</v>
      </c>
      <c r="C1750" s="1" t="s">
        <v>2019</v>
      </c>
      <c r="D1750" s="1" t="s">
        <v>2037</v>
      </c>
      <c r="E1750" s="1" t="s">
        <v>2048</v>
      </c>
      <c r="F1750" s="1" t="s">
        <v>2052</v>
      </c>
      <c r="G1750" s="1" t="s">
        <v>2059</v>
      </c>
      <c r="H1750" s="1" t="s">
        <v>2087</v>
      </c>
      <c r="I1750" s="1">
        <v>10</v>
      </c>
      <c r="J1750" s="1">
        <v>2652.03</v>
      </c>
      <c r="K1750" s="1">
        <v>21.73</v>
      </c>
      <c r="L1750" s="1">
        <v>20757.439999999999</v>
      </c>
      <c r="M1750" s="1">
        <v>4021.89</v>
      </c>
      <c r="N1750" s="1" t="s">
        <v>2091</v>
      </c>
    </row>
    <row r="1751" spans="1:14">
      <c r="A1751" s="1" t="s">
        <v>1763</v>
      </c>
      <c r="B1751" s="2">
        <v>45930</v>
      </c>
      <c r="C1751" s="1" t="s">
        <v>2024</v>
      </c>
      <c r="D1751" s="1" t="s">
        <v>2038</v>
      </c>
      <c r="E1751" s="1" t="s">
        <v>2044</v>
      </c>
      <c r="F1751" s="1" t="s">
        <v>2053</v>
      </c>
      <c r="G1751" s="1" t="s">
        <v>2067</v>
      </c>
      <c r="H1751" s="1" t="s">
        <v>2086</v>
      </c>
      <c r="I1751" s="1">
        <v>8</v>
      </c>
      <c r="J1751" s="1">
        <v>1424.09</v>
      </c>
      <c r="K1751" s="1">
        <v>9.5</v>
      </c>
      <c r="L1751" s="1">
        <v>10310.41</v>
      </c>
      <c r="M1751" s="1">
        <v>841.19</v>
      </c>
      <c r="N1751" s="1" t="s">
        <v>2088</v>
      </c>
    </row>
    <row r="1752" spans="1:14">
      <c r="A1752" s="1" t="s">
        <v>1764</v>
      </c>
      <c r="B1752" s="2">
        <v>45931</v>
      </c>
      <c r="C1752" s="1" t="s">
        <v>2025</v>
      </c>
      <c r="D1752" s="1" t="s">
        <v>2039</v>
      </c>
      <c r="E1752" s="1" t="s">
        <v>2046</v>
      </c>
      <c r="F1752" s="1" t="s">
        <v>2053</v>
      </c>
      <c r="G1752" s="1" t="s">
        <v>2073</v>
      </c>
      <c r="H1752" s="1" t="s">
        <v>2087</v>
      </c>
      <c r="I1752" s="1">
        <v>9</v>
      </c>
      <c r="J1752" s="1">
        <v>2248.08</v>
      </c>
      <c r="K1752" s="1">
        <v>20.98</v>
      </c>
      <c r="L1752" s="1">
        <v>15987.9</v>
      </c>
      <c r="M1752" s="1">
        <v>3737.63</v>
      </c>
      <c r="N1752" s="1" t="s">
        <v>2089</v>
      </c>
    </row>
    <row r="1753" spans="1:14">
      <c r="A1753" s="1" t="s">
        <v>1765</v>
      </c>
      <c r="B1753" s="2">
        <v>45931</v>
      </c>
      <c r="C1753" s="1" t="s">
        <v>2015</v>
      </c>
      <c r="D1753" s="1" t="s">
        <v>2040</v>
      </c>
      <c r="E1753" s="1" t="s">
        <v>2044</v>
      </c>
      <c r="F1753" s="1" t="s">
        <v>2049</v>
      </c>
      <c r="G1753" s="1" t="s">
        <v>2055</v>
      </c>
      <c r="H1753" s="1" t="s">
        <v>2085</v>
      </c>
      <c r="I1753" s="1">
        <v>2</v>
      </c>
      <c r="J1753" s="1">
        <v>785.59</v>
      </c>
      <c r="K1753" s="1">
        <v>24.51</v>
      </c>
      <c r="L1753" s="1">
        <v>1186.08</v>
      </c>
      <c r="M1753" s="1">
        <v>92.07</v>
      </c>
      <c r="N1753" s="1" t="s">
        <v>2088</v>
      </c>
    </row>
    <row r="1754" spans="1:14">
      <c r="A1754" s="1" t="s">
        <v>1766</v>
      </c>
      <c r="B1754" s="2">
        <v>45931</v>
      </c>
      <c r="C1754" s="1" t="s">
        <v>2019</v>
      </c>
      <c r="D1754" s="1" t="s">
        <v>2041</v>
      </c>
      <c r="E1754" s="1" t="s">
        <v>2047</v>
      </c>
      <c r="F1754" s="1" t="s">
        <v>2052</v>
      </c>
      <c r="G1754" s="1" t="s">
        <v>2083</v>
      </c>
      <c r="H1754" s="1" t="s">
        <v>2085</v>
      </c>
      <c r="I1754" s="1">
        <v>6</v>
      </c>
      <c r="J1754" s="1">
        <v>3369.98</v>
      </c>
      <c r="K1754" s="1">
        <v>10.55</v>
      </c>
      <c r="L1754" s="1">
        <v>18086.68</v>
      </c>
      <c r="M1754" s="1">
        <v>1190.6400000000001</v>
      </c>
      <c r="N1754" s="1" t="s">
        <v>2089</v>
      </c>
    </row>
    <row r="1755" spans="1:14">
      <c r="A1755" s="1" t="s">
        <v>1767</v>
      </c>
      <c r="B1755" s="2">
        <v>45932</v>
      </c>
      <c r="C1755" s="1" t="s">
        <v>2023</v>
      </c>
      <c r="D1755" s="1" t="s">
        <v>2042</v>
      </c>
      <c r="E1755" s="1" t="s">
        <v>2045</v>
      </c>
      <c r="F1755" s="1" t="s">
        <v>2050</v>
      </c>
      <c r="G1755" s="1" t="s">
        <v>2056</v>
      </c>
      <c r="H1755" s="1" t="s">
        <v>2085</v>
      </c>
      <c r="I1755" s="1">
        <v>4</v>
      </c>
      <c r="J1755" s="1">
        <v>5487.88</v>
      </c>
      <c r="K1755" s="1">
        <v>21.88</v>
      </c>
      <c r="L1755" s="1">
        <v>17148.53</v>
      </c>
      <c r="M1755" s="1">
        <v>3817.92</v>
      </c>
      <c r="N1755" s="1" t="s">
        <v>2088</v>
      </c>
    </row>
    <row r="1756" spans="1:14">
      <c r="A1756" s="1" t="s">
        <v>1768</v>
      </c>
      <c r="B1756" s="2">
        <v>45932</v>
      </c>
      <c r="C1756" s="1" t="s">
        <v>2027</v>
      </c>
      <c r="D1756" s="1" t="s">
        <v>2043</v>
      </c>
      <c r="E1756" s="1" t="s">
        <v>2045</v>
      </c>
      <c r="F1756" s="1" t="s">
        <v>2052</v>
      </c>
      <c r="G1756" s="1" t="s">
        <v>2083</v>
      </c>
      <c r="H1756" s="1" t="s">
        <v>2087</v>
      </c>
      <c r="I1756" s="1">
        <v>6</v>
      </c>
      <c r="J1756" s="1">
        <v>4265.34</v>
      </c>
      <c r="K1756" s="1">
        <v>13.01</v>
      </c>
      <c r="L1756" s="1">
        <v>22262.52</v>
      </c>
      <c r="M1756" s="1">
        <v>3713.24</v>
      </c>
      <c r="N1756" s="1" t="s">
        <v>2088</v>
      </c>
    </row>
    <row r="1757" spans="1:14">
      <c r="A1757" s="1" t="s">
        <v>1769</v>
      </c>
      <c r="B1757" s="2">
        <v>45932</v>
      </c>
      <c r="C1757" s="1" t="s">
        <v>2018</v>
      </c>
      <c r="D1757" s="1" t="s">
        <v>2029</v>
      </c>
      <c r="E1757" s="1" t="s">
        <v>2044</v>
      </c>
      <c r="F1757" s="1" t="s">
        <v>2050</v>
      </c>
      <c r="G1757" s="1" t="s">
        <v>2070</v>
      </c>
      <c r="H1757" s="1" t="s">
        <v>2086</v>
      </c>
      <c r="I1757" s="1">
        <v>2</v>
      </c>
      <c r="J1757" s="1">
        <v>4619.1400000000003</v>
      </c>
      <c r="K1757" s="1">
        <v>6.73</v>
      </c>
      <c r="L1757" s="1">
        <v>8616.5400000000009</v>
      </c>
      <c r="M1757" s="1">
        <v>1529.92</v>
      </c>
      <c r="N1757" s="1" t="s">
        <v>2090</v>
      </c>
    </row>
    <row r="1758" spans="1:14">
      <c r="A1758" s="1" t="s">
        <v>1770</v>
      </c>
      <c r="B1758" s="2">
        <v>45933</v>
      </c>
      <c r="C1758" s="1" t="s">
        <v>2028</v>
      </c>
      <c r="D1758" s="1" t="s">
        <v>2030</v>
      </c>
      <c r="E1758" s="1" t="s">
        <v>2046</v>
      </c>
      <c r="F1758" s="1" t="s">
        <v>2051</v>
      </c>
      <c r="G1758" s="1" t="s">
        <v>2077</v>
      </c>
      <c r="H1758" s="1" t="s">
        <v>2087</v>
      </c>
      <c r="I1758" s="1">
        <v>8</v>
      </c>
      <c r="J1758" s="1">
        <v>25936.240000000002</v>
      </c>
      <c r="K1758" s="1">
        <v>26.19</v>
      </c>
      <c r="L1758" s="1">
        <v>153148.31</v>
      </c>
      <c r="M1758" s="1">
        <v>23335.83</v>
      </c>
      <c r="N1758" s="1" t="s">
        <v>2091</v>
      </c>
    </row>
    <row r="1759" spans="1:14">
      <c r="A1759" s="1" t="s">
        <v>1771</v>
      </c>
      <c r="B1759" s="2">
        <v>45933</v>
      </c>
      <c r="C1759" s="1" t="s">
        <v>2022</v>
      </c>
      <c r="D1759" s="1" t="s">
        <v>2031</v>
      </c>
      <c r="E1759" s="1" t="s">
        <v>2045</v>
      </c>
      <c r="F1759" s="1" t="s">
        <v>2050</v>
      </c>
      <c r="G1759" s="1" t="s">
        <v>2064</v>
      </c>
      <c r="H1759" s="1" t="s">
        <v>2087</v>
      </c>
      <c r="I1759" s="1">
        <v>2</v>
      </c>
      <c r="J1759" s="1">
        <v>6927.61</v>
      </c>
      <c r="K1759" s="1">
        <v>0.46</v>
      </c>
      <c r="L1759" s="1">
        <v>13791.49</v>
      </c>
      <c r="M1759" s="1">
        <v>1059.31</v>
      </c>
      <c r="N1759" s="1" t="s">
        <v>2089</v>
      </c>
    </row>
    <row r="1760" spans="1:14">
      <c r="A1760" s="1" t="s">
        <v>1772</v>
      </c>
      <c r="B1760" s="2">
        <v>45933</v>
      </c>
      <c r="C1760" s="1" t="s">
        <v>2021</v>
      </c>
      <c r="D1760" s="1" t="s">
        <v>2032</v>
      </c>
      <c r="E1760" s="1" t="s">
        <v>2045</v>
      </c>
      <c r="F1760" s="1" t="s">
        <v>2054</v>
      </c>
      <c r="G1760" s="1" t="s">
        <v>2081</v>
      </c>
      <c r="H1760" s="1" t="s">
        <v>2086</v>
      </c>
      <c r="I1760" s="1">
        <v>1</v>
      </c>
      <c r="J1760" s="1">
        <v>26939.59</v>
      </c>
      <c r="K1760" s="1">
        <v>28.35</v>
      </c>
      <c r="L1760" s="1">
        <v>19302.22</v>
      </c>
      <c r="M1760" s="1">
        <v>1030.6500000000001</v>
      </c>
      <c r="N1760" s="1" t="s">
        <v>2088</v>
      </c>
    </row>
    <row r="1761" spans="1:14">
      <c r="A1761" s="1" t="s">
        <v>1773</v>
      </c>
      <c r="B1761" s="2">
        <v>45934</v>
      </c>
      <c r="C1761" s="1" t="s">
        <v>2024</v>
      </c>
      <c r="D1761" s="1" t="s">
        <v>2033</v>
      </c>
      <c r="E1761" s="1" t="s">
        <v>2045</v>
      </c>
      <c r="F1761" s="1" t="s">
        <v>2049</v>
      </c>
      <c r="G1761" s="1" t="s">
        <v>2074</v>
      </c>
      <c r="H1761" s="1" t="s">
        <v>2086</v>
      </c>
      <c r="I1761" s="1">
        <v>9</v>
      </c>
      <c r="J1761" s="1">
        <v>2800.19</v>
      </c>
      <c r="K1761" s="1">
        <v>26.29</v>
      </c>
      <c r="L1761" s="1">
        <v>18576.18</v>
      </c>
      <c r="M1761" s="1">
        <v>2412.04</v>
      </c>
      <c r="N1761" s="1" t="s">
        <v>2091</v>
      </c>
    </row>
    <row r="1762" spans="1:14">
      <c r="A1762" s="1" t="s">
        <v>1774</v>
      </c>
      <c r="B1762" s="2">
        <v>45934</v>
      </c>
      <c r="C1762" s="1" t="s">
        <v>2016</v>
      </c>
      <c r="D1762" s="1" t="s">
        <v>2034</v>
      </c>
      <c r="E1762" s="1" t="s">
        <v>2046</v>
      </c>
      <c r="F1762" s="1" t="s">
        <v>2049</v>
      </c>
      <c r="G1762" s="1" t="s">
        <v>2058</v>
      </c>
      <c r="H1762" s="1" t="s">
        <v>2086</v>
      </c>
      <c r="I1762" s="1">
        <v>8</v>
      </c>
      <c r="J1762" s="1">
        <v>2631.8</v>
      </c>
      <c r="K1762" s="1">
        <v>10.42</v>
      </c>
      <c r="L1762" s="1">
        <v>18860.53</v>
      </c>
      <c r="M1762" s="1">
        <v>3592.45</v>
      </c>
      <c r="N1762" s="1" t="s">
        <v>2088</v>
      </c>
    </row>
    <row r="1763" spans="1:14">
      <c r="A1763" s="1" t="s">
        <v>1775</v>
      </c>
      <c r="B1763" s="2">
        <v>45935</v>
      </c>
      <c r="C1763" s="1" t="s">
        <v>2025</v>
      </c>
      <c r="D1763" s="1" t="s">
        <v>2035</v>
      </c>
      <c r="E1763" s="1" t="s">
        <v>2044</v>
      </c>
      <c r="F1763" s="1" t="s">
        <v>2053</v>
      </c>
      <c r="G1763" s="1" t="s">
        <v>2067</v>
      </c>
      <c r="H1763" s="1" t="s">
        <v>2087</v>
      </c>
      <c r="I1763" s="1">
        <v>1</v>
      </c>
      <c r="J1763" s="1">
        <v>143.69</v>
      </c>
      <c r="K1763" s="1">
        <v>3.86</v>
      </c>
      <c r="L1763" s="1">
        <v>138.13999999999999</v>
      </c>
      <c r="M1763" s="1">
        <v>24.04</v>
      </c>
      <c r="N1763" s="1" t="s">
        <v>2089</v>
      </c>
    </row>
    <row r="1764" spans="1:14">
      <c r="A1764" s="1" t="s">
        <v>1776</v>
      </c>
      <c r="B1764" s="2">
        <v>45935</v>
      </c>
      <c r="C1764" s="1" t="s">
        <v>2022</v>
      </c>
      <c r="D1764" s="1" t="s">
        <v>2036</v>
      </c>
      <c r="E1764" s="1" t="s">
        <v>2048</v>
      </c>
      <c r="F1764" s="1" t="s">
        <v>2050</v>
      </c>
      <c r="G1764" s="1" t="s">
        <v>2064</v>
      </c>
      <c r="H1764" s="1" t="s">
        <v>2087</v>
      </c>
      <c r="I1764" s="1">
        <v>1</v>
      </c>
      <c r="J1764" s="1">
        <v>5046.05</v>
      </c>
      <c r="K1764" s="1">
        <v>7.01</v>
      </c>
      <c r="L1764" s="1">
        <v>4692.32</v>
      </c>
      <c r="M1764" s="1">
        <v>870.89</v>
      </c>
      <c r="N1764" s="1" t="s">
        <v>2092</v>
      </c>
    </row>
    <row r="1765" spans="1:14">
      <c r="A1765" s="1" t="s">
        <v>1777</v>
      </c>
      <c r="B1765" s="2">
        <v>45935</v>
      </c>
      <c r="C1765" s="1" t="s">
        <v>2028</v>
      </c>
      <c r="D1765" s="1" t="s">
        <v>2037</v>
      </c>
      <c r="E1765" s="1" t="s">
        <v>2047</v>
      </c>
      <c r="F1765" s="1" t="s">
        <v>2052</v>
      </c>
      <c r="G1765" s="1" t="s">
        <v>2078</v>
      </c>
      <c r="H1765" s="1" t="s">
        <v>2086</v>
      </c>
      <c r="I1765" s="1">
        <v>2</v>
      </c>
      <c r="J1765" s="1">
        <v>4688.54</v>
      </c>
      <c r="K1765" s="1">
        <v>25.94</v>
      </c>
      <c r="L1765" s="1">
        <v>6944.67</v>
      </c>
      <c r="M1765" s="1">
        <v>1954.94</v>
      </c>
      <c r="N1765" s="1" t="s">
        <v>2088</v>
      </c>
    </row>
    <row r="1766" spans="1:14">
      <c r="A1766" s="1" t="s">
        <v>1778</v>
      </c>
      <c r="B1766" s="2">
        <v>45936</v>
      </c>
      <c r="C1766" s="1" t="s">
        <v>2020</v>
      </c>
      <c r="D1766" s="1" t="s">
        <v>2038</v>
      </c>
      <c r="E1766" s="1" t="s">
        <v>2046</v>
      </c>
      <c r="F1766" s="1" t="s">
        <v>2052</v>
      </c>
      <c r="G1766" s="1" t="s">
        <v>2083</v>
      </c>
      <c r="H1766" s="1" t="s">
        <v>2085</v>
      </c>
      <c r="I1766" s="1">
        <v>3</v>
      </c>
      <c r="J1766" s="1">
        <v>4010.19</v>
      </c>
      <c r="K1766" s="1">
        <v>3.57</v>
      </c>
      <c r="L1766" s="1">
        <v>11601.08</v>
      </c>
      <c r="M1766" s="1">
        <v>813.36</v>
      </c>
      <c r="N1766" s="1" t="s">
        <v>2089</v>
      </c>
    </row>
    <row r="1767" spans="1:14">
      <c r="A1767" s="1" t="s">
        <v>1779</v>
      </c>
      <c r="B1767" s="2">
        <v>45936</v>
      </c>
      <c r="C1767" s="1" t="s">
        <v>2020</v>
      </c>
      <c r="D1767" s="1" t="s">
        <v>2039</v>
      </c>
      <c r="E1767" s="1" t="s">
        <v>2044</v>
      </c>
      <c r="F1767" s="1" t="s">
        <v>2053</v>
      </c>
      <c r="G1767" s="1" t="s">
        <v>2073</v>
      </c>
      <c r="H1767" s="1" t="s">
        <v>2087</v>
      </c>
      <c r="I1767" s="1">
        <v>1</v>
      </c>
      <c r="J1767" s="1">
        <v>2454.2800000000002</v>
      </c>
      <c r="K1767" s="1">
        <v>19.350000000000001</v>
      </c>
      <c r="L1767" s="1">
        <v>1979.38</v>
      </c>
      <c r="M1767" s="1">
        <v>531.66</v>
      </c>
      <c r="N1767" s="1" t="s">
        <v>2092</v>
      </c>
    </row>
    <row r="1768" spans="1:14">
      <c r="A1768" s="1" t="s">
        <v>1780</v>
      </c>
      <c r="B1768" s="2">
        <v>45936</v>
      </c>
      <c r="C1768" s="1" t="s">
        <v>2014</v>
      </c>
      <c r="D1768" s="1" t="s">
        <v>2040</v>
      </c>
      <c r="E1768" s="1" t="s">
        <v>2045</v>
      </c>
      <c r="F1768" s="1" t="s">
        <v>2054</v>
      </c>
      <c r="G1768" s="1" t="s">
        <v>2063</v>
      </c>
      <c r="H1768" s="1" t="s">
        <v>2087</v>
      </c>
      <c r="I1768" s="1">
        <v>6</v>
      </c>
      <c r="J1768" s="1">
        <v>8264.4699999999993</v>
      </c>
      <c r="K1768" s="1">
        <v>3.05</v>
      </c>
      <c r="L1768" s="1">
        <v>48074.42</v>
      </c>
      <c r="M1768" s="1">
        <v>10875.6</v>
      </c>
      <c r="N1768" s="1" t="s">
        <v>2091</v>
      </c>
    </row>
    <row r="1769" spans="1:14">
      <c r="A1769" s="1" t="s">
        <v>1781</v>
      </c>
      <c r="B1769" s="2">
        <v>45937</v>
      </c>
      <c r="C1769" s="1" t="s">
        <v>2016</v>
      </c>
      <c r="D1769" s="1" t="s">
        <v>2041</v>
      </c>
      <c r="E1769" s="1" t="s">
        <v>2046</v>
      </c>
      <c r="F1769" s="1" t="s">
        <v>2050</v>
      </c>
      <c r="G1769" s="1" t="s">
        <v>2075</v>
      </c>
      <c r="H1769" s="1" t="s">
        <v>2086</v>
      </c>
      <c r="I1769" s="1">
        <v>4</v>
      </c>
      <c r="J1769" s="1">
        <v>2393.54</v>
      </c>
      <c r="K1769" s="1">
        <v>15.29</v>
      </c>
      <c r="L1769" s="1">
        <v>8110.27</v>
      </c>
      <c r="M1769" s="1">
        <v>761.26</v>
      </c>
      <c r="N1769" s="1" t="s">
        <v>2088</v>
      </c>
    </row>
    <row r="1770" spans="1:14">
      <c r="A1770" s="1" t="s">
        <v>1782</v>
      </c>
      <c r="B1770" s="2">
        <v>45937</v>
      </c>
      <c r="C1770" s="1" t="s">
        <v>2020</v>
      </c>
      <c r="D1770" s="1" t="s">
        <v>2042</v>
      </c>
      <c r="E1770" s="1" t="s">
        <v>2047</v>
      </c>
      <c r="F1770" s="1" t="s">
        <v>2052</v>
      </c>
      <c r="G1770" s="1" t="s">
        <v>2078</v>
      </c>
      <c r="H1770" s="1" t="s">
        <v>2085</v>
      </c>
      <c r="I1770" s="1">
        <v>9</v>
      </c>
      <c r="J1770" s="1">
        <v>7635</v>
      </c>
      <c r="K1770" s="1">
        <v>2.93</v>
      </c>
      <c r="L1770" s="1">
        <v>66701.649999999994</v>
      </c>
      <c r="M1770" s="1">
        <v>4006.18</v>
      </c>
      <c r="N1770" s="1" t="s">
        <v>2088</v>
      </c>
    </row>
    <row r="1771" spans="1:14">
      <c r="A1771" s="1" t="s">
        <v>1783</v>
      </c>
      <c r="B1771" s="2">
        <v>45938</v>
      </c>
      <c r="C1771" s="1" t="s">
        <v>2022</v>
      </c>
      <c r="D1771" s="1" t="s">
        <v>2043</v>
      </c>
      <c r="E1771" s="1" t="s">
        <v>2046</v>
      </c>
      <c r="F1771" s="1" t="s">
        <v>2051</v>
      </c>
      <c r="G1771" s="1" t="s">
        <v>2080</v>
      </c>
      <c r="H1771" s="1" t="s">
        <v>2087</v>
      </c>
      <c r="I1771" s="1">
        <v>10</v>
      </c>
      <c r="J1771" s="1">
        <v>19719.34</v>
      </c>
      <c r="K1771" s="1">
        <v>24.81</v>
      </c>
      <c r="L1771" s="1">
        <v>148269.72</v>
      </c>
      <c r="M1771" s="1">
        <v>37702.29</v>
      </c>
      <c r="N1771" s="1" t="s">
        <v>2088</v>
      </c>
    </row>
    <row r="1772" spans="1:14">
      <c r="A1772" s="1" t="s">
        <v>1784</v>
      </c>
      <c r="B1772" s="2">
        <v>45938</v>
      </c>
      <c r="C1772" s="1" t="s">
        <v>2014</v>
      </c>
      <c r="D1772" s="1" t="s">
        <v>2029</v>
      </c>
      <c r="E1772" s="1" t="s">
        <v>2047</v>
      </c>
      <c r="F1772" s="1" t="s">
        <v>2051</v>
      </c>
      <c r="G1772" s="1" t="s">
        <v>2061</v>
      </c>
      <c r="H1772" s="1" t="s">
        <v>2085</v>
      </c>
      <c r="I1772" s="1">
        <v>8</v>
      </c>
      <c r="J1772" s="1">
        <v>4196.78</v>
      </c>
      <c r="K1772" s="1">
        <v>12.95</v>
      </c>
      <c r="L1772" s="1">
        <v>29226.38</v>
      </c>
      <c r="M1772" s="1">
        <v>7513.54</v>
      </c>
      <c r="N1772" s="1" t="s">
        <v>2089</v>
      </c>
    </row>
    <row r="1773" spans="1:14">
      <c r="A1773" s="1" t="s">
        <v>1785</v>
      </c>
      <c r="B1773" s="2">
        <v>45938</v>
      </c>
      <c r="C1773" s="1" t="s">
        <v>2028</v>
      </c>
      <c r="D1773" s="1" t="s">
        <v>2030</v>
      </c>
      <c r="E1773" s="1" t="s">
        <v>2046</v>
      </c>
      <c r="F1773" s="1" t="s">
        <v>2050</v>
      </c>
      <c r="G1773" s="1" t="s">
        <v>2064</v>
      </c>
      <c r="H1773" s="1" t="s">
        <v>2087</v>
      </c>
      <c r="I1773" s="1">
        <v>7</v>
      </c>
      <c r="J1773" s="1">
        <v>768.01</v>
      </c>
      <c r="K1773" s="1">
        <v>26.95</v>
      </c>
      <c r="L1773" s="1">
        <v>3927.22</v>
      </c>
      <c r="M1773" s="1">
        <v>495.27</v>
      </c>
      <c r="N1773" s="1" t="s">
        <v>2090</v>
      </c>
    </row>
    <row r="1774" spans="1:14">
      <c r="A1774" s="1" t="s">
        <v>1786</v>
      </c>
      <c r="B1774" s="2">
        <v>45939</v>
      </c>
      <c r="C1774" s="1" t="s">
        <v>2017</v>
      </c>
      <c r="D1774" s="1" t="s">
        <v>2031</v>
      </c>
      <c r="E1774" s="1" t="s">
        <v>2044</v>
      </c>
      <c r="F1774" s="1" t="s">
        <v>2053</v>
      </c>
      <c r="G1774" s="1" t="s">
        <v>2067</v>
      </c>
      <c r="H1774" s="1" t="s">
        <v>2087</v>
      </c>
      <c r="I1774" s="1">
        <v>7</v>
      </c>
      <c r="J1774" s="1">
        <v>1777.01</v>
      </c>
      <c r="K1774" s="1">
        <v>20.77</v>
      </c>
      <c r="L1774" s="1">
        <v>9855.48</v>
      </c>
      <c r="M1774" s="1">
        <v>1740.08</v>
      </c>
      <c r="N1774" s="1" t="s">
        <v>2091</v>
      </c>
    </row>
    <row r="1775" spans="1:14">
      <c r="A1775" s="1" t="s">
        <v>1787</v>
      </c>
      <c r="B1775" s="2">
        <v>45939</v>
      </c>
      <c r="C1775" s="1" t="s">
        <v>2026</v>
      </c>
      <c r="D1775" s="1" t="s">
        <v>2032</v>
      </c>
      <c r="E1775" s="1" t="s">
        <v>2047</v>
      </c>
      <c r="F1775" s="1" t="s">
        <v>2054</v>
      </c>
      <c r="G1775" s="1" t="s">
        <v>2079</v>
      </c>
      <c r="H1775" s="1" t="s">
        <v>2086</v>
      </c>
      <c r="I1775" s="1">
        <v>4</v>
      </c>
      <c r="J1775" s="1">
        <v>51105.29</v>
      </c>
      <c r="K1775" s="1">
        <v>20.68</v>
      </c>
      <c r="L1775" s="1">
        <v>162146.85999999999</v>
      </c>
      <c r="M1775" s="1">
        <v>35169.949999999997</v>
      </c>
      <c r="N1775" s="1" t="s">
        <v>2091</v>
      </c>
    </row>
    <row r="1776" spans="1:14">
      <c r="A1776" s="1" t="s">
        <v>1788</v>
      </c>
      <c r="B1776" s="2">
        <v>45939</v>
      </c>
      <c r="C1776" s="1" t="s">
        <v>2023</v>
      </c>
      <c r="D1776" s="1" t="s">
        <v>2033</v>
      </c>
      <c r="E1776" s="1" t="s">
        <v>2044</v>
      </c>
      <c r="F1776" s="1" t="s">
        <v>2053</v>
      </c>
      <c r="G1776" s="1" t="s">
        <v>2073</v>
      </c>
      <c r="H1776" s="1" t="s">
        <v>2087</v>
      </c>
      <c r="I1776" s="1">
        <v>3</v>
      </c>
      <c r="J1776" s="1">
        <v>196.59</v>
      </c>
      <c r="K1776" s="1">
        <v>7.08</v>
      </c>
      <c r="L1776" s="1">
        <v>548.01</v>
      </c>
      <c r="M1776" s="1">
        <v>78.66</v>
      </c>
      <c r="N1776" s="1" t="s">
        <v>2091</v>
      </c>
    </row>
    <row r="1777" spans="1:14">
      <c r="A1777" s="1" t="s">
        <v>1789</v>
      </c>
      <c r="B1777" s="2">
        <v>45940</v>
      </c>
      <c r="C1777" s="1" t="s">
        <v>2028</v>
      </c>
      <c r="D1777" s="1" t="s">
        <v>2034</v>
      </c>
      <c r="E1777" s="1" t="s">
        <v>2047</v>
      </c>
      <c r="F1777" s="1" t="s">
        <v>2053</v>
      </c>
      <c r="G1777" s="1" t="s">
        <v>2060</v>
      </c>
      <c r="H1777" s="1" t="s">
        <v>2087</v>
      </c>
      <c r="I1777" s="1">
        <v>1</v>
      </c>
      <c r="J1777" s="1">
        <v>1957.65</v>
      </c>
      <c r="K1777" s="1">
        <v>1.29</v>
      </c>
      <c r="L1777" s="1">
        <v>1932.4</v>
      </c>
      <c r="M1777" s="1">
        <v>303.38</v>
      </c>
      <c r="N1777" s="1" t="s">
        <v>2090</v>
      </c>
    </row>
    <row r="1778" spans="1:14">
      <c r="A1778" s="1" t="s">
        <v>1790</v>
      </c>
      <c r="B1778" s="2">
        <v>45940</v>
      </c>
      <c r="C1778" s="1" t="s">
        <v>2028</v>
      </c>
      <c r="D1778" s="1" t="s">
        <v>2035</v>
      </c>
      <c r="E1778" s="1" t="s">
        <v>2045</v>
      </c>
      <c r="F1778" s="1" t="s">
        <v>2053</v>
      </c>
      <c r="G1778" s="1" t="s">
        <v>2060</v>
      </c>
      <c r="H1778" s="1" t="s">
        <v>2085</v>
      </c>
      <c r="I1778" s="1">
        <v>8</v>
      </c>
      <c r="J1778" s="1">
        <v>1628.13</v>
      </c>
      <c r="K1778" s="1">
        <v>26.56</v>
      </c>
      <c r="L1778" s="1">
        <v>9565.59</v>
      </c>
      <c r="M1778" s="1">
        <v>2100.77</v>
      </c>
      <c r="N1778" s="1" t="s">
        <v>2092</v>
      </c>
    </row>
    <row r="1779" spans="1:14">
      <c r="A1779" s="1" t="s">
        <v>1791</v>
      </c>
      <c r="B1779" s="2">
        <v>45940</v>
      </c>
      <c r="C1779" s="1" t="s">
        <v>2019</v>
      </c>
      <c r="D1779" s="1" t="s">
        <v>2036</v>
      </c>
      <c r="E1779" s="1" t="s">
        <v>2045</v>
      </c>
      <c r="F1779" s="1" t="s">
        <v>2052</v>
      </c>
      <c r="G1779" s="1" t="s">
        <v>2072</v>
      </c>
      <c r="H1779" s="1" t="s">
        <v>2087</v>
      </c>
      <c r="I1779" s="1">
        <v>4</v>
      </c>
      <c r="J1779" s="1">
        <v>9358.2800000000007</v>
      </c>
      <c r="K1779" s="1">
        <v>21.42</v>
      </c>
      <c r="L1779" s="1">
        <v>29414.95</v>
      </c>
      <c r="M1779" s="1">
        <v>1741.32</v>
      </c>
      <c r="N1779" s="1" t="s">
        <v>2090</v>
      </c>
    </row>
    <row r="1780" spans="1:14">
      <c r="A1780" s="1" t="s">
        <v>1792</v>
      </c>
      <c r="B1780" s="2">
        <v>45941</v>
      </c>
      <c r="C1780" s="1" t="s">
        <v>2019</v>
      </c>
      <c r="D1780" s="1" t="s">
        <v>2037</v>
      </c>
      <c r="E1780" s="1" t="s">
        <v>2047</v>
      </c>
      <c r="F1780" s="1" t="s">
        <v>2051</v>
      </c>
      <c r="G1780" s="1" t="s">
        <v>2057</v>
      </c>
      <c r="H1780" s="1" t="s">
        <v>2086</v>
      </c>
      <c r="I1780" s="1">
        <v>4</v>
      </c>
      <c r="J1780" s="1">
        <v>33806.57</v>
      </c>
      <c r="K1780" s="1">
        <v>25.91</v>
      </c>
      <c r="L1780" s="1">
        <v>100189.15</v>
      </c>
      <c r="M1780" s="1">
        <v>8097.45</v>
      </c>
      <c r="N1780" s="1" t="s">
        <v>2092</v>
      </c>
    </row>
    <row r="1781" spans="1:14">
      <c r="A1781" s="1" t="s">
        <v>1793</v>
      </c>
      <c r="B1781" s="2">
        <v>45941</v>
      </c>
      <c r="C1781" s="1" t="s">
        <v>2024</v>
      </c>
      <c r="D1781" s="1" t="s">
        <v>2038</v>
      </c>
      <c r="E1781" s="1" t="s">
        <v>2048</v>
      </c>
      <c r="F1781" s="1" t="s">
        <v>2053</v>
      </c>
      <c r="G1781" s="1" t="s">
        <v>2067</v>
      </c>
      <c r="H1781" s="1" t="s">
        <v>2087</v>
      </c>
      <c r="I1781" s="1">
        <v>7</v>
      </c>
      <c r="J1781" s="1">
        <v>1158.1099999999999</v>
      </c>
      <c r="K1781" s="1">
        <v>26.65</v>
      </c>
      <c r="L1781" s="1">
        <v>5946.32</v>
      </c>
      <c r="M1781" s="1">
        <v>1500.7</v>
      </c>
      <c r="N1781" s="1" t="s">
        <v>2092</v>
      </c>
    </row>
    <row r="1782" spans="1:14">
      <c r="A1782" s="1" t="s">
        <v>1794</v>
      </c>
      <c r="B1782" s="2">
        <v>45942</v>
      </c>
      <c r="C1782" s="1" t="s">
        <v>2022</v>
      </c>
      <c r="D1782" s="1" t="s">
        <v>2039</v>
      </c>
      <c r="E1782" s="1" t="s">
        <v>2047</v>
      </c>
      <c r="F1782" s="1" t="s">
        <v>2052</v>
      </c>
      <c r="G1782" s="1" t="s">
        <v>2078</v>
      </c>
      <c r="H1782" s="1" t="s">
        <v>2087</v>
      </c>
      <c r="I1782" s="1">
        <v>7</v>
      </c>
      <c r="J1782" s="1">
        <v>1603.01</v>
      </c>
      <c r="K1782" s="1">
        <v>28.35</v>
      </c>
      <c r="L1782" s="1">
        <v>8039.9</v>
      </c>
      <c r="M1782" s="1">
        <v>2385.46</v>
      </c>
      <c r="N1782" s="1" t="s">
        <v>2092</v>
      </c>
    </row>
    <row r="1783" spans="1:14">
      <c r="A1783" s="1" t="s">
        <v>1795</v>
      </c>
      <c r="B1783" s="2">
        <v>45942</v>
      </c>
      <c r="C1783" s="1" t="s">
        <v>2014</v>
      </c>
      <c r="D1783" s="1" t="s">
        <v>2040</v>
      </c>
      <c r="E1783" s="1" t="s">
        <v>2044</v>
      </c>
      <c r="F1783" s="1" t="s">
        <v>2049</v>
      </c>
      <c r="G1783" s="1" t="s">
        <v>2055</v>
      </c>
      <c r="H1783" s="1" t="s">
        <v>2085</v>
      </c>
      <c r="I1783" s="1">
        <v>4</v>
      </c>
      <c r="J1783" s="1">
        <v>2104.2199999999998</v>
      </c>
      <c r="K1783" s="1">
        <v>23.14</v>
      </c>
      <c r="L1783" s="1">
        <v>6469.21</v>
      </c>
      <c r="M1783" s="1">
        <v>1605.15</v>
      </c>
      <c r="N1783" s="1" t="s">
        <v>2089</v>
      </c>
    </row>
    <row r="1784" spans="1:14">
      <c r="A1784" s="1" t="s">
        <v>1796</v>
      </c>
      <c r="B1784" s="2">
        <v>45942</v>
      </c>
      <c r="C1784" s="1" t="s">
        <v>2023</v>
      </c>
      <c r="D1784" s="1" t="s">
        <v>2041</v>
      </c>
      <c r="E1784" s="1" t="s">
        <v>2046</v>
      </c>
      <c r="F1784" s="1" t="s">
        <v>2053</v>
      </c>
      <c r="G1784" s="1" t="s">
        <v>2062</v>
      </c>
      <c r="H1784" s="1" t="s">
        <v>2087</v>
      </c>
      <c r="I1784" s="1">
        <v>5</v>
      </c>
      <c r="J1784" s="1">
        <v>152.88999999999999</v>
      </c>
      <c r="K1784" s="1">
        <v>1.21</v>
      </c>
      <c r="L1784" s="1">
        <v>755.2</v>
      </c>
      <c r="M1784" s="1">
        <v>193.92</v>
      </c>
      <c r="N1784" s="1" t="s">
        <v>2091</v>
      </c>
    </row>
    <row r="1785" spans="1:14">
      <c r="A1785" s="1" t="s">
        <v>1797</v>
      </c>
      <c r="B1785" s="2">
        <v>45943</v>
      </c>
      <c r="C1785" s="1" t="s">
        <v>2022</v>
      </c>
      <c r="D1785" s="1" t="s">
        <v>2042</v>
      </c>
      <c r="E1785" s="1" t="s">
        <v>2045</v>
      </c>
      <c r="F1785" s="1" t="s">
        <v>2050</v>
      </c>
      <c r="G1785" s="1" t="s">
        <v>2064</v>
      </c>
      <c r="H1785" s="1" t="s">
        <v>2086</v>
      </c>
      <c r="I1785" s="1">
        <v>5</v>
      </c>
      <c r="J1785" s="1">
        <v>6303.18</v>
      </c>
      <c r="K1785" s="1">
        <v>26.25</v>
      </c>
      <c r="L1785" s="1">
        <v>23242.98</v>
      </c>
      <c r="M1785" s="1">
        <v>5267.61</v>
      </c>
      <c r="N1785" s="1" t="s">
        <v>2092</v>
      </c>
    </row>
    <row r="1786" spans="1:14">
      <c r="A1786" s="1" t="s">
        <v>1798</v>
      </c>
      <c r="B1786" s="2">
        <v>45943</v>
      </c>
      <c r="C1786" s="1" t="s">
        <v>2023</v>
      </c>
      <c r="D1786" s="1" t="s">
        <v>2043</v>
      </c>
      <c r="E1786" s="1" t="s">
        <v>2044</v>
      </c>
      <c r="F1786" s="1" t="s">
        <v>2053</v>
      </c>
      <c r="G1786" s="1" t="s">
        <v>2062</v>
      </c>
      <c r="H1786" s="1" t="s">
        <v>2086</v>
      </c>
      <c r="I1786" s="1">
        <v>3</v>
      </c>
      <c r="J1786" s="1">
        <v>1715.22</v>
      </c>
      <c r="K1786" s="1">
        <v>9.14</v>
      </c>
      <c r="L1786" s="1">
        <v>4675.3500000000004</v>
      </c>
      <c r="M1786" s="1">
        <v>275.41000000000003</v>
      </c>
      <c r="N1786" s="1" t="s">
        <v>2090</v>
      </c>
    </row>
    <row r="1787" spans="1:14">
      <c r="A1787" s="1" t="s">
        <v>1799</v>
      </c>
      <c r="B1787" s="2">
        <v>45943</v>
      </c>
      <c r="C1787" s="1" t="s">
        <v>2018</v>
      </c>
      <c r="D1787" s="1" t="s">
        <v>2029</v>
      </c>
      <c r="E1787" s="1" t="s">
        <v>2044</v>
      </c>
      <c r="F1787" s="1" t="s">
        <v>2051</v>
      </c>
      <c r="G1787" s="1" t="s">
        <v>2077</v>
      </c>
      <c r="H1787" s="1" t="s">
        <v>2086</v>
      </c>
      <c r="I1787" s="1">
        <v>7</v>
      </c>
      <c r="J1787" s="1">
        <v>32765.81</v>
      </c>
      <c r="K1787" s="1">
        <v>19.350000000000001</v>
      </c>
      <c r="L1787" s="1">
        <v>184979.38</v>
      </c>
      <c r="M1787" s="1">
        <v>26175.29</v>
      </c>
      <c r="N1787" s="1" t="s">
        <v>2088</v>
      </c>
    </row>
    <row r="1788" spans="1:14">
      <c r="A1788" s="1" t="s">
        <v>1800</v>
      </c>
      <c r="B1788" s="2">
        <v>45944</v>
      </c>
      <c r="C1788" s="1" t="s">
        <v>2016</v>
      </c>
      <c r="D1788" s="1" t="s">
        <v>2030</v>
      </c>
      <c r="E1788" s="1" t="s">
        <v>2046</v>
      </c>
      <c r="F1788" s="1" t="s">
        <v>2049</v>
      </c>
      <c r="G1788" s="1" t="s">
        <v>2071</v>
      </c>
      <c r="H1788" s="1" t="s">
        <v>2085</v>
      </c>
      <c r="I1788" s="1">
        <v>3</v>
      </c>
      <c r="J1788" s="1">
        <v>394.77</v>
      </c>
      <c r="K1788" s="1">
        <v>18.170000000000002</v>
      </c>
      <c r="L1788" s="1">
        <v>969.12</v>
      </c>
      <c r="M1788" s="1">
        <v>286.74</v>
      </c>
      <c r="N1788" s="1" t="s">
        <v>2088</v>
      </c>
    </row>
    <row r="1789" spans="1:14">
      <c r="A1789" s="1" t="s">
        <v>1801</v>
      </c>
      <c r="B1789" s="2">
        <v>45944</v>
      </c>
      <c r="C1789" s="1" t="s">
        <v>2014</v>
      </c>
      <c r="D1789" s="1" t="s">
        <v>2031</v>
      </c>
      <c r="E1789" s="1" t="s">
        <v>2047</v>
      </c>
      <c r="F1789" s="1" t="s">
        <v>2054</v>
      </c>
      <c r="G1789" s="1" t="s">
        <v>2063</v>
      </c>
      <c r="H1789" s="1" t="s">
        <v>2085</v>
      </c>
      <c r="I1789" s="1">
        <v>1</v>
      </c>
      <c r="J1789" s="1">
        <v>47684.59</v>
      </c>
      <c r="K1789" s="1">
        <v>6.22</v>
      </c>
      <c r="L1789" s="1">
        <v>44718.61</v>
      </c>
      <c r="M1789" s="1">
        <v>5166.46</v>
      </c>
      <c r="N1789" s="1" t="s">
        <v>2088</v>
      </c>
    </row>
    <row r="1790" spans="1:14">
      <c r="A1790" s="1" t="s">
        <v>1802</v>
      </c>
      <c r="B1790" s="2">
        <v>45944</v>
      </c>
      <c r="C1790" s="1" t="s">
        <v>2020</v>
      </c>
      <c r="D1790" s="1" t="s">
        <v>2032</v>
      </c>
      <c r="E1790" s="1" t="s">
        <v>2048</v>
      </c>
      <c r="F1790" s="1" t="s">
        <v>2052</v>
      </c>
      <c r="G1790" s="1" t="s">
        <v>2078</v>
      </c>
      <c r="H1790" s="1" t="s">
        <v>2085</v>
      </c>
      <c r="I1790" s="1">
        <v>9</v>
      </c>
      <c r="J1790" s="1">
        <v>6182.96</v>
      </c>
      <c r="K1790" s="1">
        <v>6.74</v>
      </c>
      <c r="L1790" s="1">
        <v>51896.06</v>
      </c>
      <c r="M1790" s="1">
        <v>10548.55</v>
      </c>
      <c r="N1790" s="1" t="s">
        <v>2092</v>
      </c>
    </row>
    <row r="1791" spans="1:14">
      <c r="A1791" s="1" t="s">
        <v>1803</v>
      </c>
      <c r="B1791" s="2">
        <v>45945</v>
      </c>
      <c r="C1791" s="1" t="s">
        <v>2027</v>
      </c>
      <c r="D1791" s="1" t="s">
        <v>2033</v>
      </c>
      <c r="E1791" s="1" t="s">
        <v>2047</v>
      </c>
      <c r="F1791" s="1" t="s">
        <v>2053</v>
      </c>
      <c r="G1791" s="1" t="s">
        <v>2060</v>
      </c>
      <c r="H1791" s="1" t="s">
        <v>2085</v>
      </c>
      <c r="I1791" s="1">
        <v>10</v>
      </c>
      <c r="J1791" s="1">
        <v>1436.72</v>
      </c>
      <c r="K1791" s="1">
        <v>4</v>
      </c>
      <c r="L1791" s="1">
        <v>13792.51</v>
      </c>
      <c r="M1791" s="1">
        <v>1680.81</v>
      </c>
      <c r="N1791" s="1" t="s">
        <v>2090</v>
      </c>
    </row>
    <row r="1792" spans="1:14">
      <c r="A1792" s="1" t="s">
        <v>1804</v>
      </c>
      <c r="B1792" s="2">
        <v>45945</v>
      </c>
      <c r="C1792" s="1" t="s">
        <v>2026</v>
      </c>
      <c r="D1792" s="1" t="s">
        <v>2034</v>
      </c>
      <c r="E1792" s="1" t="s">
        <v>2046</v>
      </c>
      <c r="F1792" s="1" t="s">
        <v>2049</v>
      </c>
      <c r="G1792" s="1" t="s">
        <v>2058</v>
      </c>
      <c r="H1792" s="1" t="s">
        <v>2086</v>
      </c>
      <c r="I1792" s="1">
        <v>3</v>
      </c>
      <c r="J1792" s="1">
        <v>1474.47</v>
      </c>
      <c r="K1792" s="1">
        <v>5.53</v>
      </c>
      <c r="L1792" s="1">
        <v>4178.8</v>
      </c>
      <c r="M1792" s="1">
        <v>723.11</v>
      </c>
      <c r="N1792" s="1" t="s">
        <v>2089</v>
      </c>
    </row>
    <row r="1793" spans="1:14">
      <c r="A1793" s="1" t="s">
        <v>1805</v>
      </c>
      <c r="B1793" s="2">
        <v>45946</v>
      </c>
      <c r="C1793" s="1" t="s">
        <v>2014</v>
      </c>
      <c r="D1793" s="1" t="s">
        <v>2035</v>
      </c>
      <c r="E1793" s="1" t="s">
        <v>2048</v>
      </c>
      <c r="F1793" s="1" t="s">
        <v>2052</v>
      </c>
      <c r="G1793" s="1" t="s">
        <v>2083</v>
      </c>
      <c r="H1793" s="1" t="s">
        <v>2087</v>
      </c>
      <c r="I1793" s="1">
        <v>2</v>
      </c>
      <c r="J1793" s="1">
        <v>1874.87</v>
      </c>
      <c r="K1793" s="1">
        <v>12.98</v>
      </c>
      <c r="L1793" s="1">
        <v>3263.02</v>
      </c>
      <c r="M1793" s="1">
        <v>453.8</v>
      </c>
      <c r="N1793" s="1" t="s">
        <v>2089</v>
      </c>
    </row>
    <row r="1794" spans="1:14">
      <c r="A1794" s="1" t="s">
        <v>1806</v>
      </c>
      <c r="B1794" s="2">
        <v>45946</v>
      </c>
      <c r="C1794" s="1" t="s">
        <v>2022</v>
      </c>
      <c r="D1794" s="1" t="s">
        <v>2036</v>
      </c>
      <c r="E1794" s="1" t="s">
        <v>2044</v>
      </c>
      <c r="F1794" s="1" t="s">
        <v>2053</v>
      </c>
      <c r="G1794" s="1" t="s">
        <v>2067</v>
      </c>
      <c r="H1794" s="1" t="s">
        <v>2087</v>
      </c>
      <c r="I1794" s="1">
        <v>10</v>
      </c>
      <c r="J1794" s="1">
        <v>936.87</v>
      </c>
      <c r="K1794" s="1">
        <v>12</v>
      </c>
      <c r="L1794" s="1">
        <v>8244.4599999999991</v>
      </c>
      <c r="M1794" s="1">
        <v>2254.9699999999998</v>
      </c>
      <c r="N1794" s="1" t="s">
        <v>2091</v>
      </c>
    </row>
    <row r="1795" spans="1:14">
      <c r="A1795" s="1" t="s">
        <v>1807</v>
      </c>
      <c r="B1795" s="2">
        <v>45946</v>
      </c>
      <c r="C1795" s="1" t="s">
        <v>2025</v>
      </c>
      <c r="D1795" s="1" t="s">
        <v>2037</v>
      </c>
      <c r="E1795" s="1" t="s">
        <v>2047</v>
      </c>
      <c r="F1795" s="1" t="s">
        <v>2053</v>
      </c>
      <c r="G1795" s="1" t="s">
        <v>2073</v>
      </c>
      <c r="H1795" s="1" t="s">
        <v>2085</v>
      </c>
      <c r="I1795" s="1">
        <v>6</v>
      </c>
      <c r="J1795" s="1">
        <v>510.54</v>
      </c>
      <c r="K1795" s="1">
        <v>25.81</v>
      </c>
      <c r="L1795" s="1">
        <v>2272.62</v>
      </c>
      <c r="M1795" s="1">
        <v>415.9</v>
      </c>
      <c r="N1795" s="1" t="s">
        <v>2091</v>
      </c>
    </row>
    <row r="1796" spans="1:14">
      <c r="A1796" s="1" t="s">
        <v>1808</v>
      </c>
      <c r="B1796" s="2">
        <v>45947</v>
      </c>
      <c r="C1796" s="1" t="s">
        <v>2026</v>
      </c>
      <c r="D1796" s="1" t="s">
        <v>2038</v>
      </c>
      <c r="E1796" s="1" t="s">
        <v>2044</v>
      </c>
      <c r="F1796" s="1" t="s">
        <v>2049</v>
      </c>
      <c r="G1796" s="1" t="s">
        <v>2082</v>
      </c>
      <c r="H1796" s="1" t="s">
        <v>2085</v>
      </c>
      <c r="I1796" s="1">
        <v>6</v>
      </c>
      <c r="J1796" s="1">
        <v>1123.56</v>
      </c>
      <c r="K1796" s="1">
        <v>1.85</v>
      </c>
      <c r="L1796" s="1">
        <v>6616.64</v>
      </c>
      <c r="M1796" s="1">
        <v>1740.71</v>
      </c>
      <c r="N1796" s="1" t="s">
        <v>2090</v>
      </c>
    </row>
    <row r="1797" spans="1:14">
      <c r="A1797" s="1" t="s">
        <v>1809</v>
      </c>
      <c r="B1797" s="2">
        <v>45947</v>
      </c>
      <c r="C1797" s="1" t="s">
        <v>2015</v>
      </c>
      <c r="D1797" s="1" t="s">
        <v>2039</v>
      </c>
      <c r="E1797" s="1" t="s">
        <v>2046</v>
      </c>
      <c r="F1797" s="1" t="s">
        <v>2053</v>
      </c>
      <c r="G1797" s="1" t="s">
        <v>2076</v>
      </c>
      <c r="H1797" s="1" t="s">
        <v>2087</v>
      </c>
      <c r="I1797" s="1">
        <v>6</v>
      </c>
      <c r="J1797" s="1">
        <v>1940.14</v>
      </c>
      <c r="K1797" s="1">
        <v>20.12</v>
      </c>
      <c r="L1797" s="1">
        <v>9298.7000000000007</v>
      </c>
      <c r="M1797" s="1">
        <v>580.20000000000005</v>
      </c>
      <c r="N1797" s="1" t="s">
        <v>2089</v>
      </c>
    </row>
    <row r="1798" spans="1:14">
      <c r="A1798" s="1" t="s">
        <v>1810</v>
      </c>
      <c r="B1798" s="2">
        <v>45947</v>
      </c>
      <c r="C1798" s="1" t="s">
        <v>2021</v>
      </c>
      <c r="D1798" s="1" t="s">
        <v>2040</v>
      </c>
      <c r="E1798" s="1" t="s">
        <v>2048</v>
      </c>
      <c r="F1798" s="1" t="s">
        <v>2051</v>
      </c>
      <c r="G1798" s="1" t="s">
        <v>2057</v>
      </c>
      <c r="H1798" s="1" t="s">
        <v>2087</v>
      </c>
      <c r="I1798" s="1">
        <v>2</v>
      </c>
      <c r="J1798" s="1">
        <v>32405.87</v>
      </c>
      <c r="K1798" s="1">
        <v>4.18</v>
      </c>
      <c r="L1798" s="1">
        <v>62102.61</v>
      </c>
      <c r="M1798" s="1">
        <v>9605.17</v>
      </c>
      <c r="N1798" s="1" t="s">
        <v>2092</v>
      </c>
    </row>
    <row r="1799" spans="1:14">
      <c r="A1799" s="1" t="s">
        <v>1811</v>
      </c>
      <c r="B1799" s="2">
        <v>45948</v>
      </c>
      <c r="C1799" s="1" t="s">
        <v>2024</v>
      </c>
      <c r="D1799" s="1" t="s">
        <v>2041</v>
      </c>
      <c r="E1799" s="1" t="s">
        <v>2045</v>
      </c>
      <c r="F1799" s="1" t="s">
        <v>2049</v>
      </c>
      <c r="G1799" s="1" t="s">
        <v>2074</v>
      </c>
      <c r="H1799" s="1" t="s">
        <v>2085</v>
      </c>
      <c r="I1799" s="1">
        <v>5</v>
      </c>
      <c r="J1799" s="1">
        <v>1245.42</v>
      </c>
      <c r="K1799" s="1">
        <v>1.2</v>
      </c>
      <c r="L1799" s="1">
        <v>6152.37</v>
      </c>
      <c r="M1799" s="1">
        <v>1592.26</v>
      </c>
      <c r="N1799" s="1" t="s">
        <v>2088</v>
      </c>
    </row>
    <row r="1800" spans="1:14">
      <c r="A1800" s="1" t="s">
        <v>1812</v>
      </c>
      <c r="B1800" s="2">
        <v>45948</v>
      </c>
      <c r="C1800" s="1" t="s">
        <v>2020</v>
      </c>
      <c r="D1800" s="1" t="s">
        <v>2042</v>
      </c>
      <c r="E1800" s="1" t="s">
        <v>2046</v>
      </c>
      <c r="F1800" s="1" t="s">
        <v>2052</v>
      </c>
      <c r="G1800" s="1" t="s">
        <v>2059</v>
      </c>
      <c r="H1800" s="1" t="s">
        <v>2086</v>
      </c>
      <c r="I1800" s="1">
        <v>3</v>
      </c>
      <c r="J1800" s="1">
        <v>6243.95</v>
      </c>
      <c r="K1800" s="1">
        <v>9.56</v>
      </c>
      <c r="L1800" s="1">
        <v>16941.09</v>
      </c>
      <c r="M1800" s="1">
        <v>3715.02</v>
      </c>
      <c r="N1800" s="1" t="s">
        <v>2092</v>
      </c>
    </row>
    <row r="1801" spans="1:14">
      <c r="A1801" s="1" t="s">
        <v>1813</v>
      </c>
      <c r="B1801" s="2">
        <v>45948</v>
      </c>
      <c r="C1801" s="1" t="s">
        <v>2016</v>
      </c>
      <c r="D1801" s="1" t="s">
        <v>2043</v>
      </c>
      <c r="E1801" s="1" t="s">
        <v>2044</v>
      </c>
      <c r="F1801" s="1" t="s">
        <v>2053</v>
      </c>
      <c r="G1801" s="1" t="s">
        <v>2073</v>
      </c>
      <c r="H1801" s="1" t="s">
        <v>2085</v>
      </c>
      <c r="I1801" s="1">
        <v>3</v>
      </c>
      <c r="J1801" s="1">
        <v>776.94</v>
      </c>
      <c r="K1801" s="1">
        <v>20.69</v>
      </c>
      <c r="L1801" s="1">
        <v>1848.57</v>
      </c>
      <c r="M1801" s="1">
        <v>511.45</v>
      </c>
      <c r="N1801" s="1" t="s">
        <v>2089</v>
      </c>
    </row>
    <row r="1802" spans="1:14">
      <c r="A1802" s="1" t="s">
        <v>1814</v>
      </c>
      <c r="B1802" s="2">
        <v>45949</v>
      </c>
      <c r="C1802" s="1" t="s">
        <v>2026</v>
      </c>
      <c r="D1802" s="1" t="s">
        <v>2029</v>
      </c>
      <c r="E1802" s="1" t="s">
        <v>2046</v>
      </c>
      <c r="F1802" s="1" t="s">
        <v>2054</v>
      </c>
      <c r="G1802" s="1" t="s">
        <v>2063</v>
      </c>
      <c r="H1802" s="1" t="s">
        <v>2085</v>
      </c>
      <c r="I1802" s="1">
        <v>6</v>
      </c>
      <c r="J1802" s="1">
        <v>8723.1</v>
      </c>
      <c r="K1802" s="1">
        <v>6.93</v>
      </c>
      <c r="L1802" s="1">
        <v>48711.54</v>
      </c>
      <c r="M1802" s="1">
        <v>7235.74</v>
      </c>
      <c r="N1802" s="1" t="s">
        <v>2089</v>
      </c>
    </row>
    <row r="1803" spans="1:14">
      <c r="A1803" s="1" t="s">
        <v>1815</v>
      </c>
      <c r="B1803" s="2">
        <v>45949</v>
      </c>
      <c r="C1803" s="1" t="s">
        <v>2015</v>
      </c>
      <c r="D1803" s="1" t="s">
        <v>2030</v>
      </c>
      <c r="E1803" s="1" t="s">
        <v>2048</v>
      </c>
      <c r="F1803" s="1" t="s">
        <v>2050</v>
      </c>
      <c r="G1803" s="1" t="s">
        <v>2056</v>
      </c>
      <c r="H1803" s="1" t="s">
        <v>2085</v>
      </c>
      <c r="I1803" s="1">
        <v>4</v>
      </c>
      <c r="J1803" s="1">
        <v>396.62</v>
      </c>
      <c r="K1803" s="1">
        <v>21.82</v>
      </c>
      <c r="L1803" s="1">
        <v>1240.31</v>
      </c>
      <c r="M1803" s="1">
        <v>157.88999999999999</v>
      </c>
      <c r="N1803" s="1" t="s">
        <v>2090</v>
      </c>
    </row>
    <row r="1804" spans="1:14">
      <c r="A1804" s="1" t="s">
        <v>1816</v>
      </c>
      <c r="B1804" s="2">
        <v>45950</v>
      </c>
      <c r="C1804" s="1" t="s">
        <v>2025</v>
      </c>
      <c r="D1804" s="1" t="s">
        <v>2031</v>
      </c>
      <c r="E1804" s="1" t="s">
        <v>2045</v>
      </c>
      <c r="F1804" s="1" t="s">
        <v>2052</v>
      </c>
      <c r="G1804" s="1" t="s">
        <v>2078</v>
      </c>
      <c r="H1804" s="1" t="s">
        <v>2086</v>
      </c>
      <c r="I1804" s="1">
        <v>3</v>
      </c>
      <c r="J1804" s="1">
        <v>3735.91</v>
      </c>
      <c r="K1804" s="1">
        <v>24.79</v>
      </c>
      <c r="L1804" s="1">
        <v>8429.33</v>
      </c>
      <c r="M1804" s="1">
        <v>1374.27</v>
      </c>
      <c r="N1804" s="1" t="s">
        <v>2091</v>
      </c>
    </row>
    <row r="1805" spans="1:14">
      <c r="A1805" s="1" t="s">
        <v>1817</v>
      </c>
      <c r="B1805" s="2">
        <v>45950</v>
      </c>
      <c r="C1805" s="1" t="s">
        <v>2028</v>
      </c>
      <c r="D1805" s="1" t="s">
        <v>2032</v>
      </c>
      <c r="E1805" s="1" t="s">
        <v>2045</v>
      </c>
      <c r="F1805" s="1" t="s">
        <v>2052</v>
      </c>
      <c r="G1805" s="1" t="s">
        <v>2083</v>
      </c>
      <c r="H1805" s="1" t="s">
        <v>2085</v>
      </c>
      <c r="I1805" s="1">
        <v>1</v>
      </c>
      <c r="J1805" s="1">
        <v>6193.01</v>
      </c>
      <c r="K1805" s="1">
        <v>7.18</v>
      </c>
      <c r="L1805" s="1">
        <v>5748.35</v>
      </c>
      <c r="M1805" s="1">
        <v>1533.95</v>
      </c>
      <c r="N1805" s="1" t="s">
        <v>2092</v>
      </c>
    </row>
    <row r="1806" spans="1:14">
      <c r="A1806" s="1" t="s">
        <v>1818</v>
      </c>
      <c r="B1806" s="2">
        <v>45950</v>
      </c>
      <c r="C1806" s="1" t="s">
        <v>2025</v>
      </c>
      <c r="D1806" s="1" t="s">
        <v>2033</v>
      </c>
      <c r="E1806" s="1" t="s">
        <v>2048</v>
      </c>
      <c r="F1806" s="1" t="s">
        <v>2050</v>
      </c>
      <c r="G1806" s="1" t="s">
        <v>2056</v>
      </c>
      <c r="H1806" s="1" t="s">
        <v>2087</v>
      </c>
      <c r="I1806" s="1">
        <v>4</v>
      </c>
      <c r="J1806" s="1">
        <v>4917.2299999999996</v>
      </c>
      <c r="K1806" s="1">
        <v>17</v>
      </c>
      <c r="L1806" s="1">
        <v>16325.2</v>
      </c>
      <c r="M1806" s="1">
        <v>3486.12</v>
      </c>
      <c r="N1806" s="1" t="s">
        <v>2090</v>
      </c>
    </row>
    <row r="1807" spans="1:14">
      <c r="A1807" s="1" t="s">
        <v>1819</v>
      </c>
      <c r="B1807" s="2">
        <v>45951</v>
      </c>
      <c r="C1807" s="1" t="s">
        <v>2016</v>
      </c>
      <c r="D1807" s="1" t="s">
        <v>2034</v>
      </c>
      <c r="E1807" s="1" t="s">
        <v>2048</v>
      </c>
      <c r="F1807" s="1" t="s">
        <v>2054</v>
      </c>
      <c r="G1807" s="1" t="s">
        <v>2079</v>
      </c>
      <c r="H1807" s="1" t="s">
        <v>2085</v>
      </c>
      <c r="I1807" s="1">
        <v>10</v>
      </c>
      <c r="J1807" s="1">
        <v>45873.45</v>
      </c>
      <c r="K1807" s="1">
        <v>13.28</v>
      </c>
      <c r="L1807" s="1">
        <v>397814.56</v>
      </c>
      <c r="M1807" s="1">
        <v>74748.11</v>
      </c>
      <c r="N1807" s="1" t="s">
        <v>2092</v>
      </c>
    </row>
    <row r="1808" spans="1:14">
      <c r="A1808" s="1" t="s">
        <v>1820</v>
      </c>
      <c r="B1808" s="2">
        <v>45951</v>
      </c>
      <c r="C1808" s="1" t="s">
        <v>2022</v>
      </c>
      <c r="D1808" s="1" t="s">
        <v>2035</v>
      </c>
      <c r="E1808" s="1" t="s">
        <v>2048</v>
      </c>
      <c r="F1808" s="1" t="s">
        <v>2051</v>
      </c>
      <c r="G1808" s="1" t="s">
        <v>2077</v>
      </c>
      <c r="H1808" s="1" t="s">
        <v>2087</v>
      </c>
      <c r="I1808" s="1">
        <v>8</v>
      </c>
      <c r="J1808" s="1">
        <v>6814.5</v>
      </c>
      <c r="K1808" s="1">
        <v>29.55</v>
      </c>
      <c r="L1808" s="1">
        <v>38406.519999999997</v>
      </c>
      <c r="M1808" s="1">
        <v>10458.92</v>
      </c>
      <c r="N1808" s="1" t="s">
        <v>2091</v>
      </c>
    </row>
    <row r="1809" spans="1:14">
      <c r="A1809" s="1" t="s">
        <v>1821</v>
      </c>
      <c r="B1809" s="2">
        <v>45951</v>
      </c>
      <c r="C1809" s="1" t="s">
        <v>2017</v>
      </c>
      <c r="D1809" s="1" t="s">
        <v>2036</v>
      </c>
      <c r="E1809" s="1" t="s">
        <v>2048</v>
      </c>
      <c r="F1809" s="1" t="s">
        <v>2052</v>
      </c>
      <c r="G1809" s="1" t="s">
        <v>2078</v>
      </c>
      <c r="H1809" s="1" t="s">
        <v>2085</v>
      </c>
      <c r="I1809" s="1">
        <v>4</v>
      </c>
      <c r="J1809" s="1">
        <v>7053.84</v>
      </c>
      <c r="K1809" s="1">
        <v>10.25</v>
      </c>
      <c r="L1809" s="1">
        <v>25323.29</v>
      </c>
      <c r="M1809" s="1">
        <v>4008.53</v>
      </c>
      <c r="N1809" s="1" t="s">
        <v>2089</v>
      </c>
    </row>
    <row r="1810" spans="1:14">
      <c r="A1810" s="1" t="s">
        <v>1822</v>
      </c>
      <c r="B1810" s="2">
        <v>45952</v>
      </c>
      <c r="C1810" s="1" t="s">
        <v>2018</v>
      </c>
      <c r="D1810" s="1" t="s">
        <v>2037</v>
      </c>
      <c r="E1810" s="1" t="s">
        <v>2046</v>
      </c>
      <c r="F1810" s="1" t="s">
        <v>2051</v>
      </c>
      <c r="G1810" s="1" t="s">
        <v>2061</v>
      </c>
      <c r="H1810" s="1" t="s">
        <v>2085</v>
      </c>
      <c r="I1810" s="1">
        <v>6</v>
      </c>
      <c r="J1810" s="1">
        <v>2656.37</v>
      </c>
      <c r="K1810" s="1">
        <v>13.88</v>
      </c>
      <c r="L1810" s="1">
        <v>13726</v>
      </c>
      <c r="M1810" s="1">
        <v>2123.9</v>
      </c>
      <c r="N1810" s="1" t="s">
        <v>2089</v>
      </c>
    </row>
    <row r="1811" spans="1:14">
      <c r="A1811" s="1" t="s">
        <v>1823</v>
      </c>
      <c r="B1811" s="2">
        <v>45952</v>
      </c>
      <c r="C1811" s="1" t="s">
        <v>2019</v>
      </c>
      <c r="D1811" s="1" t="s">
        <v>2038</v>
      </c>
      <c r="E1811" s="1" t="s">
        <v>2047</v>
      </c>
      <c r="F1811" s="1" t="s">
        <v>2052</v>
      </c>
      <c r="G1811" s="1" t="s">
        <v>2059</v>
      </c>
      <c r="H1811" s="1" t="s">
        <v>2086</v>
      </c>
      <c r="I1811" s="1">
        <v>9</v>
      </c>
      <c r="J1811" s="1">
        <v>5991.67</v>
      </c>
      <c r="K1811" s="1">
        <v>2.69</v>
      </c>
      <c r="L1811" s="1">
        <v>52474.45</v>
      </c>
      <c r="M1811" s="1">
        <v>12251</v>
      </c>
      <c r="N1811" s="1" t="s">
        <v>2088</v>
      </c>
    </row>
    <row r="1812" spans="1:14">
      <c r="A1812" s="1" t="s">
        <v>1824</v>
      </c>
      <c r="B1812" s="2">
        <v>45952</v>
      </c>
      <c r="C1812" s="1" t="s">
        <v>2022</v>
      </c>
      <c r="D1812" s="1" t="s">
        <v>2039</v>
      </c>
      <c r="E1812" s="1" t="s">
        <v>2044</v>
      </c>
      <c r="F1812" s="1" t="s">
        <v>2050</v>
      </c>
      <c r="G1812" s="1" t="s">
        <v>2064</v>
      </c>
      <c r="H1812" s="1" t="s">
        <v>2085</v>
      </c>
      <c r="I1812" s="1">
        <v>8</v>
      </c>
      <c r="J1812" s="1">
        <v>1941.36</v>
      </c>
      <c r="K1812" s="1">
        <v>3.5</v>
      </c>
      <c r="L1812" s="1">
        <v>14987.3</v>
      </c>
      <c r="M1812" s="1">
        <v>2305.77</v>
      </c>
      <c r="N1812" s="1" t="s">
        <v>2088</v>
      </c>
    </row>
    <row r="1813" spans="1:14">
      <c r="A1813" s="1" t="s">
        <v>1825</v>
      </c>
      <c r="B1813" s="2">
        <v>45953</v>
      </c>
      <c r="C1813" s="1" t="s">
        <v>2018</v>
      </c>
      <c r="D1813" s="1" t="s">
        <v>2040</v>
      </c>
      <c r="E1813" s="1" t="s">
        <v>2047</v>
      </c>
      <c r="F1813" s="1" t="s">
        <v>2054</v>
      </c>
      <c r="G1813" s="1" t="s">
        <v>2063</v>
      </c>
      <c r="H1813" s="1" t="s">
        <v>2087</v>
      </c>
      <c r="I1813" s="1">
        <v>1</v>
      </c>
      <c r="J1813" s="1">
        <v>61551.040000000001</v>
      </c>
      <c r="K1813" s="1">
        <v>25.59</v>
      </c>
      <c r="L1813" s="1">
        <v>45800.13</v>
      </c>
      <c r="M1813" s="1">
        <v>11208.35</v>
      </c>
      <c r="N1813" s="1" t="s">
        <v>2089</v>
      </c>
    </row>
    <row r="1814" spans="1:14">
      <c r="A1814" s="1" t="s">
        <v>1826</v>
      </c>
      <c r="B1814" s="2">
        <v>45953</v>
      </c>
      <c r="C1814" s="1" t="s">
        <v>2019</v>
      </c>
      <c r="D1814" s="1" t="s">
        <v>2041</v>
      </c>
      <c r="E1814" s="1" t="s">
        <v>2045</v>
      </c>
      <c r="F1814" s="1" t="s">
        <v>2051</v>
      </c>
      <c r="G1814" s="1" t="s">
        <v>2069</v>
      </c>
      <c r="H1814" s="1" t="s">
        <v>2085</v>
      </c>
      <c r="I1814" s="1">
        <v>4</v>
      </c>
      <c r="J1814" s="1">
        <v>14697.1</v>
      </c>
      <c r="K1814" s="1">
        <v>0.62</v>
      </c>
      <c r="L1814" s="1">
        <v>58423.91</v>
      </c>
      <c r="M1814" s="1">
        <v>17190.18</v>
      </c>
      <c r="N1814" s="1" t="s">
        <v>2089</v>
      </c>
    </row>
    <row r="1815" spans="1:14">
      <c r="A1815" s="1" t="s">
        <v>1827</v>
      </c>
      <c r="B1815" s="2">
        <v>45954</v>
      </c>
      <c r="C1815" s="1" t="s">
        <v>2028</v>
      </c>
      <c r="D1815" s="1" t="s">
        <v>2042</v>
      </c>
      <c r="E1815" s="1" t="s">
        <v>2044</v>
      </c>
      <c r="F1815" s="1" t="s">
        <v>2049</v>
      </c>
      <c r="G1815" s="1" t="s">
        <v>2055</v>
      </c>
      <c r="H1815" s="1" t="s">
        <v>2085</v>
      </c>
      <c r="I1815" s="1">
        <v>3</v>
      </c>
      <c r="J1815" s="1">
        <v>1419.89</v>
      </c>
      <c r="K1815" s="1">
        <v>15.48</v>
      </c>
      <c r="L1815" s="1">
        <v>3600.27</v>
      </c>
      <c r="M1815" s="1">
        <v>479.52</v>
      </c>
      <c r="N1815" s="1" t="s">
        <v>2091</v>
      </c>
    </row>
    <row r="1816" spans="1:14">
      <c r="A1816" s="1" t="s">
        <v>1828</v>
      </c>
      <c r="B1816" s="2">
        <v>45954</v>
      </c>
      <c r="C1816" s="1" t="s">
        <v>2019</v>
      </c>
      <c r="D1816" s="1" t="s">
        <v>2043</v>
      </c>
      <c r="E1816" s="1" t="s">
        <v>2047</v>
      </c>
      <c r="F1816" s="1" t="s">
        <v>2054</v>
      </c>
      <c r="G1816" s="1" t="s">
        <v>2079</v>
      </c>
      <c r="H1816" s="1" t="s">
        <v>2087</v>
      </c>
      <c r="I1816" s="1">
        <v>7</v>
      </c>
      <c r="J1816" s="1">
        <v>46175.75</v>
      </c>
      <c r="K1816" s="1">
        <v>9.4600000000000009</v>
      </c>
      <c r="L1816" s="1">
        <v>292652.67</v>
      </c>
      <c r="M1816" s="1">
        <v>52162.47</v>
      </c>
      <c r="N1816" s="1" t="s">
        <v>2089</v>
      </c>
    </row>
    <row r="1817" spans="1:14">
      <c r="A1817" s="1" t="s">
        <v>1829</v>
      </c>
      <c r="B1817" s="2">
        <v>45954</v>
      </c>
      <c r="C1817" s="1" t="s">
        <v>2018</v>
      </c>
      <c r="D1817" s="1" t="s">
        <v>2029</v>
      </c>
      <c r="E1817" s="1" t="s">
        <v>2047</v>
      </c>
      <c r="F1817" s="1" t="s">
        <v>2049</v>
      </c>
      <c r="G1817" s="1" t="s">
        <v>2071</v>
      </c>
      <c r="H1817" s="1" t="s">
        <v>2087</v>
      </c>
      <c r="I1817" s="1">
        <v>8</v>
      </c>
      <c r="J1817" s="1">
        <v>101.9</v>
      </c>
      <c r="K1817" s="1">
        <v>8.0399999999999991</v>
      </c>
      <c r="L1817" s="1">
        <v>749.66</v>
      </c>
      <c r="M1817" s="1">
        <v>107.84</v>
      </c>
      <c r="N1817" s="1" t="s">
        <v>2090</v>
      </c>
    </row>
    <row r="1818" spans="1:14">
      <c r="A1818" s="1" t="s">
        <v>1830</v>
      </c>
      <c r="B1818" s="2">
        <v>45955</v>
      </c>
      <c r="C1818" s="1" t="s">
        <v>2016</v>
      </c>
      <c r="D1818" s="1" t="s">
        <v>2030</v>
      </c>
      <c r="E1818" s="1" t="s">
        <v>2046</v>
      </c>
      <c r="F1818" s="1" t="s">
        <v>2053</v>
      </c>
      <c r="G1818" s="1" t="s">
        <v>2062</v>
      </c>
      <c r="H1818" s="1" t="s">
        <v>2085</v>
      </c>
      <c r="I1818" s="1">
        <v>5</v>
      </c>
      <c r="J1818" s="1">
        <v>624.25</v>
      </c>
      <c r="K1818" s="1">
        <v>16.27</v>
      </c>
      <c r="L1818" s="1">
        <v>2613.42</v>
      </c>
      <c r="M1818" s="1">
        <v>373.14</v>
      </c>
      <c r="N1818" s="1" t="s">
        <v>2090</v>
      </c>
    </row>
    <row r="1819" spans="1:14">
      <c r="A1819" s="1" t="s">
        <v>1831</v>
      </c>
      <c r="B1819" s="2">
        <v>45955</v>
      </c>
      <c r="C1819" s="1" t="s">
        <v>2028</v>
      </c>
      <c r="D1819" s="1" t="s">
        <v>2031</v>
      </c>
      <c r="E1819" s="1" t="s">
        <v>2048</v>
      </c>
      <c r="F1819" s="1" t="s">
        <v>2052</v>
      </c>
      <c r="G1819" s="1" t="s">
        <v>2072</v>
      </c>
      <c r="H1819" s="1" t="s">
        <v>2086</v>
      </c>
      <c r="I1819" s="1">
        <v>4</v>
      </c>
      <c r="J1819" s="1">
        <v>5261.82</v>
      </c>
      <c r="K1819" s="1">
        <v>14.53</v>
      </c>
      <c r="L1819" s="1">
        <v>17989.11</v>
      </c>
      <c r="M1819" s="1">
        <v>2891.71</v>
      </c>
      <c r="N1819" s="1" t="s">
        <v>2088</v>
      </c>
    </row>
    <row r="1820" spans="1:14">
      <c r="A1820" s="1" t="s">
        <v>1832</v>
      </c>
      <c r="B1820" s="2">
        <v>45955</v>
      </c>
      <c r="C1820" s="1" t="s">
        <v>2025</v>
      </c>
      <c r="D1820" s="1" t="s">
        <v>2032</v>
      </c>
      <c r="E1820" s="1" t="s">
        <v>2044</v>
      </c>
      <c r="F1820" s="1" t="s">
        <v>2049</v>
      </c>
      <c r="G1820" s="1" t="s">
        <v>2055</v>
      </c>
      <c r="H1820" s="1" t="s">
        <v>2086</v>
      </c>
      <c r="I1820" s="1">
        <v>7</v>
      </c>
      <c r="J1820" s="1">
        <v>454.45</v>
      </c>
      <c r="K1820" s="1">
        <v>16.149999999999999</v>
      </c>
      <c r="L1820" s="1">
        <v>2667.39</v>
      </c>
      <c r="M1820" s="1">
        <v>230.66</v>
      </c>
      <c r="N1820" s="1" t="s">
        <v>2092</v>
      </c>
    </row>
    <row r="1821" spans="1:14">
      <c r="A1821" s="1" t="s">
        <v>1833</v>
      </c>
      <c r="B1821" s="2">
        <v>45956</v>
      </c>
      <c r="C1821" s="1" t="s">
        <v>2019</v>
      </c>
      <c r="D1821" s="1" t="s">
        <v>2033</v>
      </c>
      <c r="E1821" s="1" t="s">
        <v>2047</v>
      </c>
      <c r="F1821" s="1" t="s">
        <v>2051</v>
      </c>
      <c r="G1821" s="1" t="s">
        <v>2061</v>
      </c>
      <c r="H1821" s="1" t="s">
        <v>2086</v>
      </c>
      <c r="I1821" s="1">
        <v>4</v>
      </c>
      <c r="J1821" s="1">
        <v>25435.31</v>
      </c>
      <c r="K1821" s="1">
        <v>2.44</v>
      </c>
      <c r="L1821" s="1">
        <v>99258.75</v>
      </c>
      <c r="M1821" s="1">
        <v>26809.03</v>
      </c>
      <c r="N1821" s="1" t="s">
        <v>2092</v>
      </c>
    </row>
    <row r="1822" spans="1:14">
      <c r="A1822" s="1" t="s">
        <v>1834</v>
      </c>
      <c r="B1822" s="2">
        <v>45956</v>
      </c>
      <c r="C1822" s="1" t="s">
        <v>2023</v>
      </c>
      <c r="D1822" s="1" t="s">
        <v>2034</v>
      </c>
      <c r="E1822" s="1" t="s">
        <v>2044</v>
      </c>
      <c r="F1822" s="1" t="s">
        <v>2049</v>
      </c>
      <c r="G1822" s="1" t="s">
        <v>2058</v>
      </c>
      <c r="H1822" s="1" t="s">
        <v>2087</v>
      </c>
      <c r="I1822" s="1">
        <v>1</v>
      </c>
      <c r="J1822" s="1">
        <v>2623.94</v>
      </c>
      <c r="K1822" s="1">
        <v>15.74</v>
      </c>
      <c r="L1822" s="1">
        <v>2210.9299999999998</v>
      </c>
      <c r="M1822" s="1">
        <v>122.84</v>
      </c>
      <c r="N1822" s="1" t="s">
        <v>2089</v>
      </c>
    </row>
    <row r="1823" spans="1:14">
      <c r="A1823" s="1" t="s">
        <v>1835</v>
      </c>
      <c r="B1823" s="2">
        <v>45956</v>
      </c>
      <c r="C1823" s="1" t="s">
        <v>2020</v>
      </c>
      <c r="D1823" s="1" t="s">
        <v>2035</v>
      </c>
      <c r="E1823" s="1" t="s">
        <v>2046</v>
      </c>
      <c r="F1823" s="1" t="s">
        <v>2052</v>
      </c>
      <c r="G1823" s="1" t="s">
        <v>2078</v>
      </c>
      <c r="H1823" s="1" t="s">
        <v>2086</v>
      </c>
      <c r="I1823" s="1">
        <v>4</v>
      </c>
      <c r="J1823" s="1">
        <v>9551.4699999999993</v>
      </c>
      <c r="K1823" s="1">
        <v>11.14</v>
      </c>
      <c r="L1823" s="1">
        <v>33949.74</v>
      </c>
      <c r="M1823" s="1">
        <v>8736.9699999999993</v>
      </c>
      <c r="N1823" s="1" t="s">
        <v>2090</v>
      </c>
    </row>
    <row r="1824" spans="1:14">
      <c r="A1824" s="1" t="s">
        <v>1836</v>
      </c>
      <c r="B1824" s="2">
        <v>45957</v>
      </c>
      <c r="C1824" s="1" t="s">
        <v>2027</v>
      </c>
      <c r="D1824" s="1" t="s">
        <v>2036</v>
      </c>
      <c r="E1824" s="1" t="s">
        <v>2046</v>
      </c>
      <c r="F1824" s="1" t="s">
        <v>2052</v>
      </c>
      <c r="G1824" s="1" t="s">
        <v>2065</v>
      </c>
      <c r="H1824" s="1" t="s">
        <v>2087</v>
      </c>
      <c r="I1824" s="1">
        <v>4</v>
      </c>
      <c r="J1824" s="1">
        <v>3953.08</v>
      </c>
      <c r="K1824" s="1">
        <v>6.11</v>
      </c>
      <c r="L1824" s="1">
        <v>14846.19</v>
      </c>
      <c r="M1824" s="1">
        <v>3132.54</v>
      </c>
      <c r="N1824" s="1" t="s">
        <v>2091</v>
      </c>
    </row>
    <row r="1825" spans="1:14">
      <c r="A1825" s="1" t="s">
        <v>1837</v>
      </c>
      <c r="B1825" s="2">
        <v>45957</v>
      </c>
      <c r="C1825" s="1" t="s">
        <v>2027</v>
      </c>
      <c r="D1825" s="1" t="s">
        <v>2037</v>
      </c>
      <c r="E1825" s="1" t="s">
        <v>2046</v>
      </c>
      <c r="F1825" s="1" t="s">
        <v>2052</v>
      </c>
      <c r="G1825" s="1" t="s">
        <v>2065</v>
      </c>
      <c r="H1825" s="1" t="s">
        <v>2086</v>
      </c>
      <c r="I1825" s="1">
        <v>1</v>
      </c>
      <c r="J1825" s="1">
        <v>5158.8500000000004</v>
      </c>
      <c r="K1825" s="1">
        <v>16.309999999999999</v>
      </c>
      <c r="L1825" s="1">
        <v>4317.4399999999996</v>
      </c>
      <c r="M1825" s="1">
        <v>724.96</v>
      </c>
      <c r="N1825" s="1" t="s">
        <v>2089</v>
      </c>
    </row>
    <row r="1826" spans="1:14">
      <c r="A1826" s="1" t="s">
        <v>1838</v>
      </c>
      <c r="B1826" s="2">
        <v>45958</v>
      </c>
      <c r="C1826" s="1" t="s">
        <v>2023</v>
      </c>
      <c r="D1826" s="1" t="s">
        <v>2038</v>
      </c>
      <c r="E1826" s="1" t="s">
        <v>2044</v>
      </c>
      <c r="F1826" s="1" t="s">
        <v>2053</v>
      </c>
      <c r="G1826" s="1" t="s">
        <v>2076</v>
      </c>
      <c r="H1826" s="1" t="s">
        <v>2087</v>
      </c>
      <c r="I1826" s="1">
        <v>8</v>
      </c>
      <c r="J1826" s="1">
        <v>837.5</v>
      </c>
      <c r="K1826" s="1">
        <v>16.010000000000002</v>
      </c>
      <c r="L1826" s="1">
        <v>5627.33</v>
      </c>
      <c r="M1826" s="1">
        <v>470.3</v>
      </c>
      <c r="N1826" s="1" t="s">
        <v>2090</v>
      </c>
    </row>
    <row r="1827" spans="1:14">
      <c r="A1827" s="1" t="s">
        <v>1839</v>
      </c>
      <c r="B1827" s="2">
        <v>45958</v>
      </c>
      <c r="C1827" s="1" t="s">
        <v>2024</v>
      </c>
      <c r="D1827" s="1" t="s">
        <v>2039</v>
      </c>
      <c r="E1827" s="1" t="s">
        <v>2048</v>
      </c>
      <c r="F1827" s="1" t="s">
        <v>2053</v>
      </c>
      <c r="G1827" s="1" t="s">
        <v>2062</v>
      </c>
      <c r="H1827" s="1" t="s">
        <v>2087</v>
      </c>
      <c r="I1827" s="1">
        <v>2</v>
      </c>
      <c r="J1827" s="1">
        <v>702.67</v>
      </c>
      <c r="K1827" s="1">
        <v>27.47</v>
      </c>
      <c r="L1827" s="1">
        <v>1019.29</v>
      </c>
      <c r="M1827" s="1">
        <v>268.2</v>
      </c>
      <c r="N1827" s="1" t="s">
        <v>2092</v>
      </c>
    </row>
    <row r="1828" spans="1:14">
      <c r="A1828" s="1" t="s">
        <v>1840</v>
      </c>
      <c r="B1828" s="2">
        <v>45958</v>
      </c>
      <c r="C1828" s="1" t="s">
        <v>2028</v>
      </c>
      <c r="D1828" s="1" t="s">
        <v>2040</v>
      </c>
      <c r="E1828" s="1" t="s">
        <v>2045</v>
      </c>
      <c r="F1828" s="1" t="s">
        <v>2050</v>
      </c>
      <c r="G1828" s="1" t="s">
        <v>2075</v>
      </c>
      <c r="H1828" s="1" t="s">
        <v>2086</v>
      </c>
      <c r="I1828" s="1">
        <v>5</v>
      </c>
      <c r="J1828" s="1">
        <v>1121.24</v>
      </c>
      <c r="K1828" s="1">
        <v>28.93</v>
      </c>
      <c r="L1828" s="1">
        <v>3984.33</v>
      </c>
      <c r="M1828" s="1">
        <v>770.26</v>
      </c>
      <c r="N1828" s="1" t="s">
        <v>2092</v>
      </c>
    </row>
    <row r="1829" spans="1:14">
      <c r="A1829" s="1" t="s">
        <v>1841</v>
      </c>
      <c r="B1829" s="2">
        <v>45959</v>
      </c>
      <c r="C1829" s="1" t="s">
        <v>2025</v>
      </c>
      <c r="D1829" s="1" t="s">
        <v>2041</v>
      </c>
      <c r="E1829" s="1" t="s">
        <v>2046</v>
      </c>
      <c r="F1829" s="1" t="s">
        <v>2052</v>
      </c>
      <c r="G1829" s="1" t="s">
        <v>2059</v>
      </c>
      <c r="H1829" s="1" t="s">
        <v>2086</v>
      </c>
      <c r="I1829" s="1">
        <v>1</v>
      </c>
      <c r="J1829" s="1">
        <v>3506.66</v>
      </c>
      <c r="K1829" s="1">
        <v>19.68</v>
      </c>
      <c r="L1829" s="1">
        <v>2816.55</v>
      </c>
      <c r="M1829" s="1">
        <v>792.33</v>
      </c>
      <c r="N1829" s="1" t="s">
        <v>2090</v>
      </c>
    </row>
    <row r="1830" spans="1:14">
      <c r="A1830" s="1" t="s">
        <v>1842</v>
      </c>
      <c r="B1830" s="2">
        <v>45959</v>
      </c>
      <c r="C1830" s="1" t="s">
        <v>2022</v>
      </c>
      <c r="D1830" s="1" t="s">
        <v>2042</v>
      </c>
      <c r="E1830" s="1" t="s">
        <v>2046</v>
      </c>
      <c r="F1830" s="1" t="s">
        <v>2052</v>
      </c>
      <c r="G1830" s="1" t="s">
        <v>2072</v>
      </c>
      <c r="H1830" s="1" t="s">
        <v>2086</v>
      </c>
      <c r="I1830" s="1">
        <v>8</v>
      </c>
      <c r="J1830" s="1">
        <v>6016.16</v>
      </c>
      <c r="K1830" s="1">
        <v>12.3</v>
      </c>
      <c r="L1830" s="1">
        <v>42209.38</v>
      </c>
      <c r="M1830" s="1">
        <v>7298.93</v>
      </c>
      <c r="N1830" s="1" t="s">
        <v>2088</v>
      </c>
    </row>
    <row r="1831" spans="1:14">
      <c r="A1831" s="1" t="s">
        <v>1843</v>
      </c>
      <c r="B1831" s="2">
        <v>45959</v>
      </c>
      <c r="C1831" s="1" t="s">
        <v>2028</v>
      </c>
      <c r="D1831" s="1" t="s">
        <v>2043</v>
      </c>
      <c r="E1831" s="1" t="s">
        <v>2044</v>
      </c>
      <c r="F1831" s="1" t="s">
        <v>2052</v>
      </c>
      <c r="G1831" s="1" t="s">
        <v>2065</v>
      </c>
      <c r="H1831" s="1" t="s">
        <v>2087</v>
      </c>
      <c r="I1831" s="1">
        <v>10</v>
      </c>
      <c r="J1831" s="1">
        <v>7292.71</v>
      </c>
      <c r="K1831" s="1">
        <v>0.75</v>
      </c>
      <c r="L1831" s="1">
        <v>72380.149999999994</v>
      </c>
      <c r="M1831" s="1">
        <v>13944.84</v>
      </c>
      <c r="N1831" s="1" t="s">
        <v>2090</v>
      </c>
    </row>
    <row r="1832" spans="1:14">
      <c r="A1832" s="1" t="s">
        <v>1844</v>
      </c>
      <c r="B1832" s="2">
        <v>45960</v>
      </c>
      <c r="C1832" s="1" t="s">
        <v>2027</v>
      </c>
      <c r="D1832" s="1" t="s">
        <v>2029</v>
      </c>
      <c r="E1832" s="1" t="s">
        <v>2046</v>
      </c>
      <c r="F1832" s="1" t="s">
        <v>2050</v>
      </c>
      <c r="G1832" s="1" t="s">
        <v>2064</v>
      </c>
      <c r="H1832" s="1" t="s">
        <v>2087</v>
      </c>
      <c r="I1832" s="1">
        <v>2</v>
      </c>
      <c r="J1832" s="1">
        <v>802.46</v>
      </c>
      <c r="K1832" s="1">
        <v>25.78</v>
      </c>
      <c r="L1832" s="1">
        <v>1191.17</v>
      </c>
      <c r="M1832" s="1">
        <v>318.18</v>
      </c>
      <c r="N1832" s="1" t="s">
        <v>2091</v>
      </c>
    </row>
    <row r="1833" spans="1:14">
      <c r="A1833" s="1" t="s">
        <v>1845</v>
      </c>
      <c r="B1833" s="2">
        <v>45960</v>
      </c>
      <c r="C1833" s="1" t="s">
        <v>2026</v>
      </c>
      <c r="D1833" s="1" t="s">
        <v>2030</v>
      </c>
      <c r="E1833" s="1" t="s">
        <v>2044</v>
      </c>
      <c r="F1833" s="1" t="s">
        <v>2052</v>
      </c>
      <c r="G1833" s="1" t="s">
        <v>2083</v>
      </c>
      <c r="H1833" s="1" t="s">
        <v>2086</v>
      </c>
      <c r="I1833" s="1">
        <v>2</v>
      </c>
      <c r="J1833" s="1">
        <v>365.55</v>
      </c>
      <c r="K1833" s="1">
        <v>14.39</v>
      </c>
      <c r="L1833" s="1">
        <v>625.89</v>
      </c>
      <c r="M1833" s="1">
        <v>165.69</v>
      </c>
      <c r="N1833" s="1" t="s">
        <v>2090</v>
      </c>
    </row>
    <row r="1834" spans="1:14">
      <c r="A1834" s="1" t="s">
        <v>1846</v>
      </c>
      <c r="B1834" s="2">
        <v>45961</v>
      </c>
      <c r="C1834" s="1" t="s">
        <v>2019</v>
      </c>
      <c r="D1834" s="1" t="s">
        <v>2031</v>
      </c>
      <c r="E1834" s="1" t="s">
        <v>2047</v>
      </c>
      <c r="F1834" s="1" t="s">
        <v>2054</v>
      </c>
      <c r="G1834" s="1" t="s">
        <v>2063</v>
      </c>
      <c r="H1834" s="1" t="s">
        <v>2085</v>
      </c>
      <c r="I1834" s="1">
        <v>8</v>
      </c>
      <c r="J1834" s="1">
        <v>11085.67</v>
      </c>
      <c r="K1834" s="1">
        <v>11.57</v>
      </c>
      <c r="L1834" s="1">
        <v>78424.460000000006</v>
      </c>
      <c r="M1834" s="1">
        <v>22408.92</v>
      </c>
      <c r="N1834" s="1" t="s">
        <v>2089</v>
      </c>
    </row>
    <row r="1835" spans="1:14">
      <c r="A1835" s="1" t="s">
        <v>1847</v>
      </c>
      <c r="B1835" s="2">
        <v>45961</v>
      </c>
      <c r="C1835" s="1" t="s">
        <v>2014</v>
      </c>
      <c r="D1835" s="1" t="s">
        <v>2032</v>
      </c>
      <c r="E1835" s="1" t="s">
        <v>2046</v>
      </c>
      <c r="F1835" s="1" t="s">
        <v>2053</v>
      </c>
      <c r="G1835" s="1" t="s">
        <v>2073</v>
      </c>
      <c r="H1835" s="1" t="s">
        <v>2085</v>
      </c>
      <c r="I1835" s="1">
        <v>9</v>
      </c>
      <c r="J1835" s="1">
        <v>972</v>
      </c>
      <c r="K1835" s="1">
        <v>18.89</v>
      </c>
      <c r="L1835" s="1">
        <v>7095.5</v>
      </c>
      <c r="M1835" s="1">
        <v>1550.08</v>
      </c>
      <c r="N1835" s="1" t="s">
        <v>2089</v>
      </c>
    </row>
    <row r="1836" spans="1:14">
      <c r="A1836" s="1" t="s">
        <v>1848</v>
      </c>
      <c r="B1836" s="2">
        <v>45961</v>
      </c>
      <c r="C1836" s="1" t="s">
        <v>2014</v>
      </c>
      <c r="D1836" s="1" t="s">
        <v>2033</v>
      </c>
      <c r="E1836" s="1" t="s">
        <v>2046</v>
      </c>
      <c r="F1836" s="1" t="s">
        <v>2054</v>
      </c>
      <c r="G1836" s="1" t="s">
        <v>2081</v>
      </c>
      <c r="H1836" s="1" t="s">
        <v>2087</v>
      </c>
      <c r="I1836" s="1">
        <v>7</v>
      </c>
      <c r="J1836" s="1">
        <v>18431.54</v>
      </c>
      <c r="K1836" s="1">
        <v>5.68</v>
      </c>
      <c r="L1836" s="1">
        <v>121692.4</v>
      </c>
      <c r="M1836" s="1">
        <v>24852.66</v>
      </c>
      <c r="N1836" s="1" t="s">
        <v>2090</v>
      </c>
    </row>
    <row r="1837" spans="1:14">
      <c r="A1837" s="1" t="s">
        <v>1849</v>
      </c>
      <c r="B1837" s="2">
        <v>45962</v>
      </c>
      <c r="C1837" s="1" t="s">
        <v>2025</v>
      </c>
      <c r="D1837" s="1" t="s">
        <v>2034</v>
      </c>
      <c r="E1837" s="1" t="s">
        <v>2044</v>
      </c>
      <c r="F1837" s="1" t="s">
        <v>2054</v>
      </c>
      <c r="G1837" s="1" t="s">
        <v>2081</v>
      </c>
      <c r="H1837" s="1" t="s">
        <v>2086</v>
      </c>
      <c r="I1837" s="1">
        <v>7</v>
      </c>
      <c r="J1837" s="1">
        <v>66330.37</v>
      </c>
      <c r="K1837" s="1">
        <v>20.16</v>
      </c>
      <c r="L1837" s="1">
        <v>370707.17</v>
      </c>
      <c r="M1837" s="1">
        <v>108499.33</v>
      </c>
      <c r="N1837" s="1" t="s">
        <v>2092</v>
      </c>
    </row>
    <row r="1838" spans="1:14">
      <c r="A1838" s="1" t="s">
        <v>1850</v>
      </c>
      <c r="B1838" s="2">
        <v>45962</v>
      </c>
      <c r="C1838" s="1" t="s">
        <v>2015</v>
      </c>
      <c r="D1838" s="1" t="s">
        <v>2035</v>
      </c>
      <c r="E1838" s="1" t="s">
        <v>2046</v>
      </c>
      <c r="F1838" s="1" t="s">
        <v>2049</v>
      </c>
      <c r="G1838" s="1" t="s">
        <v>2055</v>
      </c>
      <c r="H1838" s="1" t="s">
        <v>2085</v>
      </c>
      <c r="I1838" s="1">
        <v>7</v>
      </c>
      <c r="J1838" s="1">
        <v>2722.1</v>
      </c>
      <c r="K1838" s="1">
        <v>8.81</v>
      </c>
      <c r="L1838" s="1">
        <v>17375.98</v>
      </c>
      <c r="M1838" s="1">
        <v>4140.71</v>
      </c>
      <c r="N1838" s="1" t="s">
        <v>2088</v>
      </c>
    </row>
    <row r="1839" spans="1:14">
      <c r="A1839" s="1" t="s">
        <v>1851</v>
      </c>
      <c r="B1839" s="2">
        <v>45962</v>
      </c>
      <c r="C1839" s="1" t="s">
        <v>2022</v>
      </c>
      <c r="D1839" s="1" t="s">
        <v>2036</v>
      </c>
      <c r="E1839" s="1" t="s">
        <v>2047</v>
      </c>
      <c r="F1839" s="1" t="s">
        <v>2049</v>
      </c>
      <c r="G1839" s="1" t="s">
        <v>2055</v>
      </c>
      <c r="H1839" s="1" t="s">
        <v>2087</v>
      </c>
      <c r="I1839" s="1">
        <v>6</v>
      </c>
      <c r="J1839" s="1">
        <v>2480.02</v>
      </c>
      <c r="K1839" s="1">
        <v>6.34</v>
      </c>
      <c r="L1839" s="1">
        <v>13936.72</v>
      </c>
      <c r="M1839" s="1">
        <v>2376.96</v>
      </c>
      <c r="N1839" s="1" t="s">
        <v>2091</v>
      </c>
    </row>
    <row r="1840" spans="1:14">
      <c r="A1840" s="1" t="s">
        <v>1852</v>
      </c>
      <c r="B1840" s="2">
        <v>45963</v>
      </c>
      <c r="C1840" s="1" t="s">
        <v>2025</v>
      </c>
      <c r="D1840" s="1" t="s">
        <v>2037</v>
      </c>
      <c r="E1840" s="1" t="s">
        <v>2045</v>
      </c>
      <c r="F1840" s="1" t="s">
        <v>2053</v>
      </c>
      <c r="G1840" s="1" t="s">
        <v>2073</v>
      </c>
      <c r="H1840" s="1" t="s">
        <v>2087</v>
      </c>
      <c r="I1840" s="1">
        <v>1</v>
      </c>
      <c r="J1840" s="1">
        <v>1181.9100000000001</v>
      </c>
      <c r="K1840" s="1">
        <v>20.09</v>
      </c>
      <c r="L1840" s="1">
        <v>944.46</v>
      </c>
      <c r="M1840" s="1">
        <v>110.71</v>
      </c>
      <c r="N1840" s="1" t="s">
        <v>2089</v>
      </c>
    </row>
    <row r="1841" spans="1:14">
      <c r="A1841" s="1" t="s">
        <v>1853</v>
      </c>
      <c r="B1841" s="2">
        <v>45963</v>
      </c>
      <c r="C1841" s="1" t="s">
        <v>2025</v>
      </c>
      <c r="D1841" s="1" t="s">
        <v>2038</v>
      </c>
      <c r="E1841" s="1" t="s">
        <v>2045</v>
      </c>
      <c r="F1841" s="1" t="s">
        <v>2051</v>
      </c>
      <c r="G1841" s="1" t="s">
        <v>2080</v>
      </c>
      <c r="H1841" s="1" t="s">
        <v>2087</v>
      </c>
      <c r="I1841" s="1">
        <v>2</v>
      </c>
      <c r="J1841" s="1">
        <v>14204.85</v>
      </c>
      <c r="K1841" s="1">
        <v>6.73</v>
      </c>
      <c r="L1841" s="1">
        <v>26497.73</v>
      </c>
      <c r="M1841" s="1">
        <v>3703.79</v>
      </c>
      <c r="N1841" s="1" t="s">
        <v>2091</v>
      </c>
    </row>
    <row r="1842" spans="1:14">
      <c r="A1842" s="1" t="s">
        <v>1854</v>
      </c>
      <c r="B1842" s="2">
        <v>45963</v>
      </c>
      <c r="C1842" s="1" t="s">
        <v>2028</v>
      </c>
      <c r="D1842" s="1" t="s">
        <v>2039</v>
      </c>
      <c r="E1842" s="1" t="s">
        <v>2044</v>
      </c>
      <c r="F1842" s="1" t="s">
        <v>2052</v>
      </c>
      <c r="G1842" s="1" t="s">
        <v>2065</v>
      </c>
      <c r="H1842" s="1" t="s">
        <v>2087</v>
      </c>
      <c r="I1842" s="1">
        <v>5</v>
      </c>
      <c r="J1842" s="1">
        <v>2311.7600000000002</v>
      </c>
      <c r="K1842" s="1">
        <v>17.809999999999999</v>
      </c>
      <c r="L1842" s="1">
        <v>9500.18</v>
      </c>
      <c r="M1842" s="1">
        <v>634.61</v>
      </c>
      <c r="N1842" s="1" t="s">
        <v>2090</v>
      </c>
    </row>
    <row r="1843" spans="1:14">
      <c r="A1843" s="1" t="s">
        <v>1855</v>
      </c>
      <c r="B1843" s="2">
        <v>45964</v>
      </c>
      <c r="C1843" s="1" t="s">
        <v>2015</v>
      </c>
      <c r="D1843" s="1" t="s">
        <v>2040</v>
      </c>
      <c r="E1843" s="1" t="s">
        <v>2048</v>
      </c>
      <c r="F1843" s="1" t="s">
        <v>2054</v>
      </c>
      <c r="G1843" s="1" t="s">
        <v>2068</v>
      </c>
      <c r="H1843" s="1" t="s">
        <v>2086</v>
      </c>
      <c r="I1843" s="1">
        <v>6</v>
      </c>
      <c r="J1843" s="1">
        <v>51838.31</v>
      </c>
      <c r="K1843" s="1">
        <v>6.29</v>
      </c>
      <c r="L1843" s="1">
        <v>291466.08</v>
      </c>
      <c r="M1843" s="1">
        <v>44983.44</v>
      </c>
      <c r="N1843" s="1" t="s">
        <v>2090</v>
      </c>
    </row>
    <row r="1844" spans="1:14">
      <c r="A1844" s="1" t="s">
        <v>1856</v>
      </c>
      <c r="B1844" s="2">
        <v>45964</v>
      </c>
      <c r="C1844" s="1" t="s">
        <v>2016</v>
      </c>
      <c r="D1844" s="1" t="s">
        <v>2041</v>
      </c>
      <c r="E1844" s="1" t="s">
        <v>2044</v>
      </c>
      <c r="F1844" s="1" t="s">
        <v>2053</v>
      </c>
      <c r="G1844" s="1" t="s">
        <v>2076</v>
      </c>
      <c r="H1844" s="1" t="s">
        <v>2086</v>
      </c>
      <c r="I1844" s="1">
        <v>10</v>
      </c>
      <c r="J1844" s="1">
        <v>1856.72</v>
      </c>
      <c r="K1844" s="1">
        <v>1.29</v>
      </c>
      <c r="L1844" s="1">
        <v>18327.68</v>
      </c>
      <c r="M1844" s="1">
        <v>4012.8</v>
      </c>
      <c r="N1844" s="1" t="s">
        <v>2088</v>
      </c>
    </row>
    <row r="1845" spans="1:14">
      <c r="A1845" s="1" t="s">
        <v>1857</v>
      </c>
      <c r="B1845" s="2">
        <v>45965</v>
      </c>
      <c r="C1845" s="1" t="s">
        <v>2020</v>
      </c>
      <c r="D1845" s="1" t="s">
        <v>2042</v>
      </c>
      <c r="E1845" s="1" t="s">
        <v>2045</v>
      </c>
      <c r="F1845" s="1" t="s">
        <v>2054</v>
      </c>
      <c r="G1845" s="1" t="s">
        <v>2066</v>
      </c>
      <c r="H1845" s="1" t="s">
        <v>2086</v>
      </c>
      <c r="I1845" s="1">
        <v>10</v>
      </c>
      <c r="J1845" s="1">
        <v>31054.95</v>
      </c>
      <c r="K1845" s="1">
        <v>22.15</v>
      </c>
      <c r="L1845" s="1">
        <v>241762.79</v>
      </c>
      <c r="M1845" s="1">
        <v>58882.27</v>
      </c>
      <c r="N1845" s="1" t="s">
        <v>2092</v>
      </c>
    </row>
    <row r="1846" spans="1:14">
      <c r="A1846" s="1" t="s">
        <v>1858</v>
      </c>
      <c r="B1846" s="2">
        <v>45965</v>
      </c>
      <c r="C1846" s="1" t="s">
        <v>2025</v>
      </c>
      <c r="D1846" s="1" t="s">
        <v>2043</v>
      </c>
      <c r="E1846" s="1" t="s">
        <v>2048</v>
      </c>
      <c r="F1846" s="1" t="s">
        <v>2052</v>
      </c>
      <c r="G1846" s="1" t="s">
        <v>2078</v>
      </c>
      <c r="H1846" s="1" t="s">
        <v>2086</v>
      </c>
      <c r="I1846" s="1">
        <v>8</v>
      </c>
      <c r="J1846" s="1">
        <v>6044.33</v>
      </c>
      <c r="K1846" s="1">
        <v>10.33</v>
      </c>
      <c r="L1846" s="1">
        <v>43359.61</v>
      </c>
      <c r="M1846" s="1">
        <v>5219.91</v>
      </c>
      <c r="N1846" s="1" t="s">
        <v>2092</v>
      </c>
    </row>
    <row r="1847" spans="1:14">
      <c r="A1847" s="1" t="s">
        <v>1859</v>
      </c>
      <c r="B1847" s="2">
        <v>45965</v>
      </c>
      <c r="C1847" s="1" t="s">
        <v>2028</v>
      </c>
      <c r="D1847" s="1" t="s">
        <v>2029</v>
      </c>
      <c r="E1847" s="1" t="s">
        <v>2045</v>
      </c>
      <c r="F1847" s="1" t="s">
        <v>2051</v>
      </c>
      <c r="G1847" s="1" t="s">
        <v>2069</v>
      </c>
      <c r="H1847" s="1" t="s">
        <v>2085</v>
      </c>
      <c r="I1847" s="1">
        <v>7</v>
      </c>
      <c r="J1847" s="1">
        <v>3938.42</v>
      </c>
      <c r="K1847" s="1">
        <v>28.4</v>
      </c>
      <c r="L1847" s="1">
        <v>19739.36</v>
      </c>
      <c r="M1847" s="1">
        <v>5529.66</v>
      </c>
      <c r="N1847" s="1" t="s">
        <v>2089</v>
      </c>
    </row>
    <row r="1848" spans="1:14">
      <c r="A1848" s="1" t="s">
        <v>1860</v>
      </c>
      <c r="B1848" s="2">
        <v>45966</v>
      </c>
      <c r="C1848" s="1" t="s">
        <v>2015</v>
      </c>
      <c r="D1848" s="1" t="s">
        <v>2030</v>
      </c>
      <c r="E1848" s="1" t="s">
        <v>2046</v>
      </c>
      <c r="F1848" s="1" t="s">
        <v>2052</v>
      </c>
      <c r="G1848" s="1" t="s">
        <v>2078</v>
      </c>
      <c r="H1848" s="1" t="s">
        <v>2085</v>
      </c>
      <c r="I1848" s="1">
        <v>10</v>
      </c>
      <c r="J1848" s="1">
        <v>4082</v>
      </c>
      <c r="K1848" s="1">
        <v>17.59</v>
      </c>
      <c r="L1848" s="1">
        <v>33639.760000000002</v>
      </c>
      <c r="M1848" s="1">
        <v>9412.86</v>
      </c>
      <c r="N1848" s="1" t="s">
        <v>2088</v>
      </c>
    </row>
    <row r="1849" spans="1:14">
      <c r="A1849" s="1" t="s">
        <v>1861</v>
      </c>
      <c r="B1849" s="2">
        <v>45966</v>
      </c>
      <c r="C1849" s="1" t="s">
        <v>2025</v>
      </c>
      <c r="D1849" s="1" t="s">
        <v>2031</v>
      </c>
      <c r="E1849" s="1" t="s">
        <v>2045</v>
      </c>
      <c r="F1849" s="1" t="s">
        <v>2054</v>
      </c>
      <c r="G1849" s="1" t="s">
        <v>2068</v>
      </c>
      <c r="H1849" s="1" t="s">
        <v>2087</v>
      </c>
      <c r="I1849" s="1">
        <v>7</v>
      </c>
      <c r="J1849" s="1">
        <v>57380.99</v>
      </c>
      <c r="K1849" s="1">
        <v>24.27</v>
      </c>
      <c r="L1849" s="1">
        <v>304182.37</v>
      </c>
      <c r="M1849" s="1">
        <v>49622.31</v>
      </c>
      <c r="N1849" s="1" t="s">
        <v>2088</v>
      </c>
    </row>
    <row r="1850" spans="1:14">
      <c r="A1850" s="1" t="s">
        <v>1862</v>
      </c>
      <c r="B1850" s="2">
        <v>45966</v>
      </c>
      <c r="C1850" s="1" t="s">
        <v>2025</v>
      </c>
      <c r="D1850" s="1" t="s">
        <v>2032</v>
      </c>
      <c r="E1850" s="1" t="s">
        <v>2045</v>
      </c>
      <c r="F1850" s="1" t="s">
        <v>2051</v>
      </c>
      <c r="G1850" s="1" t="s">
        <v>2061</v>
      </c>
      <c r="H1850" s="1" t="s">
        <v>2085</v>
      </c>
      <c r="I1850" s="1">
        <v>7</v>
      </c>
      <c r="J1850" s="1">
        <v>16292.99</v>
      </c>
      <c r="K1850" s="1">
        <v>3.55</v>
      </c>
      <c r="L1850" s="1">
        <v>110002.12</v>
      </c>
      <c r="M1850" s="1">
        <v>26971.78</v>
      </c>
      <c r="N1850" s="1" t="s">
        <v>2090</v>
      </c>
    </row>
    <row r="1851" spans="1:14">
      <c r="A1851" s="1" t="s">
        <v>1863</v>
      </c>
      <c r="B1851" s="2">
        <v>45967</v>
      </c>
      <c r="C1851" s="1" t="s">
        <v>2024</v>
      </c>
      <c r="D1851" s="1" t="s">
        <v>2033</v>
      </c>
      <c r="E1851" s="1" t="s">
        <v>2047</v>
      </c>
      <c r="F1851" s="1" t="s">
        <v>2049</v>
      </c>
      <c r="G1851" s="1" t="s">
        <v>2055</v>
      </c>
      <c r="H1851" s="1" t="s">
        <v>2087</v>
      </c>
      <c r="I1851" s="1">
        <v>7</v>
      </c>
      <c r="J1851" s="1">
        <v>1628.57</v>
      </c>
      <c r="K1851" s="1">
        <v>15.35</v>
      </c>
      <c r="L1851" s="1">
        <v>9650.09</v>
      </c>
      <c r="M1851" s="1">
        <v>1123.46</v>
      </c>
      <c r="N1851" s="1" t="s">
        <v>2088</v>
      </c>
    </row>
    <row r="1852" spans="1:14">
      <c r="A1852" s="1" t="s">
        <v>1864</v>
      </c>
      <c r="B1852" s="2">
        <v>45967</v>
      </c>
      <c r="C1852" s="1" t="s">
        <v>2020</v>
      </c>
      <c r="D1852" s="1" t="s">
        <v>2034</v>
      </c>
      <c r="E1852" s="1" t="s">
        <v>2047</v>
      </c>
      <c r="F1852" s="1" t="s">
        <v>2050</v>
      </c>
      <c r="G1852" s="1" t="s">
        <v>2056</v>
      </c>
      <c r="H1852" s="1" t="s">
        <v>2087</v>
      </c>
      <c r="I1852" s="1">
        <v>9</v>
      </c>
      <c r="J1852" s="1">
        <v>7299.28</v>
      </c>
      <c r="K1852" s="1">
        <v>11.58</v>
      </c>
      <c r="L1852" s="1">
        <v>58086.21</v>
      </c>
      <c r="M1852" s="1">
        <v>16359.67</v>
      </c>
      <c r="N1852" s="1" t="s">
        <v>2088</v>
      </c>
    </row>
    <row r="1853" spans="1:14">
      <c r="A1853" s="1" t="s">
        <v>1865</v>
      </c>
      <c r="B1853" s="2">
        <v>45967</v>
      </c>
      <c r="C1853" s="1" t="s">
        <v>2023</v>
      </c>
      <c r="D1853" s="1" t="s">
        <v>2035</v>
      </c>
      <c r="E1853" s="1" t="s">
        <v>2046</v>
      </c>
      <c r="F1853" s="1" t="s">
        <v>2053</v>
      </c>
      <c r="G1853" s="1" t="s">
        <v>2076</v>
      </c>
      <c r="H1853" s="1" t="s">
        <v>2085</v>
      </c>
      <c r="I1853" s="1">
        <v>3</v>
      </c>
      <c r="J1853" s="1">
        <v>954.65</v>
      </c>
      <c r="K1853" s="1">
        <v>7.23</v>
      </c>
      <c r="L1853" s="1">
        <v>2656.89</v>
      </c>
      <c r="M1853" s="1">
        <v>280.56</v>
      </c>
      <c r="N1853" s="1" t="s">
        <v>2091</v>
      </c>
    </row>
    <row r="1854" spans="1:14">
      <c r="A1854" s="1" t="s">
        <v>1866</v>
      </c>
      <c r="B1854" s="2">
        <v>45968</v>
      </c>
      <c r="C1854" s="1" t="s">
        <v>2025</v>
      </c>
      <c r="D1854" s="1" t="s">
        <v>2036</v>
      </c>
      <c r="E1854" s="1" t="s">
        <v>2045</v>
      </c>
      <c r="F1854" s="1" t="s">
        <v>2053</v>
      </c>
      <c r="G1854" s="1" t="s">
        <v>2076</v>
      </c>
      <c r="H1854" s="1" t="s">
        <v>2086</v>
      </c>
      <c r="I1854" s="1">
        <v>10</v>
      </c>
      <c r="J1854" s="1">
        <v>1105.01</v>
      </c>
      <c r="K1854" s="1">
        <v>12.55</v>
      </c>
      <c r="L1854" s="1">
        <v>9663.31</v>
      </c>
      <c r="M1854" s="1">
        <v>576</v>
      </c>
      <c r="N1854" s="1" t="s">
        <v>2090</v>
      </c>
    </row>
    <row r="1855" spans="1:14">
      <c r="A1855" s="1" t="s">
        <v>1867</v>
      </c>
      <c r="B1855" s="2">
        <v>45968</v>
      </c>
      <c r="C1855" s="1" t="s">
        <v>2015</v>
      </c>
      <c r="D1855" s="1" t="s">
        <v>2037</v>
      </c>
      <c r="E1855" s="1" t="s">
        <v>2044</v>
      </c>
      <c r="F1855" s="1" t="s">
        <v>2052</v>
      </c>
      <c r="G1855" s="1" t="s">
        <v>2065</v>
      </c>
      <c r="H1855" s="1" t="s">
        <v>2085</v>
      </c>
      <c r="I1855" s="1">
        <v>3</v>
      </c>
      <c r="J1855" s="1">
        <v>8153.28</v>
      </c>
      <c r="K1855" s="1">
        <v>20.22</v>
      </c>
      <c r="L1855" s="1">
        <v>19514.060000000001</v>
      </c>
      <c r="M1855" s="1">
        <v>2155.42</v>
      </c>
      <c r="N1855" s="1" t="s">
        <v>2090</v>
      </c>
    </row>
    <row r="1856" spans="1:14">
      <c r="A1856" s="1" t="s">
        <v>1868</v>
      </c>
      <c r="B1856" s="2">
        <v>45969</v>
      </c>
      <c r="C1856" s="1" t="s">
        <v>2016</v>
      </c>
      <c r="D1856" s="1" t="s">
        <v>2038</v>
      </c>
      <c r="E1856" s="1" t="s">
        <v>2048</v>
      </c>
      <c r="F1856" s="1" t="s">
        <v>2053</v>
      </c>
      <c r="G1856" s="1" t="s">
        <v>2060</v>
      </c>
      <c r="H1856" s="1" t="s">
        <v>2085</v>
      </c>
      <c r="I1856" s="1">
        <v>5</v>
      </c>
      <c r="J1856" s="1">
        <v>1711.59</v>
      </c>
      <c r="K1856" s="1">
        <v>25.27</v>
      </c>
      <c r="L1856" s="1">
        <v>6395.36</v>
      </c>
      <c r="M1856" s="1">
        <v>720.12</v>
      </c>
      <c r="N1856" s="1" t="s">
        <v>2092</v>
      </c>
    </row>
    <row r="1857" spans="1:14">
      <c r="A1857" s="1" t="s">
        <v>1869</v>
      </c>
      <c r="B1857" s="2">
        <v>45969</v>
      </c>
      <c r="C1857" s="1" t="s">
        <v>2017</v>
      </c>
      <c r="D1857" s="1" t="s">
        <v>2039</v>
      </c>
      <c r="E1857" s="1" t="s">
        <v>2045</v>
      </c>
      <c r="F1857" s="1" t="s">
        <v>2049</v>
      </c>
      <c r="G1857" s="1" t="s">
        <v>2082</v>
      </c>
      <c r="H1857" s="1" t="s">
        <v>2087</v>
      </c>
      <c r="I1857" s="1">
        <v>10</v>
      </c>
      <c r="J1857" s="1">
        <v>1656.49</v>
      </c>
      <c r="K1857" s="1">
        <v>6.16</v>
      </c>
      <c r="L1857" s="1">
        <v>15544.5</v>
      </c>
      <c r="M1857" s="1">
        <v>3479.36</v>
      </c>
      <c r="N1857" s="1" t="s">
        <v>2089</v>
      </c>
    </row>
    <row r="1858" spans="1:14">
      <c r="A1858" s="1" t="s">
        <v>1870</v>
      </c>
      <c r="B1858" s="2">
        <v>45969</v>
      </c>
      <c r="C1858" s="1" t="s">
        <v>2023</v>
      </c>
      <c r="D1858" s="1" t="s">
        <v>2040</v>
      </c>
      <c r="E1858" s="1" t="s">
        <v>2048</v>
      </c>
      <c r="F1858" s="1" t="s">
        <v>2049</v>
      </c>
      <c r="G1858" s="1" t="s">
        <v>2071</v>
      </c>
      <c r="H1858" s="1" t="s">
        <v>2085</v>
      </c>
      <c r="I1858" s="1">
        <v>9</v>
      </c>
      <c r="J1858" s="1">
        <v>2390.37</v>
      </c>
      <c r="K1858" s="1">
        <v>23.07</v>
      </c>
      <c r="L1858" s="1">
        <v>16550.2</v>
      </c>
      <c r="M1858" s="1">
        <v>3590.38</v>
      </c>
      <c r="N1858" s="1" t="s">
        <v>2089</v>
      </c>
    </row>
    <row r="1859" spans="1:14">
      <c r="A1859" s="1" t="s">
        <v>1871</v>
      </c>
      <c r="B1859" s="2">
        <v>45970</v>
      </c>
      <c r="C1859" s="1" t="s">
        <v>2020</v>
      </c>
      <c r="D1859" s="1" t="s">
        <v>2041</v>
      </c>
      <c r="E1859" s="1" t="s">
        <v>2047</v>
      </c>
      <c r="F1859" s="1" t="s">
        <v>2049</v>
      </c>
      <c r="G1859" s="1" t="s">
        <v>2074</v>
      </c>
      <c r="H1859" s="1" t="s">
        <v>2087</v>
      </c>
      <c r="I1859" s="1">
        <v>1</v>
      </c>
      <c r="J1859" s="1">
        <v>1225.96</v>
      </c>
      <c r="K1859" s="1">
        <v>22.75</v>
      </c>
      <c r="L1859" s="1">
        <v>947.05</v>
      </c>
      <c r="M1859" s="1">
        <v>201.46</v>
      </c>
      <c r="N1859" s="1" t="s">
        <v>2092</v>
      </c>
    </row>
    <row r="1860" spans="1:14">
      <c r="A1860" s="1" t="s">
        <v>1872</v>
      </c>
      <c r="B1860" s="2">
        <v>45970</v>
      </c>
      <c r="C1860" s="1" t="s">
        <v>2020</v>
      </c>
      <c r="D1860" s="1" t="s">
        <v>2042</v>
      </c>
      <c r="E1860" s="1" t="s">
        <v>2044</v>
      </c>
      <c r="F1860" s="1" t="s">
        <v>2049</v>
      </c>
      <c r="G1860" s="1" t="s">
        <v>2055</v>
      </c>
      <c r="H1860" s="1" t="s">
        <v>2086</v>
      </c>
      <c r="I1860" s="1">
        <v>4</v>
      </c>
      <c r="J1860" s="1">
        <v>295.74</v>
      </c>
      <c r="K1860" s="1">
        <v>5.57</v>
      </c>
      <c r="L1860" s="1">
        <v>1117.07</v>
      </c>
      <c r="M1860" s="1">
        <v>117.1</v>
      </c>
      <c r="N1860" s="1" t="s">
        <v>2091</v>
      </c>
    </row>
    <row r="1861" spans="1:14">
      <c r="A1861" s="1" t="s">
        <v>1873</v>
      </c>
      <c r="B1861" s="2">
        <v>45970</v>
      </c>
      <c r="C1861" s="1" t="s">
        <v>2015</v>
      </c>
      <c r="D1861" s="1" t="s">
        <v>2043</v>
      </c>
      <c r="E1861" s="1" t="s">
        <v>2046</v>
      </c>
      <c r="F1861" s="1" t="s">
        <v>2054</v>
      </c>
      <c r="G1861" s="1" t="s">
        <v>2066</v>
      </c>
      <c r="H1861" s="1" t="s">
        <v>2085</v>
      </c>
      <c r="I1861" s="1">
        <v>1</v>
      </c>
      <c r="J1861" s="1">
        <v>5870.61</v>
      </c>
      <c r="K1861" s="1">
        <v>5.14</v>
      </c>
      <c r="L1861" s="1">
        <v>5568.86</v>
      </c>
      <c r="M1861" s="1">
        <v>1648.91</v>
      </c>
      <c r="N1861" s="1" t="s">
        <v>2089</v>
      </c>
    </row>
    <row r="1862" spans="1:14">
      <c r="A1862" s="1" t="s">
        <v>1874</v>
      </c>
      <c r="B1862" s="2">
        <v>45971</v>
      </c>
      <c r="C1862" s="1" t="s">
        <v>2019</v>
      </c>
      <c r="D1862" s="1" t="s">
        <v>2029</v>
      </c>
      <c r="E1862" s="1" t="s">
        <v>2048</v>
      </c>
      <c r="F1862" s="1" t="s">
        <v>2054</v>
      </c>
      <c r="G1862" s="1" t="s">
        <v>2068</v>
      </c>
      <c r="H1862" s="1" t="s">
        <v>2087</v>
      </c>
      <c r="I1862" s="1">
        <v>1</v>
      </c>
      <c r="J1862" s="1">
        <v>15823.78</v>
      </c>
      <c r="K1862" s="1">
        <v>20.65</v>
      </c>
      <c r="L1862" s="1">
        <v>12556.17</v>
      </c>
      <c r="M1862" s="1">
        <v>1482.84</v>
      </c>
      <c r="N1862" s="1" t="s">
        <v>2092</v>
      </c>
    </row>
    <row r="1863" spans="1:14">
      <c r="A1863" s="1" t="s">
        <v>1875</v>
      </c>
      <c r="B1863" s="2">
        <v>45971</v>
      </c>
      <c r="C1863" s="1" t="s">
        <v>2027</v>
      </c>
      <c r="D1863" s="1" t="s">
        <v>2030</v>
      </c>
      <c r="E1863" s="1" t="s">
        <v>2044</v>
      </c>
      <c r="F1863" s="1" t="s">
        <v>2051</v>
      </c>
      <c r="G1863" s="1" t="s">
        <v>2069</v>
      </c>
      <c r="H1863" s="1" t="s">
        <v>2085</v>
      </c>
      <c r="I1863" s="1">
        <v>8</v>
      </c>
      <c r="J1863" s="1">
        <v>13246.31</v>
      </c>
      <c r="K1863" s="1">
        <v>8.14</v>
      </c>
      <c r="L1863" s="1">
        <v>97344.48</v>
      </c>
      <c r="M1863" s="1">
        <v>20584.34</v>
      </c>
      <c r="N1863" s="1" t="s">
        <v>2091</v>
      </c>
    </row>
    <row r="1864" spans="1:14">
      <c r="A1864" s="1" t="s">
        <v>1876</v>
      </c>
      <c r="B1864" s="2">
        <v>45971</v>
      </c>
      <c r="C1864" s="1" t="s">
        <v>2018</v>
      </c>
      <c r="D1864" s="1" t="s">
        <v>2031</v>
      </c>
      <c r="E1864" s="1" t="s">
        <v>2048</v>
      </c>
      <c r="F1864" s="1" t="s">
        <v>2053</v>
      </c>
      <c r="G1864" s="1" t="s">
        <v>2076</v>
      </c>
      <c r="H1864" s="1" t="s">
        <v>2086</v>
      </c>
      <c r="I1864" s="1">
        <v>3</v>
      </c>
      <c r="J1864" s="1">
        <v>1846.61</v>
      </c>
      <c r="K1864" s="1">
        <v>20.49</v>
      </c>
      <c r="L1864" s="1">
        <v>4404.72</v>
      </c>
      <c r="M1864" s="1">
        <v>1215.04</v>
      </c>
      <c r="N1864" s="1" t="s">
        <v>2091</v>
      </c>
    </row>
    <row r="1865" spans="1:14">
      <c r="A1865" s="1" t="s">
        <v>1877</v>
      </c>
      <c r="B1865" s="2">
        <v>45972</v>
      </c>
      <c r="C1865" s="1" t="s">
        <v>2019</v>
      </c>
      <c r="D1865" s="1" t="s">
        <v>2032</v>
      </c>
      <c r="E1865" s="1" t="s">
        <v>2044</v>
      </c>
      <c r="F1865" s="1" t="s">
        <v>2054</v>
      </c>
      <c r="G1865" s="1" t="s">
        <v>2068</v>
      </c>
      <c r="H1865" s="1" t="s">
        <v>2087</v>
      </c>
      <c r="I1865" s="1">
        <v>3</v>
      </c>
      <c r="J1865" s="1">
        <v>43005.440000000002</v>
      </c>
      <c r="K1865" s="1">
        <v>0.61</v>
      </c>
      <c r="L1865" s="1">
        <v>128229.32</v>
      </c>
      <c r="M1865" s="1">
        <v>11495.69</v>
      </c>
      <c r="N1865" s="1" t="s">
        <v>2089</v>
      </c>
    </row>
    <row r="1866" spans="1:14">
      <c r="A1866" s="1" t="s">
        <v>1878</v>
      </c>
      <c r="B1866" s="2">
        <v>45972</v>
      </c>
      <c r="C1866" s="1" t="s">
        <v>2018</v>
      </c>
      <c r="D1866" s="1" t="s">
        <v>2033</v>
      </c>
      <c r="E1866" s="1" t="s">
        <v>2046</v>
      </c>
      <c r="F1866" s="1" t="s">
        <v>2053</v>
      </c>
      <c r="G1866" s="1" t="s">
        <v>2073</v>
      </c>
      <c r="H1866" s="1" t="s">
        <v>2086</v>
      </c>
      <c r="I1866" s="1">
        <v>7</v>
      </c>
      <c r="J1866" s="1">
        <v>1224.42</v>
      </c>
      <c r="K1866" s="1">
        <v>19.88</v>
      </c>
      <c r="L1866" s="1">
        <v>6867.04</v>
      </c>
      <c r="M1866" s="1">
        <v>1658.32</v>
      </c>
      <c r="N1866" s="1" t="s">
        <v>2088</v>
      </c>
    </row>
    <row r="1867" spans="1:14">
      <c r="A1867" s="1" t="s">
        <v>1879</v>
      </c>
      <c r="B1867" s="2">
        <v>45973</v>
      </c>
      <c r="C1867" s="1" t="s">
        <v>2020</v>
      </c>
      <c r="D1867" s="1" t="s">
        <v>2034</v>
      </c>
      <c r="E1867" s="1" t="s">
        <v>2047</v>
      </c>
      <c r="F1867" s="1" t="s">
        <v>2053</v>
      </c>
      <c r="G1867" s="1" t="s">
        <v>2060</v>
      </c>
      <c r="H1867" s="1" t="s">
        <v>2085</v>
      </c>
      <c r="I1867" s="1">
        <v>3</v>
      </c>
      <c r="J1867" s="1">
        <v>1232.24</v>
      </c>
      <c r="K1867" s="1">
        <v>22.32</v>
      </c>
      <c r="L1867" s="1">
        <v>2871.61</v>
      </c>
      <c r="M1867" s="1">
        <v>244.12</v>
      </c>
      <c r="N1867" s="1" t="s">
        <v>2092</v>
      </c>
    </row>
    <row r="1868" spans="1:14">
      <c r="A1868" s="1" t="s">
        <v>1880</v>
      </c>
      <c r="B1868" s="2">
        <v>45973</v>
      </c>
      <c r="C1868" s="1" t="s">
        <v>2027</v>
      </c>
      <c r="D1868" s="1" t="s">
        <v>2035</v>
      </c>
      <c r="E1868" s="1" t="s">
        <v>2045</v>
      </c>
      <c r="F1868" s="1" t="s">
        <v>2054</v>
      </c>
      <c r="G1868" s="1" t="s">
        <v>2068</v>
      </c>
      <c r="H1868" s="1" t="s">
        <v>2085</v>
      </c>
      <c r="I1868" s="1">
        <v>7</v>
      </c>
      <c r="J1868" s="1">
        <v>7820.4</v>
      </c>
      <c r="K1868" s="1">
        <v>7.19</v>
      </c>
      <c r="L1868" s="1">
        <v>50806.79</v>
      </c>
      <c r="M1868" s="1">
        <v>3810.74</v>
      </c>
      <c r="N1868" s="1" t="s">
        <v>2092</v>
      </c>
    </row>
    <row r="1869" spans="1:14">
      <c r="A1869" s="1" t="s">
        <v>1881</v>
      </c>
      <c r="B1869" s="2">
        <v>45973</v>
      </c>
      <c r="C1869" s="1" t="s">
        <v>2015</v>
      </c>
      <c r="D1869" s="1" t="s">
        <v>2036</v>
      </c>
      <c r="E1869" s="1" t="s">
        <v>2047</v>
      </c>
      <c r="F1869" s="1" t="s">
        <v>2054</v>
      </c>
      <c r="G1869" s="1" t="s">
        <v>2063</v>
      </c>
      <c r="H1869" s="1" t="s">
        <v>2087</v>
      </c>
      <c r="I1869" s="1">
        <v>1</v>
      </c>
      <c r="J1869" s="1">
        <v>75640.34</v>
      </c>
      <c r="K1869" s="1">
        <v>27.99</v>
      </c>
      <c r="L1869" s="1">
        <v>54468.61</v>
      </c>
      <c r="M1869" s="1">
        <v>5794.14</v>
      </c>
      <c r="N1869" s="1" t="s">
        <v>2088</v>
      </c>
    </row>
    <row r="1870" spans="1:14">
      <c r="A1870" s="1" t="s">
        <v>1882</v>
      </c>
      <c r="B1870" s="2">
        <v>45974</v>
      </c>
      <c r="C1870" s="1" t="s">
        <v>2022</v>
      </c>
      <c r="D1870" s="1" t="s">
        <v>2037</v>
      </c>
      <c r="E1870" s="1" t="s">
        <v>2046</v>
      </c>
      <c r="F1870" s="1" t="s">
        <v>2051</v>
      </c>
      <c r="G1870" s="1" t="s">
        <v>2061</v>
      </c>
      <c r="H1870" s="1" t="s">
        <v>2087</v>
      </c>
      <c r="I1870" s="1">
        <v>9</v>
      </c>
      <c r="J1870" s="1">
        <v>16324.83</v>
      </c>
      <c r="K1870" s="1">
        <v>20.100000000000001</v>
      </c>
      <c r="L1870" s="1">
        <v>117391.85</v>
      </c>
      <c r="M1870" s="1">
        <v>19659.900000000001</v>
      </c>
      <c r="N1870" s="1" t="s">
        <v>2088</v>
      </c>
    </row>
    <row r="1871" spans="1:14">
      <c r="A1871" s="1" t="s">
        <v>1883</v>
      </c>
      <c r="B1871" s="2">
        <v>45974</v>
      </c>
      <c r="C1871" s="1" t="s">
        <v>2022</v>
      </c>
      <c r="D1871" s="1" t="s">
        <v>2038</v>
      </c>
      <c r="E1871" s="1" t="s">
        <v>2047</v>
      </c>
      <c r="F1871" s="1" t="s">
        <v>2052</v>
      </c>
      <c r="G1871" s="1" t="s">
        <v>2059</v>
      </c>
      <c r="H1871" s="1" t="s">
        <v>2086</v>
      </c>
      <c r="I1871" s="1">
        <v>4</v>
      </c>
      <c r="J1871" s="1">
        <v>8113.49</v>
      </c>
      <c r="K1871" s="1">
        <v>4.0599999999999996</v>
      </c>
      <c r="L1871" s="1">
        <v>31136.33</v>
      </c>
      <c r="M1871" s="1">
        <v>6191.25</v>
      </c>
      <c r="N1871" s="1" t="s">
        <v>2089</v>
      </c>
    </row>
    <row r="1872" spans="1:14">
      <c r="A1872" s="1" t="s">
        <v>1884</v>
      </c>
      <c r="B1872" s="2">
        <v>45974</v>
      </c>
      <c r="C1872" s="1" t="s">
        <v>2021</v>
      </c>
      <c r="D1872" s="1" t="s">
        <v>2039</v>
      </c>
      <c r="E1872" s="1" t="s">
        <v>2044</v>
      </c>
      <c r="F1872" s="1" t="s">
        <v>2052</v>
      </c>
      <c r="G1872" s="1" t="s">
        <v>2059</v>
      </c>
      <c r="H1872" s="1" t="s">
        <v>2086</v>
      </c>
      <c r="I1872" s="1">
        <v>5</v>
      </c>
      <c r="J1872" s="1">
        <v>6009.95</v>
      </c>
      <c r="K1872" s="1">
        <v>14.74</v>
      </c>
      <c r="L1872" s="1">
        <v>25620.42</v>
      </c>
      <c r="M1872" s="1">
        <v>3224.87</v>
      </c>
      <c r="N1872" s="1" t="s">
        <v>2090</v>
      </c>
    </row>
    <row r="1873" spans="1:14">
      <c r="A1873" s="1" t="s">
        <v>1885</v>
      </c>
      <c r="B1873" s="2">
        <v>45975</v>
      </c>
      <c r="C1873" s="1" t="s">
        <v>2015</v>
      </c>
      <c r="D1873" s="1" t="s">
        <v>2040</v>
      </c>
      <c r="E1873" s="1" t="s">
        <v>2046</v>
      </c>
      <c r="F1873" s="1" t="s">
        <v>2054</v>
      </c>
      <c r="G1873" s="1" t="s">
        <v>2068</v>
      </c>
      <c r="H1873" s="1" t="s">
        <v>2085</v>
      </c>
      <c r="I1873" s="1">
        <v>10</v>
      </c>
      <c r="J1873" s="1">
        <v>65062.09</v>
      </c>
      <c r="K1873" s="1">
        <v>6.77</v>
      </c>
      <c r="L1873" s="1">
        <v>606573.87</v>
      </c>
      <c r="M1873" s="1">
        <v>110119.74</v>
      </c>
      <c r="N1873" s="1" t="s">
        <v>2089</v>
      </c>
    </row>
    <row r="1874" spans="1:14">
      <c r="A1874" s="1" t="s">
        <v>1886</v>
      </c>
      <c r="B1874" s="2">
        <v>45975</v>
      </c>
      <c r="C1874" s="1" t="s">
        <v>2015</v>
      </c>
      <c r="D1874" s="1" t="s">
        <v>2041</v>
      </c>
      <c r="E1874" s="1" t="s">
        <v>2045</v>
      </c>
      <c r="F1874" s="1" t="s">
        <v>2052</v>
      </c>
      <c r="G1874" s="1" t="s">
        <v>2059</v>
      </c>
      <c r="H1874" s="1" t="s">
        <v>2085</v>
      </c>
      <c r="I1874" s="1">
        <v>1</v>
      </c>
      <c r="J1874" s="1">
        <v>9052.74</v>
      </c>
      <c r="K1874" s="1">
        <v>0.25</v>
      </c>
      <c r="L1874" s="1">
        <v>9030.11</v>
      </c>
      <c r="M1874" s="1">
        <v>940.68</v>
      </c>
      <c r="N1874" s="1" t="s">
        <v>2092</v>
      </c>
    </row>
    <row r="1875" spans="1:14">
      <c r="A1875" s="1" t="s">
        <v>1887</v>
      </c>
      <c r="B1875" s="2">
        <v>45975</v>
      </c>
      <c r="C1875" s="1" t="s">
        <v>2025</v>
      </c>
      <c r="D1875" s="1" t="s">
        <v>2042</v>
      </c>
      <c r="E1875" s="1" t="s">
        <v>2047</v>
      </c>
      <c r="F1875" s="1" t="s">
        <v>2051</v>
      </c>
      <c r="G1875" s="1" t="s">
        <v>2057</v>
      </c>
      <c r="H1875" s="1" t="s">
        <v>2087</v>
      </c>
      <c r="I1875" s="1">
        <v>9</v>
      </c>
      <c r="J1875" s="1">
        <v>24281.59</v>
      </c>
      <c r="K1875" s="1">
        <v>17.07</v>
      </c>
      <c r="L1875" s="1">
        <v>181230.5</v>
      </c>
      <c r="M1875" s="1">
        <v>10677.85</v>
      </c>
      <c r="N1875" s="1" t="s">
        <v>2091</v>
      </c>
    </row>
    <row r="1876" spans="1:14">
      <c r="A1876" s="1" t="s">
        <v>1888</v>
      </c>
      <c r="B1876" s="2">
        <v>45976</v>
      </c>
      <c r="C1876" s="1" t="s">
        <v>2016</v>
      </c>
      <c r="D1876" s="1" t="s">
        <v>2043</v>
      </c>
      <c r="E1876" s="1" t="s">
        <v>2048</v>
      </c>
      <c r="F1876" s="1" t="s">
        <v>2049</v>
      </c>
      <c r="G1876" s="1" t="s">
        <v>2082</v>
      </c>
      <c r="H1876" s="1" t="s">
        <v>2087</v>
      </c>
      <c r="I1876" s="1">
        <v>10</v>
      </c>
      <c r="J1876" s="1">
        <v>1431.49</v>
      </c>
      <c r="K1876" s="1">
        <v>25.74</v>
      </c>
      <c r="L1876" s="1">
        <v>10630.24</v>
      </c>
      <c r="M1876" s="1">
        <v>1441.41</v>
      </c>
      <c r="N1876" s="1" t="s">
        <v>2092</v>
      </c>
    </row>
    <row r="1877" spans="1:14">
      <c r="A1877" s="1" t="s">
        <v>1889</v>
      </c>
      <c r="B1877" s="2">
        <v>45976</v>
      </c>
      <c r="C1877" s="1" t="s">
        <v>2027</v>
      </c>
      <c r="D1877" s="1" t="s">
        <v>2029</v>
      </c>
      <c r="E1877" s="1" t="s">
        <v>2044</v>
      </c>
      <c r="F1877" s="1" t="s">
        <v>2050</v>
      </c>
      <c r="G1877" s="1" t="s">
        <v>2075</v>
      </c>
      <c r="H1877" s="1" t="s">
        <v>2087</v>
      </c>
      <c r="I1877" s="1">
        <v>7</v>
      </c>
      <c r="J1877" s="1">
        <v>1149.58</v>
      </c>
      <c r="K1877" s="1">
        <v>0.82</v>
      </c>
      <c r="L1877" s="1">
        <v>7981.07</v>
      </c>
      <c r="M1877" s="1">
        <v>945.15</v>
      </c>
      <c r="N1877" s="1" t="s">
        <v>2092</v>
      </c>
    </row>
    <row r="1878" spans="1:14">
      <c r="A1878" s="1" t="s">
        <v>1890</v>
      </c>
      <c r="B1878" s="2">
        <v>45977</v>
      </c>
      <c r="C1878" s="1" t="s">
        <v>2023</v>
      </c>
      <c r="D1878" s="1" t="s">
        <v>2030</v>
      </c>
      <c r="E1878" s="1" t="s">
        <v>2045</v>
      </c>
      <c r="F1878" s="1" t="s">
        <v>2053</v>
      </c>
      <c r="G1878" s="1" t="s">
        <v>2067</v>
      </c>
      <c r="H1878" s="1" t="s">
        <v>2087</v>
      </c>
      <c r="I1878" s="1">
        <v>1</v>
      </c>
      <c r="J1878" s="1">
        <v>2314.1</v>
      </c>
      <c r="K1878" s="1">
        <v>2.44</v>
      </c>
      <c r="L1878" s="1">
        <v>2257.64</v>
      </c>
      <c r="M1878" s="1">
        <v>501.43</v>
      </c>
      <c r="N1878" s="1" t="s">
        <v>2092</v>
      </c>
    </row>
    <row r="1879" spans="1:14">
      <c r="A1879" s="1" t="s">
        <v>1891</v>
      </c>
      <c r="B1879" s="2">
        <v>45977</v>
      </c>
      <c r="C1879" s="1" t="s">
        <v>2020</v>
      </c>
      <c r="D1879" s="1" t="s">
        <v>2031</v>
      </c>
      <c r="E1879" s="1" t="s">
        <v>2046</v>
      </c>
      <c r="F1879" s="1" t="s">
        <v>2051</v>
      </c>
      <c r="G1879" s="1" t="s">
        <v>2057</v>
      </c>
      <c r="H1879" s="1" t="s">
        <v>2085</v>
      </c>
      <c r="I1879" s="1">
        <v>6</v>
      </c>
      <c r="J1879" s="1">
        <v>24268.93</v>
      </c>
      <c r="K1879" s="1">
        <v>19.420000000000002</v>
      </c>
      <c r="L1879" s="1">
        <v>117335.42</v>
      </c>
      <c r="M1879" s="1">
        <v>16822.04</v>
      </c>
      <c r="N1879" s="1" t="s">
        <v>2091</v>
      </c>
    </row>
    <row r="1880" spans="1:14">
      <c r="A1880" s="1" t="s">
        <v>1892</v>
      </c>
      <c r="B1880" s="2">
        <v>45977</v>
      </c>
      <c r="C1880" s="1" t="s">
        <v>2022</v>
      </c>
      <c r="D1880" s="1" t="s">
        <v>2032</v>
      </c>
      <c r="E1880" s="1" t="s">
        <v>2045</v>
      </c>
      <c r="F1880" s="1" t="s">
        <v>2054</v>
      </c>
      <c r="G1880" s="1" t="s">
        <v>2063</v>
      </c>
      <c r="H1880" s="1" t="s">
        <v>2087</v>
      </c>
      <c r="I1880" s="1">
        <v>7</v>
      </c>
      <c r="J1880" s="1">
        <v>20977.51</v>
      </c>
      <c r="K1880" s="1">
        <v>10</v>
      </c>
      <c r="L1880" s="1">
        <v>132158.31</v>
      </c>
      <c r="M1880" s="1">
        <v>21195.51</v>
      </c>
      <c r="N1880" s="1" t="s">
        <v>2090</v>
      </c>
    </row>
    <row r="1881" spans="1:14">
      <c r="A1881" s="1" t="s">
        <v>1893</v>
      </c>
      <c r="B1881" s="2">
        <v>45978</v>
      </c>
      <c r="C1881" s="1" t="s">
        <v>2018</v>
      </c>
      <c r="D1881" s="1" t="s">
        <v>2033</v>
      </c>
      <c r="E1881" s="1" t="s">
        <v>2044</v>
      </c>
      <c r="F1881" s="1" t="s">
        <v>2051</v>
      </c>
      <c r="G1881" s="1" t="s">
        <v>2080</v>
      </c>
      <c r="H1881" s="1" t="s">
        <v>2085</v>
      </c>
      <c r="I1881" s="1">
        <v>3</v>
      </c>
      <c r="J1881" s="1">
        <v>2846.65</v>
      </c>
      <c r="K1881" s="1">
        <v>5.88</v>
      </c>
      <c r="L1881" s="1">
        <v>8037.8</v>
      </c>
      <c r="M1881" s="1">
        <v>1571.28</v>
      </c>
      <c r="N1881" s="1" t="s">
        <v>2088</v>
      </c>
    </row>
    <row r="1882" spans="1:14">
      <c r="A1882" s="1" t="s">
        <v>1894</v>
      </c>
      <c r="B1882" s="2">
        <v>45978</v>
      </c>
      <c r="C1882" s="1" t="s">
        <v>2016</v>
      </c>
      <c r="D1882" s="1" t="s">
        <v>2034</v>
      </c>
      <c r="E1882" s="1" t="s">
        <v>2046</v>
      </c>
      <c r="F1882" s="1" t="s">
        <v>2049</v>
      </c>
      <c r="G1882" s="1" t="s">
        <v>2082</v>
      </c>
      <c r="H1882" s="1" t="s">
        <v>2085</v>
      </c>
      <c r="I1882" s="1">
        <v>7</v>
      </c>
      <c r="J1882" s="1">
        <v>300.44</v>
      </c>
      <c r="K1882" s="1">
        <v>8.14</v>
      </c>
      <c r="L1882" s="1">
        <v>1931.89</v>
      </c>
      <c r="M1882" s="1">
        <v>467.4</v>
      </c>
      <c r="N1882" s="1" t="s">
        <v>2090</v>
      </c>
    </row>
    <row r="1883" spans="1:14">
      <c r="A1883" s="1" t="s">
        <v>1895</v>
      </c>
      <c r="B1883" s="2">
        <v>45978</v>
      </c>
      <c r="C1883" s="1" t="s">
        <v>2016</v>
      </c>
      <c r="D1883" s="1" t="s">
        <v>2035</v>
      </c>
      <c r="E1883" s="1" t="s">
        <v>2045</v>
      </c>
      <c r="F1883" s="1" t="s">
        <v>2049</v>
      </c>
      <c r="G1883" s="1" t="s">
        <v>2074</v>
      </c>
      <c r="H1883" s="1" t="s">
        <v>2087</v>
      </c>
      <c r="I1883" s="1">
        <v>7</v>
      </c>
      <c r="J1883" s="1">
        <v>1565.88</v>
      </c>
      <c r="K1883" s="1">
        <v>0.32</v>
      </c>
      <c r="L1883" s="1">
        <v>10926.08</v>
      </c>
      <c r="M1883" s="1">
        <v>2386.0300000000002</v>
      </c>
      <c r="N1883" s="1" t="s">
        <v>2091</v>
      </c>
    </row>
    <row r="1884" spans="1:14">
      <c r="A1884" s="1" t="s">
        <v>1896</v>
      </c>
      <c r="B1884" s="2">
        <v>45979</v>
      </c>
      <c r="C1884" s="1" t="s">
        <v>2022</v>
      </c>
      <c r="D1884" s="1" t="s">
        <v>2036</v>
      </c>
      <c r="E1884" s="1" t="s">
        <v>2045</v>
      </c>
      <c r="F1884" s="1" t="s">
        <v>2050</v>
      </c>
      <c r="G1884" s="1" t="s">
        <v>2056</v>
      </c>
      <c r="H1884" s="1" t="s">
        <v>2086</v>
      </c>
      <c r="I1884" s="1">
        <v>6</v>
      </c>
      <c r="J1884" s="1">
        <v>6639.02</v>
      </c>
      <c r="K1884" s="1">
        <v>23.55</v>
      </c>
      <c r="L1884" s="1">
        <v>30453.18</v>
      </c>
      <c r="M1884" s="1">
        <v>8310.52</v>
      </c>
      <c r="N1884" s="1" t="s">
        <v>2088</v>
      </c>
    </row>
    <row r="1885" spans="1:14">
      <c r="A1885" s="1" t="s">
        <v>1897</v>
      </c>
      <c r="B1885" s="2">
        <v>45979</v>
      </c>
      <c r="C1885" s="1" t="s">
        <v>2020</v>
      </c>
      <c r="D1885" s="1" t="s">
        <v>2037</v>
      </c>
      <c r="E1885" s="1" t="s">
        <v>2048</v>
      </c>
      <c r="F1885" s="1" t="s">
        <v>2051</v>
      </c>
      <c r="G1885" s="1" t="s">
        <v>2080</v>
      </c>
      <c r="H1885" s="1" t="s">
        <v>2085</v>
      </c>
      <c r="I1885" s="1">
        <v>4</v>
      </c>
      <c r="J1885" s="1">
        <v>16647.38</v>
      </c>
      <c r="K1885" s="1">
        <v>23.87</v>
      </c>
      <c r="L1885" s="1">
        <v>50694.6</v>
      </c>
      <c r="M1885" s="1">
        <v>12212.38</v>
      </c>
      <c r="N1885" s="1" t="s">
        <v>2088</v>
      </c>
    </row>
    <row r="1886" spans="1:14">
      <c r="A1886" s="1" t="s">
        <v>1898</v>
      </c>
      <c r="B1886" s="2">
        <v>45980</v>
      </c>
      <c r="C1886" s="1" t="s">
        <v>2022</v>
      </c>
      <c r="D1886" s="1" t="s">
        <v>2038</v>
      </c>
      <c r="E1886" s="1" t="s">
        <v>2047</v>
      </c>
      <c r="F1886" s="1" t="s">
        <v>2053</v>
      </c>
      <c r="G1886" s="1" t="s">
        <v>2060</v>
      </c>
      <c r="H1886" s="1" t="s">
        <v>2086</v>
      </c>
      <c r="I1886" s="1">
        <v>4</v>
      </c>
      <c r="J1886" s="1">
        <v>2158.7199999999998</v>
      </c>
      <c r="K1886" s="1">
        <v>1.74</v>
      </c>
      <c r="L1886" s="1">
        <v>8484.6299999999992</v>
      </c>
      <c r="M1886" s="1">
        <v>1541.05</v>
      </c>
      <c r="N1886" s="1" t="s">
        <v>2088</v>
      </c>
    </row>
    <row r="1887" spans="1:14">
      <c r="A1887" s="1" t="s">
        <v>1899</v>
      </c>
      <c r="B1887" s="2">
        <v>45980</v>
      </c>
      <c r="C1887" s="1" t="s">
        <v>2016</v>
      </c>
      <c r="D1887" s="1" t="s">
        <v>2039</v>
      </c>
      <c r="E1887" s="1" t="s">
        <v>2047</v>
      </c>
      <c r="F1887" s="1" t="s">
        <v>2051</v>
      </c>
      <c r="G1887" s="1" t="s">
        <v>2061</v>
      </c>
      <c r="H1887" s="1" t="s">
        <v>2087</v>
      </c>
      <c r="I1887" s="1">
        <v>4</v>
      </c>
      <c r="J1887" s="1">
        <v>34767.82</v>
      </c>
      <c r="K1887" s="1">
        <v>28.17</v>
      </c>
      <c r="L1887" s="1">
        <v>99894.9</v>
      </c>
      <c r="M1887" s="1">
        <v>29786.78</v>
      </c>
      <c r="N1887" s="1" t="s">
        <v>2090</v>
      </c>
    </row>
    <row r="1888" spans="1:14">
      <c r="A1888" s="1" t="s">
        <v>1900</v>
      </c>
      <c r="B1888" s="2">
        <v>45980</v>
      </c>
      <c r="C1888" s="1" t="s">
        <v>2027</v>
      </c>
      <c r="D1888" s="1" t="s">
        <v>2040</v>
      </c>
      <c r="E1888" s="1" t="s">
        <v>2044</v>
      </c>
      <c r="F1888" s="1" t="s">
        <v>2050</v>
      </c>
      <c r="G1888" s="1" t="s">
        <v>2064</v>
      </c>
      <c r="H1888" s="1" t="s">
        <v>2087</v>
      </c>
      <c r="I1888" s="1">
        <v>7</v>
      </c>
      <c r="J1888" s="1">
        <v>7363.69</v>
      </c>
      <c r="K1888" s="1">
        <v>13.91</v>
      </c>
      <c r="L1888" s="1">
        <v>44375.81</v>
      </c>
      <c r="M1888" s="1">
        <v>3367.5</v>
      </c>
      <c r="N1888" s="1" t="s">
        <v>2090</v>
      </c>
    </row>
    <row r="1889" spans="1:14">
      <c r="A1889" s="1" t="s">
        <v>1901</v>
      </c>
      <c r="B1889" s="2">
        <v>45981</v>
      </c>
      <c r="C1889" s="1" t="s">
        <v>2017</v>
      </c>
      <c r="D1889" s="1" t="s">
        <v>2041</v>
      </c>
      <c r="E1889" s="1" t="s">
        <v>2045</v>
      </c>
      <c r="F1889" s="1" t="s">
        <v>2054</v>
      </c>
      <c r="G1889" s="1" t="s">
        <v>2066</v>
      </c>
      <c r="H1889" s="1" t="s">
        <v>2085</v>
      </c>
      <c r="I1889" s="1">
        <v>5</v>
      </c>
      <c r="J1889" s="1">
        <v>79522.820000000007</v>
      </c>
      <c r="K1889" s="1">
        <v>16.309999999999999</v>
      </c>
      <c r="L1889" s="1">
        <v>332763.24</v>
      </c>
      <c r="M1889" s="1">
        <v>56039.89</v>
      </c>
      <c r="N1889" s="1" t="s">
        <v>2092</v>
      </c>
    </row>
    <row r="1890" spans="1:14">
      <c r="A1890" s="1" t="s">
        <v>1902</v>
      </c>
      <c r="B1890" s="2">
        <v>45981</v>
      </c>
      <c r="C1890" s="1" t="s">
        <v>2023</v>
      </c>
      <c r="D1890" s="1" t="s">
        <v>2042</v>
      </c>
      <c r="E1890" s="1" t="s">
        <v>2045</v>
      </c>
      <c r="F1890" s="1" t="s">
        <v>2054</v>
      </c>
      <c r="G1890" s="1" t="s">
        <v>2068</v>
      </c>
      <c r="H1890" s="1" t="s">
        <v>2085</v>
      </c>
      <c r="I1890" s="1">
        <v>4</v>
      </c>
      <c r="J1890" s="1">
        <v>3138.42</v>
      </c>
      <c r="K1890" s="1">
        <v>15.51</v>
      </c>
      <c r="L1890" s="1">
        <v>10606.6</v>
      </c>
      <c r="M1890" s="1">
        <v>1051.8699999999999</v>
      </c>
      <c r="N1890" s="1" t="s">
        <v>2092</v>
      </c>
    </row>
    <row r="1891" spans="1:14">
      <c r="A1891" s="1" t="s">
        <v>1903</v>
      </c>
      <c r="B1891" s="2">
        <v>45981</v>
      </c>
      <c r="C1891" s="1" t="s">
        <v>2024</v>
      </c>
      <c r="D1891" s="1" t="s">
        <v>2043</v>
      </c>
      <c r="E1891" s="1" t="s">
        <v>2046</v>
      </c>
      <c r="F1891" s="1" t="s">
        <v>2051</v>
      </c>
      <c r="G1891" s="1" t="s">
        <v>2080</v>
      </c>
      <c r="H1891" s="1" t="s">
        <v>2085</v>
      </c>
      <c r="I1891" s="1">
        <v>2</v>
      </c>
      <c r="J1891" s="1">
        <v>32206.17</v>
      </c>
      <c r="K1891" s="1">
        <v>19.25</v>
      </c>
      <c r="L1891" s="1">
        <v>52012.959999999999</v>
      </c>
      <c r="M1891" s="1">
        <v>11299.19</v>
      </c>
      <c r="N1891" s="1" t="s">
        <v>2092</v>
      </c>
    </row>
    <row r="1892" spans="1:14">
      <c r="A1892" s="1" t="s">
        <v>1904</v>
      </c>
      <c r="B1892" s="2">
        <v>45982</v>
      </c>
      <c r="C1892" s="1" t="s">
        <v>2020</v>
      </c>
      <c r="D1892" s="1" t="s">
        <v>2029</v>
      </c>
      <c r="E1892" s="1" t="s">
        <v>2047</v>
      </c>
      <c r="F1892" s="1" t="s">
        <v>2054</v>
      </c>
      <c r="G1892" s="1" t="s">
        <v>2079</v>
      </c>
      <c r="H1892" s="1" t="s">
        <v>2086</v>
      </c>
      <c r="I1892" s="1">
        <v>9</v>
      </c>
      <c r="J1892" s="1">
        <v>15016.47</v>
      </c>
      <c r="K1892" s="1">
        <v>18.5</v>
      </c>
      <c r="L1892" s="1">
        <v>110145.81</v>
      </c>
      <c r="M1892" s="1">
        <v>11946.65</v>
      </c>
      <c r="N1892" s="1" t="s">
        <v>2089</v>
      </c>
    </row>
    <row r="1893" spans="1:14">
      <c r="A1893" s="1" t="s">
        <v>1905</v>
      </c>
      <c r="B1893" s="2">
        <v>45982</v>
      </c>
      <c r="C1893" s="1" t="s">
        <v>2025</v>
      </c>
      <c r="D1893" s="1" t="s">
        <v>2030</v>
      </c>
      <c r="E1893" s="1" t="s">
        <v>2048</v>
      </c>
      <c r="F1893" s="1" t="s">
        <v>2052</v>
      </c>
      <c r="G1893" s="1" t="s">
        <v>2059</v>
      </c>
      <c r="H1893" s="1" t="s">
        <v>2087</v>
      </c>
      <c r="I1893" s="1">
        <v>9</v>
      </c>
      <c r="J1893" s="1">
        <v>7851.91</v>
      </c>
      <c r="K1893" s="1">
        <v>18.68</v>
      </c>
      <c r="L1893" s="1">
        <v>57466.559999999998</v>
      </c>
      <c r="M1893" s="1">
        <v>5088.99</v>
      </c>
      <c r="N1893" s="1" t="s">
        <v>2090</v>
      </c>
    </row>
    <row r="1894" spans="1:14">
      <c r="A1894" s="1" t="s">
        <v>1906</v>
      </c>
      <c r="B1894" s="2">
        <v>45982</v>
      </c>
      <c r="C1894" s="1" t="s">
        <v>2024</v>
      </c>
      <c r="D1894" s="1" t="s">
        <v>2031</v>
      </c>
      <c r="E1894" s="1" t="s">
        <v>2048</v>
      </c>
      <c r="F1894" s="1" t="s">
        <v>2051</v>
      </c>
      <c r="G1894" s="1" t="s">
        <v>2061</v>
      </c>
      <c r="H1894" s="1" t="s">
        <v>2085</v>
      </c>
      <c r="I1894" s="1">
        <v>1</v>
      </c>
      <c r="J1894" s="1">
        <v>21920.79</v>
      </c>
      <c r="K1894" s="1">
        <v>22.26</v>
      </c>
      <c r="L1894" s="1">
        <v>17041.22</v>
      </c>
      <c r="M1894" s="1">
        <v>3817.85</v>
      </c>
      <c r="N1894" s="1" t="s">
        <v>2091</v>
      </c>
    </row>
    <row r="1895" spans="1:14">
      <c r="A1895" s="1" t="s">
        <v>1907</v>
      </c>
      <c r="B1895" s="2">
        <v>45983</v>
      </c>
      <c r="C1895" s="1" t="s">
        <v>2019</v>
      </c>
      <c r="D1895" s="1" t="s">
        <v>2032</v>
      </c>
      <c r="E1895" s="1" t="s">
        <v>2046</v>
      </c>
      <c r="F1895" s="1" t="s">
        <v>2053</v>
      </c>
      <c r="G1895" s="1" t="s">
        <v>2067</v>
      </c>
      <c r="H1895" s="1" t="s">
        <v>2087</v>
      </c>
      <c r="I1895" s="1">
        <v>1</v>
      </c>
      <c r="J1895" s="1">
        <v>1759.33</v>
      </c>
      <c r="K1895" s="1">
        <v>9.7799999999999994</v>
      </c>
      <c r="L1895" s="1">
        <v>1587.27</v>
      </c>
      <c r="M1895" s="1">
        <v>391.1</v>
      </c>
      <c r="N1895" s="1" t="s">
        <v>2090</v>
      </c>
    </row>
    <row r="1896" spans="1:14">
      <c r="A1896" s="1" t="s">
        <v>1908</v>
      </c>
      <c r="B1896" s="2">
        <v>45983</v>
      </c>
      <c r="C1896" s="1" t="s">
        <v>2021</v>
      </c>
      <c r="D1896" s="1" t="s">
        <v>2033</v>
      </c>
      <c r="E1896" s="1" t="s">
        <v>2048</v>
      </c>
      <c r="F1896" s="1" t="s">
        <v>2053</v>
      </c>
      <c r="G1896" s="1" t="s">
        <v>2060</v>
      </c>
      <c r="H1896" s="1" t="s">
        <v>2085</v>
      </c>
      <c r="I1896" s="1">
        <v>9</v>
      </c>
      <c r="J1896" s="1">
        <v>864.24</v>
      </c>
      <c r="K1896" s="1">
        <v>18.98</v>
      </c>
      <c r="L1896" s="1">
        <v>6301.87</v>
      </c>
      <c r="M1896" s="1">
        <v>1864.71</v>
      </c>
      <c r="N1896" s="1" t="s">
        <v>2088</v>
      </c>
    </row>
    <row r="1897" spans="1:14">
      <c r="A1897" s="1" t="s">
        <v>1909</v>
      </c>
      <c r="B1897" s="2">
        <v>45984</v>
      </c>
      <c r="C1897" s="1" t="s">
        <v>2020</v>
      </c>
      <c r="D1897" s="1" t="s">
        <v>2034</v>
      </c>
      <c r="E1897" s="1" t="s">
        <v>2044</v>
      </c>
      <c r="F1897" s="1" t="s">
        <v>2053</v>
      </c>
      <c r="G1897" s="1" t="s">
        <v>2062</v>
      </c>
      <c r="H1897" s="1" t="s">
        <v>2087</v>
      </c>
      <c r="I1897" s="1">
        <v>10</v>
      </c>
      <c r="J1897" s="1">
        <v>2140.87</v>
      </c>
      <c r="K1897" s="1">
        <v>2.0299999999999998</v>
      </c>
      <c r="L1897" s="1">
        <v>20974.1</v>
      </c>
      <c r="M1897" s="1">
        <v>6257.57</v>
      </c>
      <c r="N1897" s="1" t="s">
        <v>2091</v>
      </c>
    </row>
    <row r="1898" spans="1:14">
      <c r="A1898" s="1" t="s">
        <v>1910</v>
      </c>
      <c r="B1898" s="2">
        <v>45984</v>
      </c>
      <c r="C1898" s="1" t="s">
        <v>2028</v>
      </c>
      <c r="D1898" s="1" t="s">
        <v>2035</v>
      </c>
      <c r="E1898" s="1" t="s">
        <v>2046</v>
      </c>
      <c r="F1898" s="1" t="s">
        <v>2049</v>
      </c>
      <c r="G1898" s="1" t="s">
        <v>2071</v>
      </c>
      <c r="H1898" s="1" t="s">
        <v>2086</v>
      </c>
      <c r="I1898" s="1">
        <v>4</v>
      </c>
      <c r="J1898" s="1">
        <v>113.84</v>
      </c>
      <c r="K1898" s="1">
        <v>6.99</v>
      </c>
      <c r="L1898" s="1">
        <v>423.53</v>
      </c>
      <c r="M1898" s="1">
        <v>101.36</v>
      </c>
      <c r="N1898" s="1" t="s">
        <v>2091</v>
      </c>
    </row>
    <row r="1899" spans="1:14">
      <c r="A1899" s="1" t="s">
        <v>1911</v>
      </c>
      <c r="B1899" s="2">
        <v>45984</v>
      </c>
      <c r="C1899" s="1" t="s">
        <v>2015</v>
      </c>
      <c r="D1899" s="1" t="s">
        <v>2036</v>
      </c>
      <c r="E1899" s="1" t="s">
        <v>2048</v>
      </c>
      <c r="F1899" s="1" t="s">
        <v>2049</v>
      </c>
      <c r="G1899" s="1" t="s">
        <v>2082</v>
      </c>
      <c r="H1899" s="1" t="s">
        <v>2085</v>
      </c>
      <c r="I1899" s="1">
        <v>1</v>
      </c>
      <c r="J1899" s="1">
        <v>678.75</v>
      </c>
      <c r="K1899" s="1">
        <v>26.55</v>
      </c>
      <c r="L1899" s="1">
        <v>498.54</v>
      </c>
      <c r="M1899" s="1">
        <v>147.19999999999999</v>
      </c>
      <c r="N1899" s="1" t="s">
        <v>2092</v>
      </c>
    </row>
    <row r="1900" spans="1:14">
      <c r="A1900" s="1" t="s">
        <v>1912</v>
      </c>
      <c r="B1900" s="2">
        <v>45985</v>
      </c>
      <c r="C1900" s="1" t="s">
        <v>2026</v>
      </c>
      <c r="D1900" s="1" t="s">
        <v>2037</v>
      </c>
      <c r="E1900" s="1" t="s">
        <v>2048</v>
      </c>
      <c r="F1900" s="1" t="s">
        <v>2051</v>
      </c>
      <c r="G1900" s="1" t="s">
        <v>2077</v>
      </c>
      <c r="H1900" s="1" t="s">
        <v>2086</v>
      </c>
      <c r="I1900" s="1">
        <v>1</v>
      </c>
      <c r="J1900" s="1">
        <v>8437.92</v>
      </c>
      <c r="K1900" s="1">
        <v>27.39</v>
      </c>
      <c r="L1900" s="1">
        <v>6126.77</v>
      </c>
      <c r="M1900" s="1">
        <v>1020.28</v>
      </c>
      <c r="N1900" s="1" t="s">
        <v>2091</v>
      </c>
    </row>
    <row r="1901" spans="1:14">
      <c r="A1901" s="1" t="s">
        <v>1913</v>
      </c>
      <c r="B1901" s="2">
        <v>45985</v>
      </c>
      <c r="C1901" s="1" t="s">
        <v>2014</v>
      </c>
      <c r="D1901" s="1" t="s">
        <v>2038</v>
      </c>
      <c r="E1901" s="1" t="s">
        <v>2047</v>
      </c>
      <c r="F1901" s="1" t="s">
        <v>2053</v>
      </c>
      <c r="G1901" s="1" t="s">
        <v>2067</v>
      </c>
      <c r="H1901" s="1" t="s">
        <v>2087</v>
      </c>
      <c r="I1901" s="1">
        <v>7</v>
      </c>
      <c r="J1901" s="1">
        <v>1794.18</v>
      </c>
      <c r="K1901" s="1">
        <v>11.81</v>
      </c>
      <c r="L1901" s="1">
        <v>11076.01</v>
      </c>
      <c r="M1901" s="1">
        <v>1308.82</v>
      </c>
      <c r="N1901" s="1" t="s">
        <v>2090</v>
      </c>
    </row>
    <row r="1902" spans="1:14">
      <c r="A1902" s="1" t="s">
        <v>1914</v>
      </c>
      <c r="B1902" s="2">
        <v>45985</v>
      </c>
      <c r="C1902" s="1" t="s">
        <v>2019</v>
      </c>
      <c r="D1902" s="1" t="s">
        <v>2039</v>
      </c>
      <c r="E1902" s="1" t="s">
        <v>2047</v>
      </c>
      <c r="F1902" s="1" t="s">
        <v>2051</v>
      </c>
      <c r="G1902" s="1" t="s">
        <v>2080</v>
      </c>
      <c r="H1902" s="1" t="s">
        <v>2087</v>
      </c>
      <c r="I1902" s="1">
        <v>3</v>
      </c>
      <c r="J1902" s="1">
        <v>25265.71</v>
      </c>
      <c r="K1902" s="1">
        <v>0.36</v>
      </c>
      <c r="L1902" s="1">
        <v>75524.259999999995</v>
      </c>
      <c r="M1902" s="1">
        <v>13002.33</v>
      </c>
      <c r="N1902" s="1" t="s">
        <v>2091</v>
      </c>
    </row>
    <row r="1903" spans="1:14">
      <c r="A1903" s="1" t="s">
        <v>1915</v>
      </c>
      <c r="B1903" s="2">
        <v>45986</v>
      </c>
      <c r="C1903" s="1" t="s">
        <v>2028</v>
      </c>
      <c r="D1903" s="1" t="s">
        <v>2040</v>
      </c>
      <c r="E1903" s="1" t="s">
        <v>2048</v>
      </c>
      <c r="F1903" s="1" t="s">
        <v>2049</v>
      </c>
      <c r="G1903" s="1" t="s">
        <v>2082</v>
      </c>
      <c r="H1903" s="1" t="s">
        <v>2086</v>
      </c>
      <c r="I1903" s="1">
        <v>9</v>
      </c>
      <c r="J1903" s="1">
        <v>991.33</v>
      </c>
      <c r="K1903" s="1">
        <v>26.61</v>
      </c>
      <c r="L1903" s="1">
        <v>6547.83</v>
      </c>
      <c r="M1903" s="1">
        <v>408</v>
      </c>
      <c r="N1903" s="1" t="s">
        <v>2091</v>
      </c>
    </row>
    <row r="1904" spans="1:14">
      <c r="A1904" s="1" t="s">
        <v>1916</v>
      </c>
      <c r="B1904" s="2">
        <v>45986</v>
      </c>
      <c r="C1904" s="1" t="s">
        <v>2024</v>
      </c>
      <c r="D1904" s="1" t="s">
        <v>2041</v>
      </c>
      <c r="E1904" s="1" t="s">
        <v>2045</v>
      </c>
      <c r="F1904" s="1" t="s">
        <v>2051</v>
      </c>
      <c r="G1904" s="1" t="s">
        <v>2057</v>
      </c>
      <c r="H1904" s="1" t="s">
        <v>2086</v>
      </c>
      <c r="I1904" s="1">
        <v>3</v>
      </c>
      <c r="J1904" s="1">
        <v>16664.16</v>
      </c>
      <c r="K1904" s="1">
        <v>5.6</v>
      </c>
      <c r="L1904" s="1">
        <v>47192.9</v>
      </c>
      <c r="M1904" s="1">
        <v>9726.4599999999991</v>
      </c>
      <c r="N1904" s="1" t="s">
        <v>2091</v>
      </c>
    </row>
    <row r="1905" spans="1:14">
      <c r="A1905" s="1" t="s">
        <v>1917</v>
      </c>
      <c r="B1905" s="2">
        <v>45986</v>
      </c>
      <c r="C1905" s="1" t="s">
        <v>2028</v>
      </c>
      <c r="D1905" s="1" t="s">
        <v>2042</v>
      </c>
      <c r="E1905" s="1" t="s">
        <v>2048</v>
      </c>
      <c r="F1905" s="1" t="s">
        <v>2054</v>
      </c>
      <c r="G1905" s="1" t="s">
        <v>2081</v>
      </c>
      <c r="H1905" s="1" t="s">
        <v>2085</v>
      </c>
      <c r="I1905" s="1">
        <v>3</v>
      </c>
      <c r="J1905" s="1">
        <v>57765.78</v>
      </c>
      <c r="K1905" s="1">
        <v>24.9</v>
      </c>
      <c r="L1905" s="1">
        <v>130146.3</v>
      </c>
      <c r="M1905" s="1">
        <v>13031.21</v>
      </c>
      <c r="N1905" s="1" t="s">
        <v>2091</v>
      </c>
    </row>
    <row r="1906" spans="1:14">
      <c r="A1906" s="1" t="s">
        <v>1918</v>
      </c>
      <c r="B1906" s="2">
        <v>45987</v>
      </c>
      <c r="C1906" s="1" t="s">
        <v>2021</v>
      </c>
      <c r="D1906" s="1" t="s">
        <v>2043</v>
      </c>
      <c r="E1906" s="1" t="s">
        <v>2045</v>
      </c>
      <c r="F1906" s="1" t="s">
        <v>2050</v>
      </c>
      <c r="G1906" s="1" t="s">
        <v>2064</v>
      </c>
      <c r="H1906" s="1" t="s">
        <v>2085</v>
      </c>
      <c r="I1906" s="1">
        <v>1</v>
      </c>
      <c r="J1906" s="1">
        <v>2082.06</v>
      </c>
      <c r="K1906" s="1">
        <v>7.55</v>
      </c>
      <c r="L1906" s="1">
        <v>1924.86</v>
      </c>
      <c r="M1906" s="1">
        <v>320.77</v>
      </c>
      <c r="N1906" s="1" t="s">
        <v>2091</v>
      </c>
    </row>
    <row r="1907" spans="1:14">
      <c r="A1907" s="1" t="s">
        <v>1919</v>
      </c>
      <c r="B1907" s="2">
        <v>45987</v>
      </c>
      <c r="C1907" s="1" t="s">
        <v>2024</v>
      </c>
      <c r="D1907" s="1" t="s">
        <v>2029</v>
      </c>
      <c r="E1907" s="1" t="s">
        <v>2047</v>
      </c>
      <c r="F1907" s="1" t="s">
        <v>2053</v>
      </c>
      <c r="G1907" s="1" t="s">
        <v>2076</v>
      </c>
      <c r="H1907" s="1" t="s">
        <v>2085</v>
      </c>
      <c r="I1907" s="1">
        <v>8</v>
      </c>
      <c r="J1907" s="1">
        <v>2040.61</v>
      </c>
      <c r="K1907" s="1">
        <v>27.61</v>
      </c>
      <c r="L1907" s="1">
        <v>11817.58</v>
      </c>
      <c r="M1907" s="1">
        <v>1853.86</v>
      </c>
      <c r="N1907" s="1" t="s">
        <v>2090</v>
      </c>
    </row>
    <row r="1908" spans="1:14">
      <c r="A1908" s="1" t="s">
        <v>1920</v>
      </c>
      <c r="B1908" s="2">
        <v>45988</v>
      </c>
      <c r="C1908" s="1" t="s">
        <v>2016</v>
      </c>
      <c r="D1908" s="1" t="s">
        <v>2030</v>
      </c>
      <c r="E1908" s="1" t="s">
        <v>2046</v>
      </c>
      <c r="F1908" s="1" t="s">
        <v>2050</v>
      </c>
      <c r="G1908" s="1" t="s">
        <v>2064</v>
      </c>
      <c r="H1908" s="1" t="s">
        <v>2085</v>
      </c>
      <c r="I1908" s="1">
        <v>7</v>
      </c>
      <c r="J1908" s="1">
        <v>1200.1500000000001</v>
      </c>
      <c r="K1908" s="1">
        <v>14.97</v>
      </c>
      <c r="L1908" s="1">
        <v>7143.41</v>
      </c>
      <c r="M1908" s="1">
        <v>1775.79</v>
      </c>
      <c r="N1908" s="1" t="s">
        <v>2092</v>
      </c>
    </row>
    <row r="1909" spans="1:14">
      <c r="A1909" s="1" t="s">
        <v>1921</v>
      </c>
      <c r="B1909" s="2">
        <v>45988</v>
      </c>
      <c r="C1909" s="1" t="s">
        <v>2021</v>
      </c>
      <c r="D1909" s="1" t="s">
        <v>2031</v>
      </c>
      <c r="E1909" s="1" t="s">
        <v>2044</v>
      </c>
      <c r="F1909" s="1" t="s">
        <v>2051</v>
      </c>
      <c r="G1909" s="1" t="s">
        <v>2080</v>
      </c>
      <c r="H1909" s="1" t="s">
        <v>2086</v>
      </c>
      <c r="I1909" s="1">
        <v>6</v>
      </c>
      <c r="J1909" s="1">
        <v>13090.07</v>
      </c>
      <c r="K1909" s="1">
        <v>22.44</v>
      </c>
      <c r="L1909" s="1">
        <v>60915.95</v>
      </c>
      <c r="M1909" s="1">
        <v>11525.53</v>
      </c>
      <c r="N1909" s="1" t="s">
        <v>2088</v>
      </c>
    </row>
    <row r="1910" spans="1:14">
      <c r="A1910" s="1" t="s">
        <v>1922</v>
      </c>
      <c r="B1910" s="2">
        <v>45988</v>
      </c>
      <c r="C1910" s="1" t="s">
        <v>2026</v>
      </c>
      <c r="D1910" s="1" t="s">
        <v>2032</v>
      </c>
      <c r="E1910" s="1" t="s">
        <v>2045</v>
      </c>
      <c r="F1910" s="1" t="s">
        <v>2052</v>
      </c>
      <c r="G1910" s="1" t="s">
        <v>2083</v>
      </c>
      <c r="H1910" s="1" t="s">
        <v>2086</v>
      </c>
      <c r="I1910" s="1">
        <v>10</v>
      </c>
      <c r="J1910" s="1">
        <v>3685.74</v>
      </c>
      <c r="K1910" s="1">
        <v>9.66</v>
      </c>
      <c r="L1910" s="1">
        <v>33296.980000000003</v>
      </c>
      <c r="M1910" s="1">
        <v>7378.78</v>
      </c>
      <c r="N1910" s="1" t="s">
        <v>2088</v>
      </c>
    </row>
    <row r="1911" spans="1:14">
      <c r="A1911" s="1" t="s">
        <v>1923</v>
      </c>
      <c r="B1911" s="2">
        <v>45989</v>
      </c>
      <c r="C1911" s="1" t="s">
        <v>2023</v>
      </c>
      <c r="D1911" s="1" t="s">
        <v>2033</v>
      </c>
      <c r="E1911" s="1" t="s">
        <v>2044</v>
      </c>
      <c r="F1911" s="1" t="s">
        <v>2049</v>
      </c>
      <c r="G1911" s="1" t="s">
        <v>2082</v>
      </c>
      <c r="H1911" s="1" t="s">
        <v>2087</v>
      </c>
      <c r="I1911" s="1">
        <v>8</v>
      </c>
      <c r="J1911" s="1">
        <v>2008.79</v>
      </c>
      <c r="K1911" s="1">
        <v>27.36</v>
      </c>
      <c r="L1911" s="1">
        <v>11673.48</v>
      </c>
      <c r="M1911" s="1">
        <v>1927.86</v>
      </c>
      <c r="N1911" s="1" t="s">
        <v>2090</v>
      </c>
    </row>
    <row r="1912" spans="1:14">
      <c r="A1912" s="1" t="s">
        <v>1924</v>
      </c>
      <c r="B1912" s="2">
        <v>45989</v>
      </c>
      <c r="C1912" s="1" t="s">
        <v>2020</v>
      </c>
      <c r="D1912" s="1" t="s">
        <v>2034</v>
      </c>
      <c r="E1912" s="1" t="s">
        <v>2048</v>
      </c>
      <c r="F1912" s="1" t="s">
        <v>2054</v>
      </c>
      <c r="G1912" s="1" t="s">
        <v>2066</v>
      </c>
      <c r="H1912" s="1" t="s">
        <v>2087</v>
      </c>
      <c r="I1912" s="1">
        <v>9</v>
      </c>
      <c r="J1912" s="1">
        <v>31649.64</v>
      </c>
      <c r="K1912" s="1">
        <v>10.96</v>
      </c>
      <c r="L1912" s="1">
        <v>253627.56</v>
      </c>
      <c r="M1912" s="1">
        <v>47098.47</v>
      </c>
      <c r="N1912" s="1" t="s">
        <v>2088</v>
      </c>
    </row>
    <row r="1913" spans="1:14">
      <c r="A1913" s="1" t="s">
        <v>1925</v>
      </c>
      <c r="B1913" s="2">
        <v>45989</v>
      </c>
      <c r="C1913" s="1" t="s">
        <v>2018</v>
      </c>
      <c r="D1913" s="1" t="s">
        <v>2035</v>
      </c>
      <c r="E1913" s="1" t="s">
        <v>2044</v>
      </c>
      <c r="F1913" s="1" t="s">
        <v>2052</v>
      </c>
      <c r="G1913" s="1" t="s">
        <v>2078</v>
      </c>
      <c r="H1913" s="1" t="s">
        <v>2085</v>
      </c>
      <c r="I1913" s="1">
        <v>6</v>
      </c>
      <c r="J1913" s="1">
        <v>6052.08</v>
      </c>
      <c r="K1913" s="1">
        <v>13.73</v>
      </c>
      <c r="L1913" s="1">
        <v>31326.78</v>
      </c>
      <c r="M1913" s="1">
        <v>4235.09</v>
      </c>
      <c r="N1913" s="1" t="s">
        <v>2089</v>
      </c>
    </row>
    <row r="1914" spans="1:14">
      <c r="A1914" s="1" t="s">
        <v>1926</v>
      </c>
      <c r="B1914" s="2">
        <v>45990</v>
      </c>
      <c r="C1914" s="1" t="s">
        <v>2027</v>
      </c>
      <c r="D1914" s="1" t="s">
        <v>2036</v>
      </c>
      <c r="E1914" s="1" t="s">
        <v>2048</v>
      </c>
      <c r="F1914" s="1" t="s">
        <v>2051</v>
      </c>
      <c r="G1914" s="1" t="s">
        <v>2069</v>
      </c>
      <c r="H1914" s="1" t="s">
        <v>2087</v>
      </c>
      <c r="I1914" s="1">
        <v>2</v>
      </c>
      <c r="J1914" s="1">
        <v>8856.17</v>
      </c>
      <c r="K1914" s="1">
        <v>29.81</v>
      </c>
      <c r="L1914" s="1">
        <v>12432.29</v>
      </c>
      <c r="M1914" s="1">
        <v>2153.35</v>
      </c>
      <c r="N1914" s="1" t="s">
        <v>2092</v>
      </c>
    </row>
    <row r="1915" spans="1:14">
      <c r="A1915" s="1" t="s">
        <v>1927</v>
      </c>
      <c r="B1915" s="2">
        <v>45990</v>
      </c>
      <c r="C1915" s="1" t="s">
        <v>2022</v>
      </c>
      <c r="D1915" s="1" t="s">
        <v>2037</v>
      </c>
      <c r="E1915" s="1" t="s">
        <v>2046</v>
      </c>
      <c r="F1915" s="1" t="s">
        <v>2054</v>
      </c>
      <c r="G1915" s="1" t="s">
        <v>2063</v>
      </c>
      <c r="H1915" s="1" t="s">
        <v>2086</v>
      </c>
      <c r="I1915" s="1">
        <v>10</v>
      </c>
      <c r="J1915" s="1">
        <v>73609.929999999993</v>
      </c>
      <c r="K1915" s="1">
        <v>21.09</v>
      </c>
      <c r="L1915" s="1">
        <v>580855.96</v>
      </c>
      <c r="M1915" s="1">
        <v>140653.75</v>
      </c>
      <c r="N1915" s="1" t="s">
        <v>2091</v>
      </c>
    </row>
    <row r="1916" spans="1:14">
      <c r="A1916" s="1" t="s">
        <v>1928</v>
      </c>
      <c r="B1916" s="2">
        <v>45990</v>
      </c>
      <c r="C1916" s="1" t="s">
        <v>2021</v>
      </c>
      <c r="D1916" s="1" t="s">
        <v>2038</v>
      </c>
      <c r="E1916" s="1" t="s">
        <v>2046</v>
      </c>
      <c r="F1916" s="1" t="s">
        <v>2053</v>
      </c>
      <c r="G1916" s="1" t="s">
        <v>2062</v>
      </c>
      <c r="H1916" s="1" t="s">
        <v>2085</v>
      </c>
      <c r="I1916" s="1">
        <v>7</v>
      </c>
      <c r="J1916" s="1">
        <v>978.87</v>
      </c>
      <c r="K1916" s="1">
        <v>18.329999999999998</v>
      </c>
      <c r="L1916" s="1">
        <v>5596.1</v>
      </c>
      <c r="M1916" s="1">
        <v>1552.82</v>
      </c>
      <c r="N1916" s="1" t="s">
        <v>2092</v>
      </c>
    </row>
    <row r="1917" spans="1:14">
      <c r="A1917" s="1" t="s">
        <v>1929</v>
      </c>
      <c r="B1917" s="2">
        <v>45991</v>
      </c>
      <c r="C1917" s="1" t="s">
        <v>2015</v>
      </c>
      <c r="D1917" s="1" t="s">
        <v>2039</v>
      </c>
      <c r="E1917" s="1" t="s">
        <v>2046</v>
      </c>
      <c r="F1917" s="1" t="s">
        <v>2051</v>
      </c>
      <c r="G1917" s="1" t="s">
        <v>2069</v>
      </c>
      <c r="H1917" s="1" t="s">
        <v>2086</v>
      </c>
      <c r="I1917" s="1">
        <v>10</v>
      </c>
      <c r="J1917" s="1">
        <v>20834.54</v>
      </c>
      <c r="K1917" s="1">
        <v>2.4700000000000002</v>
      </c>
      <c r="L1917" s="1">
        <v>203199.27</v>
      </c>
      <c r="M1917" s="1">
        <v>47545.95</v>
      </c>
      <c r="N1917" s="1" t="s">
        <v>2090</v>
      </c>
    </row>
    <row r="1918" spans="1:14">
      <c r="A1918" s="1" t="s">
        <v>1930</v>
      </c>
      <c r="B1918" s="2">
        <v>45991</v>
      </c>
      <c r="C1918" s="1" t="s">
        <v>2018</v>
      </c>
      <c r="D1918" s="1" t="s">
        <v>2040</v>
      </c>
      <c r="E1918" s="1" t="s">
        <v>2047</v>
      </c>
      <c r="F1918" s="1" t="s">
        <v>2054</v>
      </c>
      <c r="G1918" s="1" t="s">
        <v>2079</v>
      </c>
      <c r="H1918" s="1" t="s">
        <v>2087</v>
      </c>
      <c r="I1918" s="1">
        <v>2</v>
      </c>
      <c r="J1918" s="1">
        <v>7597.85</v>
      </c>
      <c r="K1918" s="1">
        <v>11.62</v>
      </c>
      <c r="L1918" s="1">
        <v>13429.96</v>
      </c>
      <c r="M1918" s="1">
        <v>988.67</v>
      </c>
      <c r="N1918" s="1" t="s">
        <v>2091</v>
      </c>
    </row>
    <row r="1919" spans="1:14">
      <c r="A1919" s="1" t="s">
        <v>1931</v>
      </c>
      <c r="B1919" s="2">
        <v>45992</v>
      </c>
      <c r="C1919" s="1" t="s">
        <v>2028</v>
      </c>
      <c r="D1919" s="1" t="s">
        <v>2041</v>
      </c>
      <c r="E1919" s="1" t="s">
        <v>2046</v>
      </c>
      <c r="F1919" s="1" t="s">
        <v>2049</v>
      </c>
      <c r="G1919" s="1" t="s">
        <v>2082</v>
      </c>
      <c r="H1919" s="1" t="s">
        <v>2087</v>
      </c>
      <c r="I1919" s="1">
        <v>8</v>
      </c>
      <c r="J1919" s="1">
        <v>2077.0100000000002</v>
      </c>
      <c r="K1919" s="1">
        <v>14.96</v>
      </c>
      <c r="L1919" s="1">
        <v>14130.31</v>
      </c>
      <c r="M1919" s="1">
        <v>1380.09</v>
      </c>
      <c r="N1919" s="1" t="s">
        <v>2090</v>
      </c>
    </row>
    <row r="1920" spans="1:14">
      <c r="A1920" s="1" t="s">
        <v>1932</v>
      </c>
      <c r="B1920" s="2">
        <v>45992</v>
      </c>
      <c r="C1920" s="1" t="s">
        <v>2018</v>
      </c>
      <c r="D1920" s="1" t="s">
        <v>2042</v>
      </c>
      <c r="E1920" s="1" t="s">
        <v>2044</v>
      </c>
      <c r="F1920" s="1" t="s">
        <v>2053</v>
      </c>
      <c r="G1920" s="1" t="s">
        <v>2076</v>
      </c>
      <c r="H1920" s="1" t="s">
        <v>2086</v>
      </c>
      <c r="I1920" s="1">
        <v>5</v>
      </c>
      <c r="J1920" s="1">
        <v>1122.54</v>
      </c>
      <c r="K1920" s="1">
        <v>26.68</v>
      </c>
      <c r="L1920" s="1">
        <v>4115.2299999999996</v>
      </c>
      <c r="M1920" s="1">
        <v>447.37</v>
      </c>
      <c r="N1920" s="1" t="s">
        <v>2092</v>
      </c>
    </row>
    <row r="1921" spans="1:14">
      <c r="A1921" s="1" t="s">
        <v>1933</v>
      </c>
      <c r="B1921" s="2">
        <v>45992</v>
      </c>
      <c r="C1921" s="1" t="s">
        <v>2028</v>
      </c>
      <c r="D1921" s="1" t="s">
        <v>2043</v>
      </c>
      <c r="E1921" s="1" t="s">
        <v>2048</v>
      </c>
      <c r="F1921" s="1" t="s">
        <v>2054</v>
      </c>
      <c r="G1921" s="1" t="s">
        <v>2066</v>
      </c>
      <c r="H1921" s="1" t="s">
        <v>2086</v>
      </c>
      <c r="I1921" s="1">
        <v>8</v>
      </c>
      <c r="J1921" s="1">
        <v>61385.26</v>
      </c>
      <c r="K1921" s="1">
        <v>11.37</v>
      </c>
      <c r="L1921" s="1">
        <v>435246.05</v>
      </c>
      <c r="M1921" s="1">
        <v>73850.61</v>
      </c>
      <c r="N1921" s="1" t="s">
        <v>2091</v>
      </c>
    </row>
    <row r="1922" spans="1:14">
      <c r="A1922" s="1" t="s">
        <v>1934</v>
      </c>
      <c r="B1922" s="2">
        <v>45993</v>
      </c>
      <c r="C1922" s="1" t="s">
        <v>2025</v>
      </c>
      <c r="D1922" s="1" t="s">
        <v>2029</v>
      </c>
      <c r="E1922" s="1" t="s">
        <v>2045</v>
      </c>
      <c r="F1922" s="1" t="s">
        <v>2054</v>
      </c>
      <c r="G1922" s="1" t="s">
        <v>2079</v>
      </c>
      <c r="H1922" s="1" t="s">
        <v>2087</v>
      </c>
      <c r="I1922" s="1">
        <v>1</v>
      </c>
      <c r="J1922" s="1">
        <v>7377.49</v>
      </c>
      <c r="K1922" s="1">
        <v>1.71</v>
      </c>
      <c r="L1922" s="1">
        <v>7251.33</v>
      </c>
      <c r="M1922" s="1">
        <v>1041.1600000000001</v>
      </c>
      <c r="N1922" s="1" t="s">
        <v>2089</v>
      </c>
    </row>
    <row r="1923" spans="1:14">
      <c r="A1923" s="1" t="s">
        <v>1935</v>
      </c>
      <c r="B1923" s="2">
        <v>45993</v>
      </c>
      <c r="C1923" s="1" t="s">
        <v>2025</v>
      </c>
      <c r="D1923" s="1" t="s">
        <v>2030</v>
      </c>
      <c r="E1923" s="1" t="s">
        <v>2045</v>
      </c>
      <c r="F1923" s="1" t="s">
        <v>2054</v>
      </c>
      <c r="G1923" s="1" t="s">
        <v>2063</v>
      </c>
      <c r="H1923" s="1" t="s">
        <v>2087</v>
      </c>
      <c r="I1923" s="1">
        <v>8</v>
      </c>
      <c r="J1923" s="1">
        <v>29433.14</v>
      </c>
      <c r="K1923" s="1">
        <v>25.44</v>
      </c>
      <c r="L1923" s="1">
        <v>175562.79</v>
      </c>
      <c r="M1923" s="1">
        <v>32258.2</v>
      </c>
      <c r="N1923" s="1" t="s">
        <v>2089</v>
      </c>
    </row>
    <row r="1924" spans="1:14">
      <c r="A1924" s="1" t="s">
        <v>1936</v>
      </c>
      <c r="B1924" s="2">
        <v>45993</v>
      </c>
      <c r="C1924" s="1" t="s">
        <v>2025</v>
      </c>
      <c r="D1924" s="1" t="s">
        <v>2031</v>
      </c>
      <c r="E1924" s="1" t="s">
        <v>2045</v>
      </c>
      <c r="F1924" s="1" t="s">
        <v>2049</v>
      </c>
      <c r="G1924" s="1" t="s">
        <v>2058</v>
      </c>
      <c r="H1924" s="1" t="s">
        <v>2086</v>
      </c>
      <c r="I1924" s="1">
        <v>9</v>
      </c>
      <c r="J1924" s="1">
        <v>1396.23</v>
      </c>
      <c r="K1924" s="1">
        <v>6.16</v>
      </c>
      <c r="L1924" s="1">
        <v>11792</v>
      </c>
      <c r="M1924" s="1">
        <v>1203.02</v>
      </c>
      <c r="N1924" s="1" t="s">
        <v>2092</v>
      </c>
    </row>
    <row r="1925" spans="1:14">
      <c r="A1925" s="1" t="s">
        <v>1937</v>
      </c>
      <c r="B1925" s="2">
        <v>45994</v>
      </c>
      <c r="C1925" s="1" t="s">
        <v>2028</v>
      </c>
      <c r="D1925" s="1" t="s">
        <v>2032</v>
      </c>
      <c r="E1925" s="1" t="s">
        <v>2047</v>
      </c>
      <c r="F1925" s="1" t="s">
        <v>2052</v>
      </c>
      <c r="G1925" s="1" t="s">
        <v>2065</v>
      </c>
      <c r="H1925" s="1" t="s">
        <v>2087</v>
      </c>
      <c r="I1925" s="1">
        <v>4</v>
      </c>
      <c r="J1925" s="1">
        <v>7493.95</v>
      </c>
      <c r="K1925" s="1">
        <v>22.38</v>
      </c>
      <c r="L1925" s="1">
        <v>23267.22</v>
      </c>
      <c r="M1925" s="1">
        <v>5064.84</v>
      </c>
      <c r="N1925" s="1" t="s">
        <v>2090</v>
      </c>
    </row>
    <row r="1926" spans="1:14">
      <c r="A1926" s="1" t="s">
        <v>1938</v>
      </c>
      <c r="B1926" s="2">
        <v>45994</v>
      </c>
      <c r="C1926" s="1" t="s">
        <v>2023</v>
      </c>
      <c r="D1926" s="1" t="s">
        <v>2033</v>
      </c>
      <c r="E1926" s="1" t="s">
        <v>2046</v>
      </c>
      <c r="F1926" s="1" t="s">
        <v>2054</v>
      </c>
      <c r="G1926" s="1" t="s">
        <v>2068</v>
      </c>
      <c r="H1926" s="1" t="s">
        <v>2085</v>
      </c>
      <c r="I1926" s="1">
        <v>1</v>
      </c>
      <c r="J1926" s="1">
        <v>34472.720000000001</v>
      </c>
      <c r="K1926" s="1">
        <v>23.22</v>
      </c>
      <c r="L1926" s="1">
        <v>26468.15</v>
      </c>
      <c r="M1926" s="1">
        <v>4436.1099999999997</v>
      </c>
      <c r="N1926" s="1" t="s">
        <v>2088</v>
      </c>
    </row>
    <row r="1927" spans="1:14">
      <c r="A1927" s="1" t="s">
        <v>1939</v>
      </c>
      <c r="B1927" s="2">
        <v>45994</v>
      </c>
      <c r="C1927" s="1" t="s">
        <v>2015</v>
      </c>
      <c r="D1927" s="1" t="s">
        <v>2034</v>
      </c>
      <c r="E1927" s="1" t="s">
        <v>2047</v>
      </c>
      <c r="F1927" s="1" t="s">
        <v>2053</v>
      </c>
      <c r="G1927" s="1" t="s">
        <v>2076</v>
      </c>
      <c r="H1927" s="1" t="s">
        <v>2086</v>
      </c>
      <c r="I1927" s="1">
        <v>6</v>
      </c>
      <c r="J1927" s="1">
        <v>1287.46</v>
      </c>
      <c r="K1927" s="1">
        <v>5.6</v>
      </c>
      <c r="L1927" s="1">
        <v>7292.17</v>
      </c>
      <c r="M1927" s="1">
        <v>2057.91</v>
      </c>
      <c r="N1927" s="1" t="s">
        <v>2091</v>
      </c>
    </row>
    <row r="1928" spans="1:14">
      <c r="A1928" s="1" t="s">
        <v>1940</v>
      </c>
      <c r="B1928" s="2">
        <v>45995</v>
      </c>
      <c r="C1928" s="1" t="s">
        <v>2020</v>
      </c>
      <c r="D1928" s="1" t="s">
        <v>2035</v>
      </c>
      <c r="E1928" s="1" t="s">
        <v>2045</v>
      </c>
      <c r="F1928" s="1" t="s">
        <v>2050</v>
      </c>
      <c r="G1928" s="1" t="s">
        <v>2056</v>
      </c>
      <c r="H1928" s="1" t="s">
        <v>2087</v>
      </c>
      <c r="I1928" s="1">
        <v>6</v>
      </c>
      <c r="J1928" s="1">
        <v>7029.09</v>
      </c>
      <c r="K1928" s="1">
        <v>17.12</v>
      </c>
      <c r="L1928" s="1">
        <v>34954.26</v>
      </c>
      <c r="M1928" s="1">
        <v>9423.11</v>
      </c>
      <c r="N1928" s="1" t="s">
        <v>2091</v>
      </c>
    </row>
    <row r="1929" spans="1:14">
      <c r="A1929" s="1" t="s">
        <v>1941</v>
      </c>
      <c r="B1929" s="2">
        <v>45995</v>
      </c>
      <c r="C1929" s="1" t="s">
        <v>2028</v>
      </c>
      <c r="D1929" s="1" t="s">
        <v>2036</v>
      </c>
      <c r="E1929" s="1" t="s">
        <v>2048</v>
      </c>
      <c r="F1929" s="1" t="s">
        <v>2049</v>
      </c>
      <c r="G1929" s="1" t="s">
        <v>2074</v>
      </c>
      <c r="H1929" s="1" t="s">
        <v>2085</v>
      </c>
      <c r="I1929" s="1">
        <v>9</v>
      </c>
      <c r="J1929" s="1">
        <v>196.36</v>
      </c>
      <c r="K1929" s="1">
        <v>14.99</v>
      </c>
      <c r="L1929" s="1">
        <v>1502.33</v>
      </c>
      <c r="M1929" s="1">
        <v>169.86</v>
      </c>
      <c r="N1929" s="1" t="s">
        <v>2092</v>
      </c>
    </row>
    <row r="1930" spans="1:14">
      <c r="A1930" s="1" t="s">
        <v>1942</v>
      </c>
      <c r="B1930" s="2">
        <v>45996</v>
      </c>
      <c r="C1930" s="1" t="s">
        <v>2025</v>
      </c>
      <c r="D1930" s="1" t="s">
        <v>2037</v>
      </c>
      <c r="E1930" s="1" t="s">
        <v>2048</v>
      </c>
      <c r="F1930" s="1" t="s">
        <v>2054</v>
      </c>
      <c r="G1930" s="1" t="s">
        <v>2066</v>
      </c>
      <c r="H1930" s="1" t="s">
        <v>2087</v>
      </c>
      <c r="I1930" s="1">
        <v>6</v>
      </c>
      <c r="J1930" s="1">
        <v>78703.5</v>
      </c>
      <c r="K1930" s="1">
        <v>15.11</v>
      </c>
      <c r="L1930" s="1">
        <v>400868.41</v>
      </c>
      <c r="M1930" s="1">
        <v>65718.14</v>
      </c>
      <c r="N1930" s="1" t="s">
        <v>2088</v>
      </c>
    </row>
    <row r="1931" spans="1:14">
      <c r="A1931" s="1" t="s">
        <v>1943</v>
      </c>
      <c r="B1931" s="2">
        <v>45996</v>
      </c>
      <c r="C1931" s="1" t="s">
        <v>2020</v>
      </c>
      <c r="D1931" s="1" t="s">
        <v>2038</v>
      </c>
      <c r="E1931" s="1" t="s">
        <v>2044</v>
      </c>
      <c r="F1931" s="1" t="s">
        <v>2050</v>
      </c>
      <c r="G1931" s="1" t="s">
        <v>2075</v>
      </c>
      <c r="H1931" s="1" t="s">
        <v>2085</v>
      </c>
      <c r="I1931" s="1">
        <v>3</v>
      </c>
      <c r="J1931" s="1">
        <v>3228.92</v>
      </c>
      <c r="K1931" s="1">
        <v>0.11</v>
      </c>
      <c r="L1931" s="1">
        <v>9676.1</v>
      </c>
      <c r="M1931" s="1">
        <v>1972.06</v>
      </c>
      <c r="N1931" s="1" t="s">
        <v>2091</v>
      </c>
    </row>
    <row r="1932" spans="1:14">
      <c r="A1932" s="1" t="s">
        <v>1944</v>
      </c>
      <c r="B1932" s="2">
        <v>45996</v>
      </c>
      <c r="C1932" s="1" t="s">
        <v>2019</v>
      </c>
      <c r="D1932" s="1" t="s">
        <v>2039</v>
      </c>
      <c r="E1932" s="1" t="s">
        <v>2047</v>
      </c>
      <c r="F1932" s="1" t="s">
        <v>2051</v>
      </c>
      <c r="G1932" s="1" t="s">
        <v>2080</v>
      </c>
      <c r="H1932" s="1" t="s">
        <v>2087</v>
      </c>
      <c r="I1932" s="1">
        <v>2</v>
      </c>
      <c r="J1932" s="1">
        <v>19031.099999999999</v>
      </c>
      <c r="K1932" s="1">
        <v>24.12</v>
      </c>
      <c r="L1932" s="1">
        <v>28881.599999999999</v>
      </c>
      <c r="M1932" s="1">
        <v>2255.94</v>
      </c>
      <c r="N1932" s="1" t="s">
        <v>2090</v>
      </c>
    </row>
    <row r="1933" spans="1:14">
      <c r="A1933" s="1" t="s">
        <v>1945</v>
      </c>
      <c r="B1933" s="2">
        <v>45997</v>
      </c>
      <c r="C1933" s="1" t="s">
        <v>2018</v>
      </c>
      <c r="D1933" s="1" t="s">
        <v>2040</v>
      </c>
      <c r="E1933" s="1" t="s">
        <v>2048</v>
      </c>
      <c r="F1933" s="1" t="s">
        <v>2054</v>
      </c>
      <c r="G1933" s="1" t="s">
        <v>2068</v>
      </c>
      <c r="H1933" s="1" t="s">
        <v>2085</v>
      </c>
      <c r="I1933" s="1">
        <v>7</v>
      </c>
      <c r="J1933" s="1">
        <v>78993.89</v>
      </c>
      <c r="K1933" s="1">
        <v>21.52</v>
      </c>
      <c r="L1933" s="1">
        <v>433960.83</v>
      </c>
      <c r="M1933" s="1">
        <v>93027.46</v>
      </c>
      <c r="N1933" s="1" t="s">
        <v>2092</v>
      </c>
    </row>
    <row r="1934" spans="1:14">
      <c r="A1934" s="1" t="s">
        <v>1946</v>
      </c>
      <c r="B1934" s="2">
        <v>45997</v>
      </c>
      <c r="C1934" s="1" t="s">
        <v>2028</v>
      </c>
      <c r="D1934" s="1" t="s">
        <v>2041</v>
      </c>
      <c r="E1934" s="1" t="s">
        <v>2047</v>
      </c>
      <c r="F1934" s="1" t="s">
        <v>2054</v>
      </c>
      <c r="G1934" s="1" t="s">
        <v>2079</v>
      </c>
      <c r="H1934" s="1" t="s">
        <v>2087</v>
      </c>
      <c r="I1934" s="1">
        <v>3</v>
      </c>
      <c r="J1934" s="1">
        <v>36687.08</v>
      </c>
      <c r="K1934" s="1">
        <v>13.86</v>
      </c>
      <c r="L1934" s="1">
        <v>94806.75</v>
      </c>
      <c r="M1934" s="1">
        <v>14892.77</v>
      </c>
      <c r="N1934" s="1" t="s">
        <v>2092</v>
      </c>
    </row>
    <row r="1935" spans="1:14">
      <c r="A1935" s="1" t="s">
        <v>1947</v>
      </c>
      <c r="B1935" s="2">
        <v>45997</v>
      </c>
      <c r="C1935" s="1" t="s">
        <v>2019</v>
      </c>
      <c r="D1935" s="1" t="s">
        <v>2042</v>
      </c>
      <c r="E1935" s="1" t="s">
        <v>2044</v>
      </c>
      <c r="F1935" s="1" t="s">
        <v>2050</v>
      </c>
      <c r="G1935" s="1" t="s">
        <v>2056</v>
      </c>
      <c r="H1935" s="1" t="s">
        <v>2087</v>
      </c>
      <c r="I1935" s="1">
        <v>3</v>
      </c>
      <c r="J1935" s="1">
        <v>3866.87</v>
      </c>
      <c r="K1935" s="1">
        <v>9.7200000000000006</v>
      </c>
      <c r="L1935" s="1">
        <v>10473.030000000001</v>
      </c>
      <c r="M1935" s="1">
        <v>2117.46</v>
      </c>
      <c r="N1935" s="1" t="s">
        <v>2090</v>
      </c>
    </row>
    <row r="1936" spans="1:14">
      <c r="A1936" s="1" t="s">
        <v>1948</v>
      </c>
      <c r="B1936" s="2">
        <v>45998</v>
      </c>
      <c r="C1936" s="1" t="s">
        <v>2017</v>
      </c>
      <c r="D1936" s="1" t="s">
        <v>2043</v>
      </c>
      <c r="E1936" s="1" t="s">
        <v>2046</v>
      </c>
      <c r="F1936" s="1" t="s">
        <v>2049</v>
      </c>
      <c r="G1936" s="1" t="s">
        <v>2058</v>
      </c>
      <c r="H1936" s="1" t="s">
        <v>2087</v>
      </c>
      <c r="I1936" s="1">
        <v>9</v>
      </c>
      <c r="J1936" s="1">
        <v>382.5</v>
      </c>
      <c r="K1936" s="1">
        <v>14.61</v>
      </c>
      <c r="L1936" s="1">
        <v>2939.55</v>
      </c>
      <c r="M1936" s="1">
        <v>289.82</v>
      </c>
      <c r="N1936" s="1" t="s">
        <v>2089</v>
      </c>
    </row>
    <row r="1937" spans="1:14">
      <c r="A1937" s="1" t="s">
        <v>1949</v>
      </c>
      <c r="B1937" s="2">
        <v>45998</v>
      </c>
      <c r="C1937" s="1" t="s">
        <v>2015</v>
      </c>
      <c r="D1937" s="1" t="s">
        <v>2029</v>
      </c>
      <c r="E1937" s="1" t="s">
        <v>2047</v>
      </c>
      <c r="F1937" s="1" t="s">
        <v>2051</v>
      </c>
      <c r="G1937" s="1" t="s">
        <v>2077</v>
      </c>
      <c r="H1937" s="1" t="s">
        <v>2086</v>
      </c>
      <c r="I1937" s="1">
        <v>7</v>
      </c>
      <c r="J1937" s="1">
        <v>36074.93</v>
      </c>
      <c r="K1937" s="1">
        <v>4.9800000000000004</v>
      </c>
      <c r="L1937" s="1">
        <v>239948.79</v>
      </c>
      <c r="M1937" s="1">
        <v>51780.7</v>
      </c>
      <c r="N1937" s="1" t="s">
        <v>2090</v>
      </c>
    </row>
    <row r="1938" spans="1:14">
      <c r="A1938" s="1" t="s">
        <v>1950</v>
      </c>
      <c r="B1938" s="2">
        <v>45998</v>
      </c>
      <c r="C1938" s="1" t="s">
        <v>2028</v>
      </c>
      <c r="D1938" s="1" t="s">
        <v>2030</v>
      </c>
      <c r="E1938" s="1" t="s">
        <v>2044</v>
      </c>
      <c r="F1938" s="1" t="s">
        <v>2054</v>
      </c>
      <c r="G1938" s="1" t="s">
        <v>2068</v>
      </c>
      <c r="H1938" s="1" t="s">
        <v>2085</v>
      </c>
      <c r="I1938" s="1">
        <v>7</v>
      </c>
      <c r="J1938" s="1">
        <v>48399.65</v>
      </c>
      <c r="K1938" s="1">
        <v>19.2</v>
      </c>
      <c r="L1938" s="1">
        <v>273748.42</v>
      </c>
      <c r="M1938" s="1">
        <v>32286.48</v>
      </c>
      <c r="N1938" s="1" t="s">
        <v>2090</v>
      </c>
    </row>
    <row r="1939" spans="1:14">
      <c r="A1939" s="1" t="s">
        <v>1951</v>
      </c>
      <c r="B1939" s="2">
        <v>45999</v>
      </c>
      <c r="C1939" s="1" t="s">
        <v>2015</v>
      </c>
      <c r="D1939" s="1" t="s">
        <v>2031</v>
      </c>
      <c r="E1939" s="1" t="s">
        <v>2045</v>
      </c>
      <c r="F1939" s="1" t="s">
        <v>2054</v>
      </c>
      <c r="G1939" s="1" t="s">
        <v>2068</v>
      </c>
      <c r="H1939" s="1" t="s">
        <v>2085</v>
      </c>
      <c r="I1939" s="1">
        <v>2</v>
      </c>
      <c r="J1939" s="1">
        <v>16514.8</v>
      </c>
      <c r="K1939" s="1">
        <v>1.26</v>
      </c>
      <c r="L1939" s="1">
        <v>32613.43</v>
      </c>
      <c r="M1939" s="1">
        <v>9542.56</v>
      </c>
      <c r="N1939" s="1" t="s">
        <v>2090</v>
      </c>
    </row>
    <row r="1940" spans="1:14">
      <c r="A1940" s="1" t="s">
        <v>1952</v>
      </c>
      <c r="B1940" s="2">
        <v>45999</v>
      </c>
      <c r="C1940" s="1" t="s">
        <v>2025</v>
      </c>
      <c r="D1940" s="1" t="s">
        <v>2032</v>
      </c>
      <c r="E1940" s="1" t="s">
        <v>2047</v>
      </c>
      <c r="F1940" s="1" t="s">
        <v>2054</v>
      </c>
      <c r="G1940" s="1" t="s">
        <v>2068</v>
      </c>
      <c r="H1940" s="1" t="s">
        <v>2085</v>
      </c>
      <c r="I1940" s="1">
        <v>6</v>
      </c>
      <c r="J1940" s="1">
        <v>39446.58</v>
      </c>
      <c r="K1940" s="1">
        <v>11.36</v>
      </c>
      <c r="L1940" s="1">
        <v>209792.69</v>
      </c>
      <c r="M1940" s="1">
        <v>46935.19</v>
      </c>
      <c r="N1940" s="1" t="s">
        <v>2092</v>
      </c>
    </row>
    <row r="1941" spans="1:14">
      <c r="A1941" s="1" t="s">
        <v>1953</v>
      </c>
      <c r="B1941" s="2">
        <v>46000</v>
      </c>
      <c r="C1941" s="1" t="s">
        <v>2028</v>
      </c>
      <c r="D1941" s="1" t="s">
        <v>2033</v>
      </c>
      <c r="E1941" s="1" t="s">
        <v>2048</v>
      </c>
      <c r="F1941" s="1" t="s">
        <v>2050</v>
      </c>
      <c r="G1941" s="1" t="s">
        <v>2075</v>
      </c>
      <c r="H1941" s="1" t="s">
        <v>2085</v>
      </c>
      <c r="I1941" s="1">
        <v>3</v>
      </c>
      <c r="J1941" s="1">
        <v>3317.58</v>
      </c>
      <c r="K1941" s="1">
        <v>12.09</v>
      </c>
      <c r="L1941" s="1">
        <v>8749.4500000000007</v>
      </c>
      <c r="M1941" s="1">
        <v>1860.95</v>
      </c>
      <c r="N1941" s="1" t="s">
        <v>2089</v>
      </c>
    </row>
    <row r="1942" spans="1:14">
      <c r="A1942" s="1" t="s">
        <v>1954</v>
      </c>
      <c r="B1942" s="2">
        <v>46000</v>
      </c>
      <c r="C1942" s="1" t="s">
        <v>2017</v>
      </c>
      <c r="D1942" s="1" t="s">
        <v>2034</v>
      </c>
      <c r="E1942" s="1" t="s">
        <v>2044</v>
      </c>
      <c r="F1942" s="1" t="s">
        <v>2054</v>
      </c>
      <c r="G1942" s="1" t="s">
        <v>2081</v>
      </c>
      <c r="H1942" s="1" t="s">
        <v>2087</v>
      </c>
      <c r="I1942" s="1">
        <v>10</v>
      </c>
      <c r="J1942" s="1">
        <v>25992.85</v>
      </c>
      <c r="K1942" s="1">
        <v>24.6</v>
      </c>
      <c r="L1942" s="1">
        <v>195986.09</v>
      </c>
      <c r="M1942" s="1">
        <v>10263.549999999999</v>
      </c>
      <c r="N1942" s="1" t="s">
        <v>2090</v>
      </c>
    </row>
    <row r="1943" spans="1:14">
      <c r="A1943" s="1" t="s">
        <v>1955</v>
      </c>
      <c r="B1943" s="2">
        <v>46000</v>
      </c>
      <c r="C1943" s="1" t="s">
        <v>2023</v>
      </c>
      <c r="D1943" s="1" t="s">
        <v>2035</v>
      </c>
      <c r="E1943" s="1" t="s">
        <v>2044</v>
      </c>
      <c r="F1943" s="1" t="s">
        <v>2050</v>
      </c>
      <c r="G1943" s="1" t="s">
        <v>2064</v>
      </c>
      <c r="H1943" s="1" t="s">
        <v>2087</v>
      </c>
      <c r="I1943" s="1">
        <v>8</v>
      </c>
      <c r="J1943" s="1">
        <v>2528.21</v>
      </c>
      <c r="K1943" s="1">
        <v>18.440000000000001</v>
      </c>
      <c r="L1943" s="1">
        <v>16496.060000000001</v>
      </c>
      <c r="M1943" s="1">
        <v>3091.17</v>
      </c>
      <c r="N1943" s="1" t="s">
        <v>2088</v>
      </c>
    </row>
    <row r="1944" spans="1:14">
      <c r="A1944" s="1" t="s">
        <v>1956</v>
      </c>
      <c r="B1944" s="2">
        <v>46001</v>
      </c>
      <c r="C1944" s="1" t="s">
        <v>2021</v>
      </c>
      <c r="D1944" s="1" t="s">
        <v>2036</v>
      </c>
      <c r="E1944" s="1" t="s">
        <v>2044</v>
      </c>
      <c r="F1944" s="1" t="s">
        <v>2052</v>
      </c>
      <c r="G1944" s="1" t="s">
        <v>2059</v>
      </c>
      <c r="H1944" s="1" t="s">
        <v>2086</v>
      </c>
      <c r="I1944" s="1">
        <v>8</v>
      </c>
      <c r="J1944" s="1">
        <v>1394.02</v>
      </c>
      <c r="K1944" s="1">
        <v>16.46</v>
      </c>
      <c r="L1944" s="1">
        <v>9316.51</v>
      </c>
      <c r="M1944" s="1">
        <v>493.63</v>
      </c>
      <c r="N1944" s="1" t="s">
        <v>2092</v>
      </c>
    </row>
    <row r="1945" spans="1:14">
      <c r="A1945" s="1" t="s">
        <v>1957</v>
      </c>
      <c r="B1945" s="2">
        <v>46001</v>
      </c>
      <c r="C1945" s="1" t="s">
        <v>2018</v>
      </c>
      <c r="D1945" s="1" t="s">
        <v>2037</v>
      </c>
      <c r="E1945" s="1" t="s">
        <v>2044</v>
      </c>
      <c r="F1945" s="1" t="s">
        <v>2054</v>
      </c>
      <c r="G1945" s="1" t="s">
        <v>2081</v>
      </c>
      <c r="H1945" s="1" t="s">
        <v>2086</v>
      </c>
      <c r="I1945" s="1">
        <v>6</v>
      </c>
      <c r="J1945" s="1">
        <v>75104.09</v>
      </c>
      <c r="K1945" s="1">
        <v>3.22</v>
      </c>
      <c r="L1945" s="1">
        <v>436114.43</v>
      </c>
      <c r="M1945" s="1">
        <v>125372.28</v>
      </c>
      <c r="N1945" s="1" t="s">
        <v>2089</v>
      </c>
    </row>
    <row r="1946" spans="1:14">
      <c r="A1946" s="1" t="s">
        <v>1958</v>
      </c>
      <c r="B1946" s="2">
        <v>46001</v>
      </c>
      <c r="C1946" s="1" t="s">
        <v>2022</v>
      </c>
      <c r="D1946" s="1" t="s">
        <v>2038</v>
      </c>
      <c r="E1946" s="1" t="s">
        <v>2046</v>
      </c>
      <c r="F1946" s="1" t="s">
        <v>2053</v>
      </c>
      <c r="G1946" s="1" t="s">
        <v>2067</v>
      </c>
      <c r="H1946" s="1" t="s">
        <v>2085</v>
      </c>
      <c r="I1946" s="1">
        <v>9</v>
      </c>
      <c r="J1946" s="1">
        <v>183.48</v>
      </c>
      <c r="K1946" s="1">
        <v>23.79</v>
      </c>
      <c r="L1946" s="1">
        <v>1258.47</v>
      </c>
      <c r="M1946" s="1">
        <v>250.4</v>
      </c>
      <c r="N1946" s="1" t="s">
        <v>2091</v>
      </c>
    </row>
    <row r="1947" spans="1:14">
      <c r="A1947" s="1" t="s">
        <v>1959</v>
      </c>
      <c r="B1947" s="2">
        <v>46002</v>
      </c>
      <c r="C1947" s="1" t="s">
        <v>2028</v>
      </c>
      <c r="D1947" s="1" t="s">
        <v>2039</v>
      </c>
      <c r="E1947" s="1" t="s">
        <v>2048</v>
      </c>
      <c r="F1947" s="1" t="s">
        <v>2051</v>
      </c>
      <c r="G1947" s="1" t="s">
        <v>2069</v>
      </c>
      <c r="H1947" s="1" t="s">
        <v>2087</v>
      </c>
      <c r="I1947" s="1">
        <v>10</v>
      </c>
      <c r="J1947" s="1">
        <v>29790.46</v>
      </c>
      <c r="K1947" s="1">
        <v>12.05</v>
      </c>
      <c r="L1947" s="1">
        <v>262007.1</v>
      </c>
      <c r="M1947" s="1">
        <v>17744.95</v>
      </c>
      <c r="N1947" s="1" t="s">
        <v>2089</v>
      </c>
    </row>
    <row r="1948" spans="1:14">
      <c r="A1948" s="1" t="s">
        <v>1960</v>
      </c>
      <c r="B1948" s="2">
        <v>46002</v>
      </c>
      <c r="C1948" s="1" t="s">
        <v>2027</v>
      </c>
      <c r="D1948" s="1" t="s">
        <v>2040</v>
      </c>
      <c r="E1948" s="1" t="s">
        <v>2047</v>
      </c>
      <c r="F1948" s="1" t="s">
        <v>2054</v>
      </c>
      <c r="G1948" s="1" t="s">
        <v>2079</v>
      </c>
      <c r="H1948" s="1" t="s">
        <v>2087</v>
      </c>
      <c r="I1948" s="1">
        <v>1</v>
      </c>
      <c r="J1948" s="1">
        <v>46178.07</v>
      </c>
      <c r="K1948" s="1">
        <v>1.45</v>
      </c>
      <c r="L1948" s="1">
        <v>45508.49</v>
      </c>
      <c r="M1948" s="1">
        <v>6887.05</v>
      </c>
      <c r="N1948" s="1" t="s">
        <v>2089</v>
      </c>
    </row>
    <row r="1949" spans="1:14">
      <c r="A1949" s="1" t="s">
        <v>1961</v>
      </c>
      <c r="B1949" s="2">
        <v>46003</v>
      </c>
      <c r="C1949" s="1" t="s">
        <v>2017</v>
      </c>
      <c r="D1949" s="1" t="s">
        <v>2041</v>
      </c>
      <c r="E1949" s="1" t="s">
        <v>2047</v>
      </c>
      <c r="F1949" s="1" t="s">
        <v>2051</v>
      </c>
      <c r="G1949" s="1" t="s">
        <v>2077</v>
      </c>
      <c r="H1949" s="1" t="s">
        <v>2085</v>
      </c>
      <c r="I1949" s="1">
        <v>2</v>
      </c>
      <c r="J1949" s="1">
        <v>15162.01</v>
      </c>
      <c r="K1949" s="1">
        <v>7.71</v>
      </c>
      <c r="L1949" s="1">
        <v>27986.04</v>
      </c>
      <c r="M1949" s="1">
        <v>6653.91</v>
      </c>
      <c r="N1949" s="1" t="s">
        <v>2092</v>
      </c>
    </row>
    <row r="1950" spans="1:14">
      <c r="A1950" s="1" t="s">
        <v>1962</v>
      </c>
      <c r="B1950" s="2">
        <v>46003</v>
      </c>
      <c r="C1950" s="1" t="s">
        <v>2028</v>
      </c>
      <c r="D1950" s="1" t="s">
        <v>2042</v>
      </c>
      <c r="E1950" s="1" t="s">
        <v>2046</v>
      </c>
      <c r="F1950" s="1" t="s">
        <v>2052</v>
      </c>
      <c r="G1950" s="1" t="s">
        <v>2078</v>
      </c>
      <c r="H1950" s="1" t="s">
        <v>2086</v>
      </c>
      <c r="I1950" s="1">
        <v>8</v>
      </c>
      <c r="J1950" s="1">
        <v>6853.27</v>
      </c>
      <c r="K1950" s="1">
        <v>18.36</v>
      </c>
      <c r="L1950" s="1">
        <v>44760.08</v>
      </c>
      <c r="M1950" s="1">
        <v>3874.35</v>
      </c>
      <c r="N1950" s="1" t="s">
        <v>2092</v>
      </c>
    </row>
    <row r="1951" spans="1:14">
      <c r="A1951" s="1" t="s">
        <v>1963</v>
      </c>
      <c r="B1951" s="2">
        <v>46003</v>
      </c>
      <c r="C1951" s="1" t="s">
        <v>2028</v>
      </c>
      <c r="D1951" s="1" t="s">
        <v>2043</v>
      </c>
      <c r="E1951" s="1" t="s">
        <v>2044</v>
      </c>
      <c r="F1951" s="1" t="s">
        <v>2054</v>
      </c>
      <c r="G1951" s="1" t="s">
        <v>2063</v>
      </c>
      <c r="H1951" s="1" t="s">
        <v>2085</v>
      </c>
      <c r="I1951" s="1">
        <v>4</v>
      </c>
      <c r="J1951" s="1">
        <v>49628.86</v>
      </c>
      <c r="K1951" s="1">
        <v>19.96</v>
      </c>
      <c r="L1951" s="1">
        <v>158891.76</v>
      </c>
      <c r="M1951" s="1">
        <v>46187.33</v>
      </c>
      <c r="N1951" s="1" t="s">
        <v>2088</v>
      </c>
    </row>
    <row r="1952" spans="1:14">
      <c r="A1952" s="1" t="s">
        <v>1964</v>
      </c>
      <c r="B1952" s="2">
        <v>46004</v>
      </c>
      <c r="C1952" s="1" t="s">
        <v>2027</v>
      </c>
      <c r="D1952" s="1" t="s">
        <v>2029</v>
      </c>
      <c r="E1952" s="1" t="s">
        <v>2048</v>
      </c>
      <c r="F1952" s="1" t="s">
        <v>2049</v>
      </c>
      <c r="G1952" s="1" t="s">
        <v>2074</v>
      </c>
      <c r="H1952" s="1" t="s">
        <v>2087</v>
      </c>
      <c r="I1952" s="1">
        <v>3</v>
      </c>
      <c r="J1952" s="1">
        <v>2670.17</v>
      </c>
      <c r="K1952" s="1">
        <v>20.83</v>
      </c>
      <c r="L1952" s="1">
        <v>6341.92</v>
      </c>
      <c r="M1952" s="1">
        <v>869.98</v>
      </c>
      <c r="N1952" s="1" t="s">
        <v>2089</v>
      </c>
    </row>
    <row r="1953" spans="1:14">
      <c r="A1953" s="1" t="s">
        <v>1965</v>
      </c>
      <c r="B1953" s="2">
        <v>46004</v>
      </c>
      <c r="C1953" s="1" t="s">
        <v>2027</v>
      </c>
      <c r="D1953" s="1" t="s">
        <v>2030</v>
      </c>
      <c r="E1953" s="1" t="s">
        <v>2048</v>
      </c>
      <c r="F1953" s="1" t="s">
        <v>2049</v>
      </c>
      <c r="G1953" s="1" t="s">
        <v>2055</v>
      </c>
      <c r="H1953" s="1" t="s">
        <v>2085</v>
      </c>
      <c r="I1953" s="1">
        <v>5</v>
      </c>
      <c r="J1953" s="1">
        <v>1389.12</v>
      </c>
      <c r="K1953" s="1">
        <v>2.5</v>
      </c>
      <c r="L1953" s="1">
        <v>6771.96</v>
      </c>
      <c r="M1953" s="1">
        <v>1644.64</v>
      </c>
      <c r="N1953" s="1" t="s">
        <v>2091</v>
      </c>
    </row>
    <row r="1954" spans="1:14">
      <c r="A1954" s="1" t="s">
        <v>1966</v>
      </c>
      <c r="B1954" s="2">
        <v>46004</v>
      </c>
      <c r="C1954" s="1" t="s">
        <v>2026</v>
      </c>
      <c r="D1954" s="1" t="s">
        <v>2031</v>
      </c>
      <c r="E1954" s="1" t="s">
        <v>2047</v>
      </c>
      <c r="F1954" s="1" t="s">
        <v>2050</v>
      </c>
      <c r="G1954" s="1" t="s">
        <v>2075</v>
      </c>
      <c r="H1954" s="1" t="s">
        <v>2087</v>
      </c>
      <c r="I1954" s="1">
        <v>4</v>
      </c>
      <c r="J1954" s="1">
        <v>5249.11</v>
      </c>
      <c r="K1954" s="1">
        <v>1</v>
      </c>
      <c r="L1954" s="1">
        <v>20786.48</v>
      </c>
      <c r="M1954" s="1">
        <v>6219.12</v>
      </c>
      <c r="N1954" s="1" t="s">
        <v>2091</v>
      </c>
    </row>
    <row r="1955" spans="1:14">
      <c r="A1955" s="1" t="s">
        <v>1967</v>
      </c>
      <c r="B1955" s="2">
        <v>46005</v>
      </c>
      <c r="C1955" s="1" t="s">
        <v>2023</v>
      </c>
      <c r="D1955" s="1" t="s">
        <v>2032</v>
      </c>
      <c r="E1955" s="1" t="s">
        <v>2047</v>
      </c>
      <c r="F1955" s="1" t="s">
        <v>2050</v>
      </c>
      <c r="G1955" s="1" t="s">
        <v>2070</v>
      </c>
      <c r="H1955" s="1" t="s">
        <v>2086</v>
      </c>
      <c r="I1955" s="1">
        <v>9</v>
      </c>
      <c r="J1955" s="1">
        <v>2229.1999999999998</v>
      </c>
      <c r="K1955" s="1">
        <v>10.029999999999999</v>
      </c>
      <c r="L1955" s="1">
        <v>18050.5</v>
      </c>
      <c r="M1955" s="1">
        <v>2443.8000000000002</v>
      </c>
      <c r="N1955" s="1" t="s">
        <v>2091</v>
      </c>
    </row>
    <row r="1956" spans="1:14">
      <c r="A1956" s="1" t="s">
        <v>1968</v>
      </c>
      <c r="B1956" s="2">
        <v>46005</v>
      </c>
      <c r="C1956" s="1" t="s">
        <v>2017</v>
      </c>
      <c r="D1956" s="1" t="s">
        <v>2033</v>
      </c>
      <c r="E1956" s="1" t="s">
        <v>2044</v>
      </c>
      <c r="F1956" s="1" t="s">
        <v>2049</v>
      </c>
      <c r="G1956" s="1" t="s">
        <v>2082</v>
      </c>
      <c r="H1956" s="1" t="s">
        <v>2085</v>
      </c>
      <c r="I1956" s="1">
        <v>9</v>
      </c>
      <c r="J1956" s="1">
        <v>513.69000000000005</v>
      </c>
      <c r="K1956" s="1">
        <v>6.31</v>
      </c>
      <c r="L1956" s="1">
        <v>4331.49</v>
      </c>
      <c r="M1956" s="1">
        <v>612.91999999999996</v>
      </c>
      <c r="N1956" s="1" t="s">
        <v>2090</v>
      </c>
    </row>
    <row r="1957" spans="1:14">
      <c r="A1957" s="1" t="s">
        <v>1969</v>
      </c>
      <c r="B1957" s="2">
        <v>46005</v>
      </c>
      <c r="C1957" s="1" t="s">
        <v>2026</v>
      </c>
      <c r="D1957" s="1" t="s">
        <v>2034</v>
      </c>
      <c r="E1957" s="1" t="s">
        <v>2046</v>
      </c>
      <c r="F1957" s="1" t="s">
        <v>2049</v>
      </c>
      <c r="G1957" s="1" t="s">
        <v>2055</v>
      </c>
      <c r="H1957" s="1" t="s">
        <v>2086</v>
      </c>
      <c r="I1957" s="1">
        <v>1</v>
      </c>
      <c r="J1957" s="1">
        <v>865.41</v>
      </c>
      <c r="K1957" s="1">
        <v>17.059999999999999</v>
      </c>
      <c r="L1957" s="1">
        <v>717.77</v>
      </c>
      <c r="M1957" s="1">
        <v>116.93</v>
      </c>
      <c r="N1957" s="1" t="s">
        <v>2091</v>
      </c>
    </row>
    <row r="1958" spans="1:14">
      <c r="A1958" s="1" t="s">
        <v>1970</v>
      </c>
      <c r="B1958" s="2">
        <v>46006</v>
      </c>
      <c r="C1958" s="1" t="s">
        <v>2025</v>
      </c>
      <c r="D1958" s="1" t="s">
        <v>2035</v>
      </c>
      <c r="E1958" s="1" t="s">
        <v>2046</v>
      </c>
      <c r="F1958" s="1" t="s">
        <v>2052</v>
      </c>
      <c r="G1958" s="1" t="s">
        <v>2072</v>
      </c>
      <c r="H1958" s="1" t="s">
        <v>2085</v>
      </c>
      <c r="I1958" s="1">
        <v>8</v>
      </c>
      <c r="J1958" s="1">
        <v>1311.91</v>
      </c>
      <c r="K1958" s="1">
        <v>1.6</v>
      </c>
      <c r="L1958" s="1">
        <v>10327.36</v>
      </c>
      <c r="M1958" s="1">
        <v>2086.9</v>
      </c>
      <c r="N1958" s="1" t="s">
        <v>2091</v>
      </c>
    </row>
    <row r="1959" spans="1:14">
      <c r="A1959" s="1" t="s">
        <v>1971</v>
      </c>
      <c r="B1959" s="2">
        <v>46006</v>
      </c>
      <c r="C1959" s="1" t="s">
        <v>2024</v>
      </c>
      <c r="D1959" s="1" t="s">
        <v>2036</v>
      </c>
      <c r="E1959" s="1" t="s">
        <v>2048</v>
      </c>
      <c r="F1959" s="1" t="s">
        <v>2052</v>
      </c>
      <c r="G1959" s="1" t="s">
        <v>2059</v>
      </c>
      <c r="H1959" s="1" t="s">
        <v>2087</v>
      </c>
      <c r="I1959" s="1">
        <v>6</v>
      </c>
      <c r="J1959" s="1">
        <v>9366.35</v>
      </c>
      <c r="K1959" s="1">
        <v>1.95</v>
      </c>
      <c r="L1959" s="1">
        <v>55102.239999999998</v>
      </c>
      <c r="M1959" s="1">
        <v>5404.04</v>
      </c>
      <c r="N1959" s="1" t="s">
        <v>2088</v>
      </c>
    </row>
    <row r="1960" spans="1:14">
      <c r="A1960" s="1" t="s">
        <v>1972</v>
      </c>
      <c r="B1960" s="2">
        <v>46007</v>
      </c>
      <c r="C1960" s="1" t="s">
        <v>2019</v>
      </c>
      <c r="D1960" s="1" t="s">
        <v>2037</v>
      </c>
      <c r="E1960" s="1" t="s">
        <v>2046</v>
      </c>
      <c r="F1960" s="1" t="s">
        <v>2052</v>
      </c>
      <c r="G1960" s="1" t="s">
        <v>2065</v>
      </c>
      <c r="H1960" s="1" t="s">
        <v>2085</v>
      </c>
      <c r="I1960" s="1">
        <v>4</v>
      </c>
      <c r="J1960" s="1">
        <v>3117.65</v>
      </c>
      <c r="K1960" s="1">
        <v>16.82</v>
      </c>
      <c r="L1960" s="1">
        <v>10373.049999999999</v>
      </c>
      <c r="M1960" s="1">
        <v>1187.83</v>
      </c>
      <c r="N1960" s="1" t="s">
        <v>2088</v>
      </c>
    </row>
    <row r="1961" spans="1:14">
      <c r="A1961" s="1" t="s">
        <v>1973</v>
      </c>
      <c r="B1961" s="2">
        <v>46007</v>
      </c>
      <c r="C1961" s="1" t="s">
        <v>2017</v>
      </c>
      <c r="D1961" s="1" t="s">
        <v>2038</v>
      </c>
      <c r="E1961" s="1" t="s">
        <v>2044</v>
      </c>
      <c r="F1961" s="1" t="s">
        <v>2051</v>
      </c>
      <c r="G1961" s="1" t="s">
        <v>2069</v>
      </c>
      <c r="H1961" s="1" t="s">
        <v>2085</v>
      </c>
      <c r="I1961" s="1">
        <v>1</v>
      </c>
      <c r="J1961" s="1">
        <v>10591.55</v>
      </c>
      <c r="K1961" s="1">
        <v>20.66</v>
      </c>
      <c r="L1961" s="1">
        <v>8403.34</v>
      </c>
      <c r="M1961" s="1">
        <v>2293.85</v>
      </c>
      <c r="N1961" s="1" t="s">
        <v>2090</v>
      </c>
    </row>
    <row r="1962" spans="1:14">
      <c r="A1962" s="1" t="s">
        <v>1974</v>
      </c>
      <c r="B1962" s="2">
        <v>46007</v>
      </c>
      <c r="C1962" s="1" t="s">
        <v>2022</v>
      </c>
      <c r="D1962" s="1" t="s">
        <v>2039</v>
      </c>
      <c r="E1962" s="1" t="s">
        <v>2045</v>
      </c>
      <c r="F1962" s="1" t="s">
        <v>2053</v>
      </c>
      <c r="G1962" s="1" t="s">
        <v>2060</v>
      </c>
      <c r="H1962" s="1" t="s">
        <v>2086</v>
      </c>
      <c r="I1962" s="1">
        <v>3</v>
      </c>
      <c r="J1962" s="1">
        <v>1483.5</v>
      </c>
      <c r="K1962" s="1">
        <v>28.02</v>
      </c>
      <c r="L1962" s="1">
        <v>3203.47</v>
      </c>
      <c r="M1962" s="1">
        <v>418.92</v>
      </c>
      <c r="N1962" s="1" t="s">
        <v>2091</v>
      </c>
    </row>
    <row r="1963" spans="1:14">
      <c r="A1963" s="1" t="s">
        <v>1975</v>
      </c>
      <c r="B1963" s="2">
        <v>46008</v>
      </c>
      <c r="C1963" s="1" t="s">
        <v>2023</v>
      </c>
      <c r="D1963" s="1" t="s">
        <v>2040</v>
      </c>
      <c r="E1963" s="1" t="s">
        <v>2047</v>
      </c>
      <c r="F1963" s="1" t="s">
        <v>2050</v>
      </c>
      <c r="G1963" s="1" t="s">
        <v>2064</v>
      </c>
      <c r="H1963" s="1" t="s">
        <v>2087</v>
      </c>
      <c r="I1963" s="1">
        <v>10</v>
      </c>
      <c r="J1963" s="1">
        <v>2445.9499999999998</v>
      </c>
      <c r="K1963" s="1">
        <v>15.92</v>
      </c>
      <c r="L1963" s="1">
        <v>20565.55</v>
      </c>
      <c r="M1963" s="1">
        <v>3888.8</v>
      </c>
      <c r="N1963" s="1" t="s">
        <v>2091</v>
      </c>
    </row>
    <row r="1964" spans="1:14">
      <c r="A1964" s="1" t="s">
        <v>1976</v>
      </c>
      <c r="B1964" s="2">
        <v>46008</v>
      </c>
      <c r="C1964" s="1" t="s">
        <v>2024</v>
      </c>
      <c r="D1964" s="1" t="s">
        <v>2041</v>
      </c>
      <c r="E1964" s="1" t="s">
        <v>2044</v>
      </c>
      <c r="F1964" s="1" t="s">
        <v>2049</v>
      </c>
      <c r="G1964" s="1" t="s">
        <v>2082</v>
      </c>
      <c r="H1964" s="1" t="s">
        <v>2085</v>
      </c>
      <c r="I1964" s="1">
        <v>3</v>
      </c>
      <c r="J1964" s="1">
        <v>390.01</v>
      </c>
      <c r="K1964" s="1">
        <v>9</v>
      </c>
      <c r="L1964" s="1">
        <v>1064.73</v>
      </c>
      <c r="M1964" s="1">
        <v>318.18</v>
      </c>
      <c r="N1964" s="1" t="s">
        <v>2092</v>
      </c>
    </row>
    <row r="1965" spans="1:14">
      <c r="A1965" s="1" t="s">
        <v>1977</v>
      </c>
      <c r="B1965" s="2">
        <v>46008</v>
      </c>
      <c r="C1965" s="1" t="s">
        <v>2015</v>
      </c>
      <c r="D1965" s="1" t="s">
        <v>2042</v>
      </c>
      <c r="E1965" s="1" t="s">
        <v>2047</v>
      </c>
      <c r="F1965" s="1" t="s">
        <v>2050</v>
      </c>
      <c r="G1965" s="1" t="s">
        <v>2075</v>
      </c>
      <c r="H1965" s="1" t="s">
        <v>2086</v>
      </c>
      <c r="I1965" s="1">
        <v>8</v>
      </c>
      <c r="J1965" s="1">
        <v>2275.3000000000002</v>
      </c>
      <c r="K1965" s="1">
        <v>16.91</v>
      </c>
      <c r="L1965" s="1">
        <v>15124.37</v>
      </c>
      <c r="M1965" s="1">
        <v>1046.8599999999999</v>
      </c>
      <c r="N1965" s="1" t="s">
        <v>2090</v>
      </c>
    </row>
    <row r="1966" spans="1:14">
      <c r="A1966" s="1" t="s">
        <v>1978</v>
      </c>
      <c r="B1966" s="2">
        <v>46009</v>
      </c>
      <c r="C1966" s="1" t="s">
        <v>2027</v>
      </c>
      <c r="D1966" s="1" t="s">
        <v>2043</v>
      </c>
      <c r="E1966" s="1" t="s">
        <v>2046</v>
      </c>
      <c r="F1966" s="1" t="s">
        <v>2051</v>
      </c>
      <c r="G1966" s="1" t="s">
        <v>2080</v>
      </c>
      <c r="H1966" s="1" t="s">
        <v>2087</v>
      </c>
      <c r="I1966" s="1">
        <v>6</v>
      </c>
      <c r="J1966" s="1">
        <v>2368.42</v>
      </c>
      <c r="K1966" s="1">
        <v>19.54</v>
      </c>
      <c r="L1966" s="1">
        <v>11433.78</v>
      </c>
      <c r="M1966" s="1">
        <v>2100.6799999999998</v>
      </c>
      <c r="N1966" s="1" t="s">
        <v>2088</v>
      </c>
    </row>
    <row r="1967" spans="1:14">
      <c r="A1967" s="1" t="s">
        <v>1979</v>
      </c>
      <c r="B1967" s="2">
        <v>46009</v>
      </c>
      <c r="C1967" s="1" t="s">
        <v>2014</v>
      </c>
      <c r="D1967" s="1" t="s">
        <v>2029</v>
      </c>
      <c r="E1967" s="1" t="s">
        <v>2046</v>
      </c>
      <c r="F1967" s="1" t="s">
        <v>2051</v>
      </c>
      <c r="G1967" s="1" t="s">
        <v>2077</v>
      </c>
      <c r="H1967" s="1" t="s">
        <v>2085</v>
      </c>
      <c r="I1967" s="1">
        <v>4</v>
      </c>
      <c r="J1967" s="1">
        <v>2298.14</v>
      </c>
      <c r="K1967" s="1">
        <v>15.09</v>
      </c>
      <c r="L1967" s="1">
        <v>7805.4</v>
      </c>
      <c r="M1967" s="1">
        <v>1003.17</v>
      </c>
      <c r="N1967" s="1" t="s">
        <v>2091</v>
      </c>
    </row>
    <row r="1968" spans="1:14">
      <c r="A1968" s="1" t="s">
        <v>1980</v>
      </c>
      <c r="B1968" s="2">
        <v>46009</v>
      </c>
      <c r="C1968" s="1" t="s">
        <v>2016</v>
      </c>
      <c r="D1968" s="1" t="s">
        <v>2030</v>
      </c>
      <c r="E1968" s="1" t="s">
        <v>2044</v>
      </c>
      <c r="F1968" s="1" t="s">
        <v>2053</v>
      </c>
      <c r="G1968" s="1" t="s">
        <v>2076</v>
      </c>
      <c r="H1968" s="1" t="s">
        <v>2087</v>
      </c>
      <c r="I1968" s="1">
        <v>2</v>
      </c>
      <c r="J1968" s="1">
        <v>938.24</v>
      </c>
      <c r="K1968" s="1">
        <v>15.35</v>
      </c>
      <c r="L1968" s="1">
        <v>1588.44</v>
      </c>
      <c r="M1968" s="1">
        <v>450.27</v>
      </c>
      <c r="N1968" s="1" t="s">
        <v>2090</v>
      </c>
    </row>
    <row r="1969" spans="1:14">
      <c r="A1969" s="1" t="s">
        <v>1981</v>
      </c>
      <c r="B1969" s="2">
        <v>46010</v>
      </c>
      <c r="C1969" s="1" t="s">
        <v>2022</v>
      </c>
      <c r="D1969" s="1" t="s">
        <v>2031</v>
      </c>
      <c r="E1969" s="1" t="s">
        <v>2048</v>
      </c>
      <c r="F1969" s="1" t="s">
        <v>2053</v>
      </c>
      <c r="G1969" s="1" t="s">
        <v>2076</v>
      </c>
      <c r="H1969" s="1" t="s">
        <v>2086</v>
      </c>
      <c r="I1969" s="1">
        <v>5</v>
      </c>
      <c r="J1969" s="1">
        <v>1054.43</v>
      </c>
      <c r="K1969" s="1">
        <v>20.41</v>
      </c>
      <c r="L1969" s="1">
        <v>4196.1000000000004</v>
      </c>
      <c r="M1969" s="1">
        <v>1144.29</v>
      </c>
      <c r="N1969" s="1" t="s">
        <v>2088</v>
      </c>
    </row>
    <row r="1970" spans="1:14">
      <c r="A1970" s="1" t="s">
        <v>1982</v>
      </c>
      <c r="B1970" s="2">
        <v>46010</v>
      </c>
      <c r="C1970" s="1" t="s">
        <v>2019</v>
      </c>
      <c r="D1970" s="1" t="s">
        <v>2032</v>
      </c>
      <c r="E1970" s="1" t="s">
        <v>2048</v>
      </c>
      <c r="F1970" s="1" t="s">
        <v>2051</v>
      </c>
      <c r="G1970" s="1" t="s">
        <v>2061</v>
      </c>
      <c r="H1970" s="1" t="s">
        <v>2087</v>
      </c>
      <c r="I1970" s="1">
        <v>2</v>
      </c>
      <c r="J1970" s="1">
        <v>11332.3</v>
      </c>
      <c r="K1970" s="1">
        <v>6.64</v>
      </c>
      <c r="L1970" s="1">
        <v>21159.67</v>
      </c>
      <c r="M1970" s="1">
        <v>2093.88</v>
      </c>
      <c r="N1970" s="1" t="s">
        <v>2091</v>
      </c>
    </row>
    <row r="1971" spans="1:14">
      <c r="A1971" s="1" t="s">
        <v>1983</v>
      </c>
      <c r="B1971" s="2">
        <v>46011</v>
      </c>
      <c r="C1971" s="1" t="s">
        <v>2028</v>
      </c>
      <c r="D1971" s="1" t="s">
        <v>2033</v>
      </c>
      <c r="E1971" s="1" t="s">
        <v>2046</v>
      </c>
      <c r="F1971" s="1" t="s">
        <v>2049</v>
      </c>
      <c r="G1971" s="1" t="s">
        <v>2071</v>
      </c>
      <c r="H1971" s="1" t="s">
        <v>2086</v>
      </c>
      <c r="I1971" s="1">
        <v>2</v>
      </c>
      <c r="J1971" s="1">
        <v>2802.39</v>
      </c>
      <c r="K1971" s="1">
        <v>22.67</v>
      </c>
      <c r="L1971" s="1">
        <v>4334.18</v>
      </c>
      <c r="M1971" s="1">
        <v>1072.3800000000001</v>
      </c>
      <c r="N1971" s="1" t="s">
        <v>2090</v>
      </c>
    </row>
    <row r="1972" spans="1:14">
      <c r="A1972" s="1" t="s">
        <v>1984</v>
      </c>
      <c r="B1972" s="2">
        <v>46011</v>
      </c>
      <c r="C1972" s="1" t="s">
        <v>2022</v>
      </c>
      <c r="D1972" s="1" t="s">
        <v>2034</v>
      </c>
      <c r="E1972" s="1" t="s">
        <v>2045</v>
      </c>
      <c r="F1972" s="1" t="s">
        <v>2053</v>
      </c>
      <c r="G1972" s="1" t="s">
        <v>2067</v>
      </c>
      <c r="H1972" s="1" t="s">
        <v>2086</v>
      </c>
      <c r="I1972" s="1">
        <v>1</v>
      </c>
      <c r="J1972" s="1">
        <v>1587.01</v>
      </c>
      <c r="K1972" s="1">
        <v>1.1299999999999999</v>
      </c>
      <c r="L1972" s="1">
        <v>1569.08</v>
      </c>
      <c r="M1972" s="1">
        <v>192.47</v>
      </c>
      <c r="N1972" s="1" t="s">
        <v>2090</v>
      </c>
    </row>
    <row r="1973" spans="1:14">
      <c r="A1973" s="1" t="s">
        <v>1985</v>
      </c>
      <c r="B1973" s="2">
        <v>46011</v>
      </c>
      <c r="C1973" s="1" t="s">
        <v>2014</v>
      </c>
      <c r="D1973" s="1" t="s">
        <v>2035</v>
      </c>
      <c r="E1973" s="1" t="s">
        <v>2046</v>
      </c>
      <c r="F1973" s="1" t="s">
        <v>2053</v>
      </c>
      <c r="G1973" s="1" t="s">
        <v>2076</v>
      </c>
      <c r="H1973" s="1" t="s">
        <v>2087</v>
      </c>
      <c r="I1973" s="1">
        <v>9</v>
      </c>
      <c r="J1973" s="1">
        <v>2167.54</v>
      </c>
      <c r="K1973" s="1">
        <v>9.8800000000000008</v>
      </c>
      <c r="L1973" s="1">
        <v>17580.48</v>
      </c>
      <c r="M1973" s="1">
        <v>2497.02</v>
      </c>
      <c r="N1973" s="1" t="s">
        <v>2092</v>
      </c>
    </row>
    <row r="1974" spans="1:14">
      <c r="A1974" s="1" t="s">
        <v>1986</v>
      </c>
      <c r="B1974" s="2">
        <v>46012</v>
      </c>
      <c r="C1974" s="1" t="s">
        <v>2028</v>
      </c>
      <c r="D1974" s="1" t="s">
        <v>2036</v>
      </c>
      <c r="E1974" s="1" t="s">
        <v>2048</v>
      </c>
      <c r="F1974" s="1" t="s">
        <v>2050</v>
      </c>
      <c r="G1974" s="1" t="s">
        <v>2084</v>
      </c>
      <c r="H1974" s="1" t="s">
        <v>2087</v>
      </c>
      <c r="I1974" s="1">
        <v>9</v>
      </c>
      <c r="J1974" s="1">
        <v>2273.61</v>
      </c>
      <c r="K1974" s="1">
        <v>29.21</v>
      </c>
      <c r="L1974" s="1">
        <v>14485.4</v>
      </c>
      <c r="M1974" s="1">
        <v>2100.81</v>
      </c>
      <c r="N1974" s="1" t="s">
        <v>2089</v>
      </c>
    </row>
    <row r="1975" spans="1:14">
      <c r="A1975" s="1" t="s">
        <v>1987</v>
      </c>
      <c r="B1975" s="2">
        <v>46012</v>
      </c>
      <c r="C1975" s="1" t="s">
        <v>2018</v>
      </c>
      <c r="D1975" s="1" t="s">
        <v>2037</v>
      </c>
      <c r="E1975" s="1" t="s">
        <v>2047</v>
      </c>
      <c r="F1975" s="1" t="s">
        <v>2049</v>
      </c>
      <c r="G1975" s="1" t="s">
        <v>2074</v>
      </c>
      <c r="H1975" s="1" t="s">
        <v>2087</v>
      </c>
      <c r="I1975" s="1">
        <v>5</v>
      </c>
      <c r="J1975" s="1">
        <v>1788.55</v>
      </c>
      <c r="K1975" s="1">
        <v>4.26</v>
      </c>
      <c r="L1975" s="1">
        <v>8561.7900000000009</v>
      </c>
      <c r="M1975" s="1">
        <v>983.3</v>
      </c>
      <c r="N1975" s="1" t="s">
        <v>2088</v>
      </c>
    </row>
    <row r="1976" spans="1:14">
      <c r="A1976" s="1" t="s">
        <v>1988</v>
      </c>
      <c r="B1976" s="2">
        <v>46012</v>
      </c>
      <c r="C1976" s="1" t="s">
        <v>2015</v>
      </c>
      <c r="D1976" s="1" t="s">
        <v>2038</v>
      </c>
      <c r="E1976" s="1" t="s">
        <v>2048</v>
      </c>
      <c r="F1976" s="1" t="s">
        <v>2053</v>
      </c>
      <c r="G1976" s="1" t="s">
        <v>2076</v>
      </c>
      <c r="H1976" s="1" t="s">
        <v>2086</v>
      </c>
      <c r="I1976" s="1">
        <v>7</v>
      </c>
      <c r="J1976" s="1">
        <v>515.4</v>
      </c>
      <c r="K1976" s="1">
        <v>4.1900000000000004</v>
      </c>
      <c r="L1976" s="1">
        <v>3456.63</v>
      </c>
      <c r="M1976" s="1">
        <v>415.85</v>
      </c>
      <c r="N1976" s="1" t="s">
        <v>2092</v>
      </c>
    </row>
    <row r="1977" spans="1:14">
      <c r="A1977" s="1" t="s">
        <v>1989</v>
      </c>
      <c r="B1977" s="2">
        <v>46013</v>
      </c>
      <c r="C1977" s="1" t="s">
        <v>2017</v>
      </c>
      <c r="D1977" s="1" t="s">
        <v>2039</v>
      </c>
      <c r="E1977" s="1" t="s">
        <v>2047</v>
      </c>
      <c r="F1977" s="1" t="s">
        <v>2051</v>
      </c>
      <c r="G1977" s="1" t="s">
        <v>2061</v>
      </c>
      <c r="H1977" s="1" t="s">
        <v>2087</v>
      </c>
      <c r="I1977" s="1">
        <v>4</v>
      </c>
      <c r="J1977" s="1">
        <v>21973.06</v>
      </c>
      <c r="K1977" s="1">
        <v>1.79</v>
      </c>
      <c r="L1977" s="1">
        <v>86318.97</v>
      </c>
      <c r="M1977" s="1">
        <v>16303.65</v>
      </c>
      <c r="N1977" s="1" t="s">
        <v>2092</v>
      </c>
    </row>
    <row r="1978" spans="1:14">
      <c r="A1978" s="1" t="s">
        <v>1990</v>
      </c>
      <c r="B1978" s="2">
        <v>46013</v>
      </c>
      <c r="C1978" s="1" t="s">
        <v>2026</v>
      </c>
      <c r="D1978" s="1" t="s">
        <v>2040</v>
      </c>
      <c r="E1978" s="1" t="s">
        <v>2044</v>
      </c>
      <c r="F1978" s="1" t="s">
        <v>2052</v>
      </c>
      <c r="G1978" s="1" t="s">
        <v>2065</v>
      </c>
      <c r="H1978" s="1" t="s">
        <v>2086</v>
      </c>
      <c r="I1978" s="1">
        <v>5</v>
      </c>
      <c r="J1978" s="1">
        <v>4541.79</v>
      </c>
      <c r="K1978" s="1">
        <v>23.05</v>
      </c>
      <c r="L1978" s="1">
        <v>17474.54</v>
      </c>
      <c r="M1978" s="1">
        <v>2030.23</v>
      </c>
      <c r="N1978" s="1" t="s">
        <v>2092</v>
      </c>
    </row>
    <row r="1979" spans="1:14">
      <c r="A1979" s="1" t="s">
        <v>1991</v>
      </c>
      <c r="B1979" s="2">
        <v>46013</v>
      </c>
      <c r="C1979" s="1" t="s">
        <v>2018</v>
      </c>
      <c r="D1979" s="1" t="s">
        <v>2041</v>
      </c>
      <c r="E1979" s="1" t="s">
        <v>2045</v>
      </c>
      <c r="F1979" s="1" t="s">
        <v>2049</v>
      </c>
      <c r="G1979" s="1" t="s">
        <v>2082</v>
      </c>
      <c r="H1979" s="1" t="s">
        <v>2087</v>
      </c>
      <c r="I1979" s="1">
        <v>6</v>
      </c>
      <c r="J1979" s="1">
        <v>1558.97</v>
      </c>
      <c r="K1979" s="1">
        <v>21.02</v>
      </c>
      <c r="L1979" s="1">
        <v>7387.65</v>
      </c>
      <c r="M1979" s="1">
        <v>1949.65</v>
      </c>
      <c r="N1979" s="1" t="s">
        <v>2091</v>
      </c>
    </row>
    <row r="1980" spans="1:14">
      <c r="A1980" s="1" t="s">
        <v>1992</v>
      </c>
      <c r="B1980" s="2">
        <v>46014</v>
      </c>
      <c r="C1980" s="1" t="s">
        <v>2017</v>
      </c>
      <c r="D1980" s="1" t="s">
        <v>2042</v>
      </c>
      <c r="E1980" s="1" t="s">
        <v>2045</v>
      </c>
      <c r="F1980" s="1" t="s">
        <v>2052</v>
      </c>
      <c r="G1980" s="1" t="s">
        <v>2083</v>
      </c>
      <c r="H1980" s="1" t="s">
        <v>2087</v>
      </c>
      <c r="I1980" s="1">
        <v>5</v>
      </c>
      <c r="J1980" s="1">
        <v>2554.41</v>
      </c>
      <c r="K1980" s="1">
        <v>28.7</v>
      </c>
      <c r="L1980" s="1">
        <v>9106.4699999999993</v>
      </c>
      <c r="M1980" s="1">
        <v>2151.5700000000002</v>
      </c>
      <c r="N1980" s="1" t="s">
        <v>2090</v>
      </c>
    </row>
    <row r="1981" spans="1:14">
      <c r="A1981" s="1" t="s">
        <v>1993</v>
      </c>
      <c r="B1981" s="2">
        <v>46014</v>
      </c>
      <c r="C1981" s="1" t="s">
        <v>2027</v>
      </c>
      <c r="D1981" s="1" t="s">
        <v>2043</v>
      </c>
      <c r="E1981" s="1" t="s">
        <v>2047</v>
      </c>
      <c r="F1981" s="1" t="s">
        <v>2052</v>
      </c>
      <c r="G1981" s="1" t="s">
        <v>2072</v>
      </c>
      <c r="H1981" s="1" t="s">
        <v>2086</v>
      </c>
      <c r="I1981" s="1">
        <v>9</v>
      </c>
      <c r="J1981" s="1">
        <v>4056.11</v>
      </c>
      <c r="K1981" s="1">
        <v>28.94</v>
      </c>
      <c r="L1981" s="1">
        <v>25940.45</v>
      </c>
      <c r="M1981" s="1">
        <v>5004.45</v>
      </c>
      <c r="N1981" s="1" t="s">
        <v>2089</v>
      </c>
    </row>
    <row r="1982" spans="1:14">
      <c r="A1982" s="1" t="s">
        <v>1994</v>
      </c>
      <c r="B1982" s="2">
        <v>46015</v>
      </c>
      <c r="C1982" s="1" t="s">
        <v>2016</v>
      </c>
      <c r="D1982" s="1" t="s">
        <v>2029</v>
      </c>
      <c r="E1982" s="1" t="s">
        <v>2046</v>
      </c>
      <c r="F1982" s="1" t="s">
        <v>2054</v>
      </c>
      <c r="G1982" s="1" t="s">
        <v>2068</v>
      </c>
      <c r="H1982" s="1" t="s">
        <v>2086</v>
      </c>
      <c r="I1982" s="1">
        <v>9</v>
      </c>
      <c r="J1982" s="1">
        <v>59733.87</v>
      </c>
      <c r="K1982" s="1">
        <v>27.15</v>
      </c>
      <c r="L1982" s="1">
        <v>391645.12</v>
      </c>
      <c r="M1982" s="1">
        <v>20013.22</v>
      </c>
      <c r="N1982" s="1" t="s">
        <v>2092</v>
      </c>
    </row>
    <row r="1983" spans="1:14">
      <c r="A1983" s="1" t="s">
        <v>1995</v>
      </c>
      <c r="B1983" s="2">
        <v>46015</v>
      </c>
      <c r="C1983" s="1" t="s">
        <v>2027</v>
      </c>
      <c r="D1983" s="1" t="s">
        <v>2030</v>
      </c>
      <c r="E1983" s="1" t="s">
        <v>2046</v>
      </c>
      <c r="F1983" s="1" t="s">
        <v>2052</v>
      </c>
      <c r="G1983" s="1" t="s">
        <v>2065</v>
      </c>
      <c r="H1983" s="1" t="s">
        <v>2087</v>
      </c>
      <c r="I1983" s="1">
        <v>5</v>
      </c>
      <c r="J1983" s="1">
        <v>2109.7199999999998</v>
      </c>
      <c r="K1983" s="1">
        <v>2.4300000000000002</v>
      </c>
      <c r="L1983" s="1">
        <v>10292.27</v>
      </c>
      <c r="M1983" s="1">
        <v>2561.61</v>
      </c>
      <c r="N1983" s="1" t="s">
        <v>2091</v>
      </c>
    </row>
    <row r="1984" spans="1:14">
      <c r="A1984" s="1" t="s">
        <v>1996</v>
      </c>
      <c r="B1984" s="2">
        <v>46015</v>
      </c>
      <c r="C1984" s="1" t="s">
        <v>2028</v>
      </c>
      <c r="D1984" s="1" t="s">
        <v>2031</v>
      </c>
      <c r="E1984" s="1" t="s">
        <v>2045</v>
      </c>
      <c r="F1984" s="1" t="s">
        <v>2050</v>
      </c>
      <c r="G1984" s="1" t="s">
        <v>2084</v>
      </c>
      <c r="H1984" s="1" t="s">
        <v>2085</v>
      </c>
      <c r="I1984" s="1">
        <v>10</v>
      </c>
      <c r="J1984" s="1">
        <v>2545.89</v>
      </c>
      <c r="K1984" s="1">
        <v>13.72</v>
      </c>
      <c r="L1984" s="1">
        <v>21965.94</v>
      </c>
      <c r="M1984" s="1">
        <v>3362.53</v>
      </c>
      <c r="N1984" s="1" t="s">
        <v>2091</v>
      </c>
    </row>
    <row r="1985" spans="1:14">
      <c r="A1985" s="1" t="s">
        <v>1997</v>
      </c>
      <c r="B1985" s="2">
        <v>46016</v>
      </c>
      <c r="C1985" s="1" t="s">
        <v>2022</v>
      </c>
      <c r="D1985" s="1" t="s">
        <v>2032</v>
      </c>
      <c r="E1985" s="1" t="s">
        <v>2048</v>
      </c>
      <c r="F1985" s="1" t="s">
        <v>2052</v>
      </c>
      <c r="G1985" s="1" t="s">
        <v>2065</v>
      </c>
      <c r="H1985" s="1" t="s">
        <v>2086</v>
      </c>
      <c r="I1985" s="1">
        <v>6</v>
      </c>
      <c r="J1985" s="1">
        <v>4997.49</v>
      </c>
      <c r="K1985" s="1">
        <v>20.89</v>
      </c>
      <c r="L1985" s="1">
        <v>23721.09</v>
      </c>
      <c r="M1985" s="1">
        <v>1841.01</v>
      </c>
      <c r="N1985" s="1" t="s">
        <v>2092</v>
      </c>
    </row>
    <row r="1986" spans="1:14">
      <c r="A1986" s="1" t="s">
        <v>1998</v>
      </c>
      <c r="B1986" s="2">
        <v>46016</v>
      </c>
      <c r="C1986" s="1" t="s">
        <v>2016</v>
      </c>
      <c r="D1986" s="1" t="s">
        <v>2033</v>
      </c>
      <c r="E1986" s="1" t="s">
        <v>2046</v>
      </c>
      <c r="F1986" s="1" t="s">
        <v>2051</v>
      </c>
      <c r="G1986" s="1" t="s">
        <v>2080</v>
      </c>
      <c r="H1986" s="1" t="s">
        <v>2085</v>
      </c>
      <c r="I1986" s="1">
        <v>3</v>
      </c>
      <c r="J1986" s="1">
        <v>10973.56</v>
      </c>
      <c r="K1986" s="1">
        <v>7.42</v>
      </c>
      <c r="L1986" s="1">
        <v>30477.97</v>
      </c>
      <c r="M1986" s="1">
        <v>8839.1200000000008</v>
      </c>
      <c r="N1986" s="1" t="s">
        <v>2092</v>
      </c>
    </row>
    <row r="1987" spans="1:14">
      <c r="A1987" s="1" t="s">
        <v>1999</v>
      </c>
      <c r="B1987" s="2">
        <v>46016</v>
      </c>
      <c r="C1987" s="1" t="s">
        <v>2019</v>
      </c>
      <c r="D1987" s="1" t="s">
        <v>2034</v>
      </c>
      <c r="E1987" s="1" t="s">
        <v>2046</v>
      </c>
      <c r="F1987" s="1" t="s">
        <v>2049</v>
      </c>
      <c r="G1987" s="1" t="s">
        <v>2082</v>
      </c>
      <c r="H1987" s="1" t="s">
        <v>2087</v>
      </c>
      <c r="I1987" s="1">
        <v>6</v>
      </c>
      <c r="J1987" s="1">
        <v>963.48</v>
      </c>
      <c r="K1987" s="1">
        <v>0.92</v>
      </c>
      <c r="L1987" s="1">
        <v>5727.7</v>
      </c>
      <c r="M1987" s="1">
        <v>501.2</v>
      </c>
      <c r="N1987" s="1" t="s">
        <v>2090</v>
      </c>
    </row>
    <row r="1988" spans="1:14">
      <c r="A1988" s="1" t="s">
        <v>2000</v>
      </c>
      <c r="B1988" s="2">
        <v>46017</v>
      </c>
      <c r="C1988" s="1" t="s">
        <v>2024</v>
      </c>
      <c r="D1988" s="1" t="s">
        <v>2035</v>
      </c>
      <c r="E1988" s="1" t="s">
        <v>2047</v>
      </c>
      <c r="F1988" s="1" t="s">
        <v>2054</v>
      </c>
      <c r="G1988" s="1" t="s">
        <v>2068</v>
      </c>
      <c r="H1988" s="1" t="s">
        <v>2087</v>
      </c>
      <c r="I1988" s="1">
        <v>3</v>
      </c>
      <c r="J1988" s="1">
        <v>12560.68</v>
      </c>
      <c r="K1988" s="1">
        <v>17.010000000000002</v>
      </c>
      <c r="L1988" s="1">
        <v>31272.32</v>
      </c>
      <c r="M1988" s="1">
        <v>7540.01</v>
      </c>
      <c r="N1988" s="1" t="s">
        <v>2091</v>
      </c>
    </row>
    <row r="1989" spans="1:14">
      <c r="A1989" s="1" t="s">
        <v>2001</v>
      </c>
      <c r="B1989" s="2">
        <v>46017</v>
      </c>
      <c r="C1989" s="1" t="s">
        <v>2028</v>
      </c>
      <c r="D1989" s="1" t="s">
        <v>2036</v>
      </c>
      <c r="E1989" s="1" t="s">
        <v>2044</v>
      </c>
      <c r="F1989" s="1" t="s">
        <v>2051</v>
      </c>
      <c r="G1989" s="1" t="s">
        <v>2077</v>
      </c>
      <c r="H1989" s="1" t="s">
        <v>2087</v>
      </c>
      <c r="I1989" s="1">
        <v>8</v>
      </c>
      <c r="J1989" s="1">
        <v>33800.080000000002</v>
      </c>
      <c r="K1989" s="1">
        <v>22.85</v>
      </c>
      <c r="L1989" s="1">
        <v>208614.09</v>
      </c>
      <c r="M1989" s="1">
        <v>28893.31</v>
      </c>
      <c r="N1989" s="1" t="s">
        <v>2092</v>
      </c>
    </row>
    <row r="1990" spans="1:14">
      <c r="A1990" s="1" t="s">
        <v>2002</v>
      </c>
      <c r="B1990" s="2">
        <v>46017</v>
      </c>
      <c r="C1990" s="1" t="s">
        <v>2026</v>
      </c>
      <c r="D1990" s="1" t="s">
        <v>2037</v>
      </c>
      <c r="E1990" s="1" t="s">
        <v>2045</v>
      </c>
      <c r="F1990" s="1" t="s">
        <v>2049</v>
      </c>
      <c r="G1990" s="1" t="s">
        <v>2058</v>
      </c>
      <c r="H1990" s="1" t="s">
        <v>2085</v>
      </c>
      <c r="I1990" s="1">
        <v>1</v>
      </c>
      <c r="J1990" s="1">
        <v>1159.46</v>
      </c>
      <c r="K1990" s="1">
        <v>25.2</v>
      </c>
      <c r="L1990" s="1">
        <v>867.28</v>
      </c>
      <c r="M1990" s="1">
        <v>252.69</v>
      </c>
      <c r="N1990" s="1" t="s">
        <v>2091</v>
      </c>
    </row>
    <row r="1991" spans="1:14">
      <c r="A1991" s="1" t="s">
        <v>2003</v>
      </c>
      <c r="B1991" s="2">
        <v>46018</v>
      </c>
      <c r="C1991" s="1" t="s">
        <v>2015</v>
      </c>
      <c r="D1991" s="1" t="s">
        <v>2038</v>
      </c>
      <c r="E1991" s="1" t="s">
        <v>2044</v>
      </c>
      <c r="F1991" s="1" t="s">
        <v>2051</v>
      </c>
      <c r="G1991" s="1" t="s">
        <v>2080</v>
      </c>
      <c r="H1991" s="1" t="s">
        <v>2087</v>
      </c>
      <c r="I1991" s="1">
        <v>2</v>
      </c>
      <c r="J1991" s="1">
        <v>8928.2900000000009</v>
      </c>
      <c r="K1991" s="1">
        <v>2.79</v>
      </c>
      <c r="L1991" s="1">
        <v>17358.38</v>
      </c>
      <c r="M1991" s="1">
        <v>1142.04</v>
      </c>
      <c r="N1991" s="1" t="s">
        <v>2092</v>
      </c>
    </row>
    <row r="1992" spans="1:14">
      <c r="A1992" s="1" t="s">
        <v>2004</v>
      </c>
      <c r="B1992" s="2">
        <v>46018</v>
      </c>
      <c r="C1992" s="1" t="s">
        <v>2014</v>
      </c>
      <c r="D1992" s="1" t="s">
        <v>2039</v>
      </c>
      <c r="E1992" s="1" t="s">
        <v>2045</v>
      </c>
      <c r="F1992" s="1" t="s">
        <v>2050</v>
      </c>
      <c r="G1992" s="1" t="s">
        <v>2070</v>
      </c>
      <c r="H1992" s="1" t="s">
        <v>2087</v>
      </c>
      <c r="I1992" s="1">
        <v>5</v>
      </c>
      <c r="J1992" s="1">
        <v>1655.72</v>
      </c>
      <c r="K1992" s="1">
        <v>7.95</v>
      </c>
      <c r="L1992" s="1">
        <v>7620.45</v>
      </c>
      <c r="M1992" s="1">
        <v>526.55999999999995</v>
      </c>
      <c r="N1992" s="1" t="s">
        <v>2088</v>
      </c>
    </row>
    <row r="1993" spans="1:14">
      <c r="A1993" s="1" t="s">
        <v>2005</v>
      </c>
      <c r="B1993" s="2">
        <v>46019</v>
      </c>
      <c r="C1993" s="1" t="s">
        <v>2017</v>
      </c>
      <c r="D1993" s="1" t="s">
        <v>2040</v>
      </c>
      <c r="E1993" s="1" t="s">
        <v>2045</v>
      </c>
      <c r="F1993" s="1" t="s">
        <v>2054</v>
      </c>
      <c r="G1993" s="1" t="s">
        <v>2079</v>
      </c>
      <c r="H1993" s="1" t="s">
        <v>2085</v>
      </c>
      <c r="I1993" s="1">
        <v>10</v>
      </c>
      <c r="J1993" s="1">
        <v>11949.62</v>
      </c>
      <c r="K1993" s="1">
        <v>26.73</v>
      </c>
      <c r="L1993" s="1">
        <v>87554.87</v>
      </c>
      <c r="M1993" s="1">
        <v>26003.97</v>
      </c>
      <c r="N1993" s="1" t="s">
        <v>2090</v>
      </c>
    </row>
    <row r="1994" spans="1:14">
      <c r="A1994" s="1" t="s">
        <v>2006</v>
      </c>
      <c r="B1994" s="2">
        <v>46019</v>
      </c>
      <c r="C1994" s="1" t="s">
        <v>2017</v>
      </c>
      <c r="D1994" s="1" t="s">
        <v>2041</v>
      </c>
      <c r="E1994" s="1" t="s">
        <v>2044</v>
      </c>
      <c r="F1994" s="1" t="s">
        <v>2051</v>
      </c>
      <c r="G1994" s="1" t="s">
        <v>2057</v>
      </c>
      <c r="H1994" s="1" t="s">
        <v>2087</v>
      </c>
      <c r="I1994" s="1">
        <v>6</v>
      </c>
      <c r="J1994" s="1">
        <v>26174.13</v>
      </c>
      <c r="K1994" s="1">
        <v>28.39</v>
      </c>
      <c r="L1994" s="1">
        <v>112459.77</v>
      </c>
      <c r="M1994" s="1">
        <v>13532.81</v>
      </c>
      <c r="N1994" s="1" t="s">
        <v>2088</v>
      </c>
    </row>
    <row r="1995" spans="1:14">
      <c r="A1995" s="1" t="s">
        <v>2007</v>
      </c>
      <c r="B1995" s="2">
        <v>46019</v>
      </c>
      <c r="C1995" s="1" t="s">
        <v>2016</v>
      </c>
      <c r="D1995" s="1" t="s">
        <v>2042</v>
      </c>
      <c r="E1995" s="1" t="s">
        <v>2046</v>
      </c>
      <c r="F1995" s="1" t="s">
        <v>2050</v>
      </c>
      <c r="G1995" s="1" t="s">
        <v>2064</v>
      </c>
      <c r="H1995" s="1" t="s">
        <v>2085</v>
      </c>
      <c r="I1995" s="1">
        <v>9</v>
      </c>
      <c r="J1995" s="1">
        <v>4102.03</v>
      </c>
      <c r="K1995" s="1">
        <v>11.72</v>
      </c>
      <c r="L1995" s="1">
        <v>32591.45</v>
      </c>
      <c r="M1995" s="1">
        <v>5474.86</v>
      </c>
      <c r="N1995" s="1" t="s">
        <v>2091</v>
      </c>
    </row>
    <row r="1996" spans="1:14">
      <c r="A1996" s="1" t="s">
        <v>2008</v>
      </c>
      <c r="B1996" s="2">
        <v>46020</v>
      </c>
      <c r="C1996" s="1" t="s">
        <v>2014</v>
      </c>
      <c r="D1996" s="1" t="s">
        <v>2043</v>
      </c>
      <c r="E1996" s="1" t="s">
        <v>2044</v>
      </c>
      <c r="F1996" s="1" t="s">
        <v>2054</v>
      </c>
      <c r="G1996" s="1" t="s">
        <v>2066</v>
      </c>
      <c r="H1996" s="1" t="s">
        <v>2086</v>
      </c>
      <c r="I1996" s="1">
        <v>5</v>
      </c>
      <c r="J1996" s="1">
        <v>26600.83</v>
      </c>
      <c r="K1996" s="1">
        <v>14.16</v>
      </c>
      <c r="L1996" s="1">
        <v>114170.76</v>
      </c>
      <c r="M1996" s="1">
        <v>28504.959999999999</v>
      </c>
      <c r="N1996" s="1" t="s">
        <v>2088</v>
      </c>
    </row>
    <row r="1997" spans="1:14">
      <c r="A1997" s="1" t="s">
        <v>2009</v>
      </c>
      <c r="B1997" s="2">
        <v>46020</v>
      </c>
      <c r="C1997" s="1" t="s">
        <v>2024</v>
      </c>
      <c r="D1997" s="1" t="s">
        <v>2029</v>
      </c>
      <c r="E1997" s="1" t="s">
        <v>2046</v>
      </c>
      <c r="F1997" s="1" t="s">
        <v>2051</v>
      </c>
      <c r="G1997" s="1" t="s">
        <v>2080</v>
      </c>
      <c r="H1997" s="1" t="s">
        <v>2085</v>
      </c>
      <c r="I1997" s="1">
        <v>4</v>
      </c>
      <c r="J1997" s="1">
        <v>26564.1</v>
      </c>
      <c r="K1997" s="1">
        <v>14.01</v>
      </c>
      <c r="L1997" s="1">
        <v>91369.88</v>
      </c>
      <c r="M1997" s="1">
        <v>15294.28</v>
      </c>
      <c r="N1997" s="1" t="s">
        <v>2090</v>
      </c>
    </row>
    <row r="1998" spans="1:14">
      <c r="A1998" s="1" t="s">
        <v>2010</v>
      </c>
      <c r="B1998" s="2">
        <v>46020</v>
      </c>
      <c r="C1998" s="1" t="s">
        <v>2022</v>
      </c>
      <c r="D1998" s="1" t="s">
        <v>2030</v>
      </c>
      <c r="E1998" s="1" t="s">
        <v>2046</v>
      </c>
      <c r="F1998" s="1" t="s">
        <v>2054</v>
      </c>
      <c r="G1998" s="1" t="s">
        <v>2063</v>
      </c>
      <c r="H1998" s="1" t="s">
        <v>2085</v>
      </c>
      <c r="I1998" s="1">
        <v>9</v>
      </c>
      <c r="J1998" s="1">
        <v>54524.37</v>
      </c>
      <c r="K1998" s="1">
        <v>7.09</v>
      </c>
      <c r="L1998" s="1">
        <v>455927.33</v>
      </c>
      <c r="M1998" s="1">
        <v>65766.81</v>
      </c>
      <c r="N1998" s="1" t="s">
        <v>2091</v>
      </c>
    </row>
    <row r="1999" spans="1:14">
      <c r="A1999" s="1" t="s">
        <v>2011</v>
      </c>
      <c r="B1999" s="2">
        <v>46021</v>
      </c>
      <c r="C1999" s="1" t="s">
        <v>2019</v>
      </c>
      <c r="D1999" s="1" t="s">
        <v>2031</v>
      </c>
      <c r="E1999" s="1" t="s">
        <v>2045</v>
      </c>
      <c r="F1999" s="1" t="s">
        <v>2053</v>
      </c>
      <c r="G1999" s="1" t="s">
        <v>2062</v>
      </c>
      <c r="H1999" s="1" t="s">
        <v>2087</v>
      </c>
      <c r="I1999" s="1">
        <v>2</v>
      </c>
      <c r="J1999" s="1">
        <v>481.66</v>
      </c>
      <c r="K1999" s="1">
        <v>19.559999999999999</v>
      </c>
      <c r="L1999" s="1">
        <v>774.89</v>
      </c>
      <c r="M1999" s="1">
        <v>95.04</v>
      </c>
      <c r="N1999" s="1" t="s">
        <v>2089</v>
      </c>
    </row>
    <row r="2000" spans="1:14">
      <c r="A2000" s="1" t="s">
        <v>2012</v>
      </c>
      <c r="B2000" s="2">
        <v>46021</v>
      </c>
      <c r="C2000" s="1" t="s">
        <v>2026</v>
      </c>
      <c r="D2000" s="1" t="s">
        <v>2032</v>
      </c>
      <c r="E2000" s="1" t="s">
        <v>2048</v>
      </c>
      <c r="F2000" s="1" t="s">
        <v>2050</v>
      </c>
      <c r="G2000" s="1" t="s">
        <v>2075</v>
      </c>
      <c r="H2000" s="1" t="s">
        <v>2085</v>
      </c>
      <c r="I2000" s="1">
        <v>7</v>
      </c>
      <c r="J2000" s="1">
        <v>1444.12</v>
      </c>
      <c r="K2000" s="1">
        <v>12.68</v>
      </c>
      <c r="L2000" s="1">
        <v>8827.0400000000009</v>
      </c>
      <c r="M2000" s="1">
        <v>2569.16</v>
      </c>
      <c r="N2000" s="1" t="s">
        <v>2089</v>
      </c>
    </row>
    <row r="2001" spans="1:14">
      <c r="A2001" s="1" t="s">
        <v>2013</v>
      </c>
      <c r="B2001" s="2">
        <v>46022</v>
      </c>
      <c r="C2001" s="1" t="s">
        <v>2018</v>
      </c>
      <c r="D2001" s="1" t="s">
        <v>2093</v>
      </c>
      <c r="E2001" s="1" t="s">
        <v>2048</v>
      </c>
      <c r="F2001" s="1" t="s">
        <v>2054</v>
      </c>
      <c r="G2001" s="1" t="s">
        <v>2094</v>
      </c>
      <c r="H2001" s="1" t="s">
        <v>2085</v>
      </c>
      <c r="I2001" s="1">
        <v>2</v>
      </c>
      <c r="J2001" s="1">
        <v>481.66</v>
      </c>
      <c r="K2001" s="1">
        <v>19.559999999999999</v>
      </c>
      <c r="L2001" s="1">
        <v>774.89</v>
      </c>
      <c r="M2001" s="1">
        <v>95.04</v>
      </c>
      <c r="N2001" s="1" t="s">
        <v>2091</v>
      </c>
    </row>
    <row r="2002" spans="1:14">
      <c r="B2002"/>
    </row>
    <row r="2003" spans="1:14">
      <c r="B2003"/>
    </row>
    <row r="2004" spans="1:14">
      <c r="B2004"/>
    </row>
    <row r="2005" spans="1:14">
      <c r="A2005" s="7"/>
      <c r="B2005" s="6"/>
      <c r="C2005" s="7"/>
      <c r="D2005" s="7"/>
      <c r="E2005" s="7"/>
      <c r="F2005" s="7"/>
      <c r="G2005" s="7"/>
      <c r="H2005" s="7"/>
      <c r="I2005" s="7"/>
      <c r="J2005" s="7"/>
      <c r="K2005" s="7"/>
      <c r="L2005" s="7"/>
      <c r="M2005" s="7"/>
      <c r="N2005" s="7"/>
    </row>
    <row r="2006" spans="1:14">
      <c r="A2006" s="7"/>
      <c r="B2006" s="6"/>
      <c r="C2006" s="7"/>
      <c r="D2006" s="7"/>
      <c r="E2006" s="7"/>
      <c r="F2006" s="7"/>
      <c r="G2006" s="7"/>
      <c r="H2006" s="7"/>
      <c r="I2006" s="7"/>
      <c r="J2006" s="7"/>
      <c r="K2006" s="7"/>
      <c r="L2006" s="7"/>
      <c r="M2006" s="7"/>
      <c r="N2006" s="7"/>
    </row>
    <row r="2007" spans="1:14">
      <c r="A2007" s="1"/>
      <c r="B2007" s="2"/>
      <c r="C2007" s="1"/>
      <c r="D2007" s="1"/>
      <c r="E2007" s="1"/>
      <c r="F2007" s="1"/>
      <c r="G2007" s="1"/>
      <c r="H2007" s="1"/>
      <c r="I2007" s="1"/>
      <c r="J2007" s="1"/>
      <c r="K2007" s="1"/>
      <c r="L2007" s="1"/>
      <c r="M2007" s="1"/>
      <c r="N2007" s="1"/>
    </row>
    <row r="2008" spans="1:14">
      <c r="A2008" s="1"/>
      <c r="B2008" s="2"/>
      <c r="C2008" s="1"/>
      <c r="D2008" s="1"/>
      <c r="E2008" s="1"/>
      <c r="F2008" s="1"/>
      <c r="G2008" s="1"/>
      <c r="H2008" s="1"/>
      <c r="I2008" s="1"/>
      <c r="J2008" s="1"/>
      <c r="K2008" s="1"/>
      <c r="L2008" s="1"/>
      <c r="M2008" s="1"/>
      <c r="N2008" s="1"/>
    </row>
    <row r="2009" spans="1:14">
      <c r="A2009" s="1" t="s">
        <v>2126</v>
      </c>
      <c r="B2009" s="2">
        <v>46248</v>
      </c>
      <c r="C2009" s="1" t="s">
        <v>2023</v>
      </c>
      <c r="D2009" s="1" t="s">
        <v>2127</v>
      </c>
      <c r="E2009" s="1" t="s">
        <v>2044</v>
      </c>
      <c r="F2009" s="1" t="s">
        <v>2051</v>
      </c>
      <c r="G2009" s="1" t="s">
        <v>2069</v>
      </c>
      <c r="H2009" s="1" t="s">
        <v>2085</v>
      </c>
      <c r="I2009" s="1">
        <v>214</v>
      </c>
      <c r="J2009" s="1">
        <v>2</v>
      </c>
      <c r="K2009" s="1">
        <v>10</v>
      </c>
      <c r="L2009" s="1">
        <v>45</v>
      </c>
      <c r="M2009" s="1">
        <v>33</v>
      </c>
      <c r="N2009" s="1" t="s">
        <v>2089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Q38"/>
  <sheetViews>
    <sheetView showGridLines="0" topLeftCell="A2" zoomScale="52" zoomScaleNormal="60" workbookViewId="0">
      <selection activeCell="B5" sqref="B5:D8"/>
    </sheetView>
  </sheetViews>
  <sheetFormatPr defaultRowHeight="20" customHeight="1"/>
  <cols>
    <col min="1" max="1" width="4.6328125" customWidth="1"/>
    <col min="2" max="7" width="13.6328125" customWidth="1"/>
    <col min="8" max="8" width="19.1796875" bestFit="1" customWidth="1"/>
    <col min="9" max="9" width="15.90625" bestFit="1" customWidth="1"/>
    <col min="10" max="17" width="13.6328125" customWidth="1"/>
    <col min="18" max="21" width="16.6328125" bestFit="1" customWidth="1"/>
    <col min="22" max="22" width="18.81640625" bestFit="1" customWidth="1"/>
    <col min="23" max="24" width="16.6328125" bestFit="1" customWidth="1"/>
    <col min="25" max="25" width="18.81640625" bestFit="1" customWidth="1"/>
    <col min="26" max="27" width="16.6328125" bestFit="1" customWidth="1"/>
    <col min="28" max="28" width="18.81640625" bestFit="1" customWidth="1"/>
    <col min="29" max="29" width="16.6328125" bestFit="1" customWidth="1"/>
    <col min="30" max="30" width="20.08984375" bestFit="1" customWidth="1"/>
    <col min="31" max="34" width="16.6328125" bestFit="1" customWidth="1"/>
    <col min="35" max="35" width="10.90625" bestFit="1" customWidth="1"/>
  </cols>
  <sheetData>
    <row r="2" spans="2:17" ht="20" customHeight="1">
      <c r="B2" s="15" t="s">
        <v>2095</v>
      </c>
      <c r="C2" s="15"/>
      <c r="D2" s="15"/>
      <c r="E2" s="15"/>
      <c r="F2" s="15"/>
      <c r="G2" s="15"/>
      <c r="H2" s="15"/>
      <c r="I2" s="15"/>
      <c r="J2" s="15"/>
      <c r="K2" s="15"/>
      <c r="L2" s="15"/>
      <c r="M2" s="15"/>
      <c r="N2" s="15"/>
      <c r="O2" s="15"/>
      <c r="P2" s="15"/>
      <c r="Q2" s="15"/>
    </row>
    <row r="3" spans="2:17" ht="20" customHeight="1">
      <c r="B3" s="15"/>
      <c r="C3" s="15"/>
      <c r="D3" s="15"/>
      <c r="E3" s="15"/>
      <c r="F3" s="15"/>
      <c r="G3" s="15"/>
      <c r="H3" s="15"/>
      <c r="I3" s="15"/>
      <c r="J3" s="15"/>
      <c r="K3" s="15"/>
      <c r="L3" s="15"/>
      <c r="M3" s="15"/>
      <c r="N3" s="15"/>
      <c r="O3" s="15"/>
      <c r="P3" s="15"/>
      <c r="Q3" s="15"/>
    </row>
    <row r="5" spans="2:17" ht="20" customHeight="1">
      <c r="B5" s="16" t="str">
        <f>"TOTAL SALES"&amp;CHAR(10)&amp;TEXT(SUM(tblSales[Sales]),"?#,##0")</f>
        <v>TOTAL SALES
108,806,626</v>
      </c>
      <c r="C5" s="17"/>
      <c r="D5" s="17"/>
      <c r="E5" s="16" t="str">
        <f>"TOTAL PROFIT"&amp;CHAR(10)&amp;TEXT(SUM(tblSales[Profit]),"?#,##0")</f>
        <v>TOTAL PROFIT
19,133,530</v>
      </c>
      <c r="F5" s="17"/>
      <c r="G5" s="17"/>
      <c r="H5" s="16" t="str">
        <f>"TOTAL ORDERS"&amp;CHAR(10)&amp;TEXT(COUNTA(tblSales[Order_ID]),"#,##0")</f>
        <v>TOTAL ORDERS
2,001</v>
      </c>
      <c r="I5" s="17"/>
      <c r="J5" s="17"/>
      <c r="K5" s="16" t="str">
        <f>"TOTAL QUANTITY"&amp;CHAR(10)&amp;TEXT(SUM(tblSales[Quantity]),"#,##0")</f>
        <v>TOTAL QUANTITY
11,247</v>
      </c>
      <c r="L5" s="17"/>
      <c r="M5" s="17"/>
      <c r="N5" s="16" t="str">
        <f>"AVG DISCOUNT %"&amp;CHAR(10)&amp;TEXT(AVERAGE(tblSales[Discount_Percent])/100,"0.00%")</f>
        <v>AVG DISCOUNT %
14.99%</v>
      </c>
      <c r="O5" s="17"/>
      <c r="P5" s="16" t="str">
        <f>"AVG PROFIT MARGIN"&amp;CHAR(10)&amp;TEXT(SUM(tblSales[Profit])/SUM(tblSales[Sales]),"0.00%")</f>
        <v>AVG PROFIT MARGIN
17.58%</v>
      </c>
      <c r="Q5" s="17"/>
    </row>
    <row r="6" spans="2:17" ht="20" customHeight="1">
      <c r="B6" s="17"/>
      <c r="C6" s="17"/>
      <c r="D6" s="17"/>
      <c r="E6" s="17"/>
      <c r="F6" s="17"/>
      <c r="G6" s="17"/>
      <c r="H6" s="17"/>
      <c r="I6" s="17"/>
      <c r="J6" s="17"/>
      <c r="K6" s="17"/>
      <c r="L6" s="17"/>
      <c r="M6" s="17"/>
      <c r="N6" s="17"/>
      <c r="O6" s="17"/>
      <c r="P6" s="17"/>
      <c r="Q6" s="17"/>
    </row>
    <row r="7" spans="2:17" ht="20" customHeight="1">
      <c r="B7" s="17"/>
      <c r="C7" s="17"/>
      <c r="D7" s="17"/>
      <c r="E7" s="17"/>
      <c r="F7" s="17"/>
      <c r="G7" s="17"/>
      <c r="H7" s="17"/>
      <c r="I7" s="17"/>
      <c r="J7" s="17"/>
      <c r="K7" s="17"/>
      <c r="L7" s="17"/>
      <c r="M7" s="17"/>
      <c r="N7" s="17"/>
      <c r="O7" s="17"/>
      <c r="P7" s="17"/>
      <c r="Q7" s="17"/>
    </row>
    <row r="8" spans="2:17" ht="20" customHeight="1">
      <c r="B8" s="17"/>
      <c r="C8" s="17"/>
      <c r="D8" s="17"/>
      <c r="E8" s="17"/>
      <c r="F8" s="17"/>
      <c r="G8" s="17"/>
      <c r="H8" s="17"/>
      <c r="I8" s="17"/>
      <c r="J8" s="17"/>
      <c r="K8" s="17"/>
      <c r="L8" s="17"/>
      <c r="M8" s="17"/>
      <c r="N8" s="17"/>
      <c r="O8" s="17"/>
      <c r="P8" s="17"/>
      <c r="Q8" s="17"/>
    </row>
    <row r="10" spans="2:17" ht="20" customHeight="1">
      <c r="B10" s="20" t="s">
        <v>2096</v>
      </c>
      <c r="C10" s="20"/>
      <c r="D10" s="20"/>
      <c r="E10" s="20"/>
      <c r="F10" s="20"/>
      <c r="G10" s="20" t="s">
        <v>2097</v>
      </c>
      <c r="H10" s="20"/>
      <c r="I10" s="20"/>
      <c r="J10" s="20"/>
      <c r="K10" s="20" t="s">
        <v>2098</v>
      </c>
      <c r="L10" s="20"/>
      <c r="M10" s="20"/>
      <c r="N10" s="20"/>
      <c r="O10" s="20"/>
      <c r="P10" s="20"/>
      <c r="Q10" s="20"/>
    </row>
    <row r="19" spans="2:17" ht="20" customHeight="1">
      <c r="B19" s="20" t="s">
        <v>2099</v>
      </c>
      <c r="C19" s="20"/>
      <c r="D19" s="20"/>
      <c r="E19" s="20"/>
      <c r="F19" s="20"/>
      <c r="G19" s="20" t="s">
        <v>2100</v>
      </c>
      <c r="H19" s="20"/>
      <c r="I19" s="20"/>
      <c r="J19" s="20"/>
      <c r="K19" s="20" t="s">
        <v>2101</v>
      </c>
      <c r="L19" s="20"/>
      <c r="M19" s="20"/>
      <c r="N19" s="20" t="s">
        <v>2102</v>
      </c>
      <c r="O19" s="20"/>
      <c r="P19" s="20"/>
      <c r="Q19" s="20"/>
    </row>
    <row r="32" spans="2:17" ht="20" customHeight="1">
      <c r="H32" t="s">
        <v>2107</v>
      </c>
      <c r="I32" s="14" t="s">
        <v>2128</v>
      </c>
    </row>
    <row r="33" spans="2:17" ht="20" customHeight="1">
      <c r="H33" t="s">
        <v>2108</v>
      </c>
      <c r="I33" s="14" t="s">
        <v>2129</v>
      </c>
    </row>
    <row r="34" spans="2:17" ht="20" customHeight="1">
      <c r="H34" t="s">
        <v>2109</v>
      </c>
      <c r="I34" s="10">
        <v>2001</v>
      </c>
    </row>
    <row r="35" spans="2:17" ht="20" customHeight="1">
      <c r="B35" s="18"/>
      <c r="C35" s="19"/>
      <c r="D35" s="19"/>
      <c r="E35" s="19"/>
      <c r="F35" s="19"/>
      <c r="G35" s="19"/>
      <c r="H35" s="19"/>
      <c r="I35" s="19"/>
      <c r="J35" s="19"/>
      <c r="K35" s="19"/>
      <c r="L35" s="19"/>
      <c r="M35" s="19"/>
      <c r="N35" s="19"/>
      <c r="O35" s="19"/>
      <c r="P35" s="19"/>
      <c r="Q35" s="19"/>
    </row>
    <row r="36" spans="2:17" ht="20" customHeight="1">
      <c r="H36" t="s">
        <v>2110</v>
      </c>
      <c r="I36" t="s">
        <v>2130</v>
      </c>
    </row>
    <row r="37" spans="2:17" ht="20" customHeight="1">
      <c r="H37" t="s">
        <v>2111</v>
      </c>
      <c r="I37" s="11">
        <v>14.9933</v>
      </c>
    </row>
    <row r="38" spans="2:17" ht="20" customHeight="1">
      <c r="H38" t="s">
        <v>2112</v>
      </c>
      <c r="I38" s="11">
        <v>0.17580000000000001</v>
      </c>
    </row>
  </sheetData>
  <mergeCells count="15">
    <mergeCell ref="B35:Q35"/>
    <mergeCell ref="B10:F10"/>
    <mergeCell ref="G10:J10"/>
    <mergeCell ref="K10:Q10"/>
    <mergeCell ref="B19:F19"/>
    <mergeCell ref="G19:J19"/>
    <mergeCell ref="K19:M19"/>
    <mergeCell ref="N19:Q19"/>
    <mergeCell ref="B2:Q3"/>
    <mergeCell ref="B5:D8"/>
    <mergeCell ref="E5:G8"/>
    <mergeCell ref="H5:J8"/>
    <mergeCell ref="K5:M8"/>
    <mergeCell ref="N5:O8"/>
    <mergeCell ref="P5:Q8"/>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6"/>
  <sheetViews>
    <sheetView zoomScale="85" zoomScaleNormal="85" workbookViewId="0">
      <selection activeCell="L9" sqref="L9"/>
    </sheetView>
  </sheetViews>
  <sheetFormatPr defaultRowHeight="14.5"/>
  <cols>
    <col min="1" max="1" width="13.1796875" bestFit="1" customWidth="1"/>
    <col min="2" max="3" width="12.7265625" bestFit="1" customWidth="1"/>
    <col min="5" max="5" width="13.1796875" bestFit="1" customWidth="1"/>
    <col min="6" max="6" width="12.7265625" bestFit="1" customWidth="1"/>
    <col min="8" max="8" width="13.1796875" bestFit="1" customWidth="1"/>
    <col min="9" max="9" width="12.7265625" bestFit="1" customWidth="1"/>
  </cols>
  <sheetData>
    <row r="1" spans="1:9">
      <c r="A1" s="8" t="s">
        <v>2103</v>
      </c>
      <c r="B1" t="s">
        <v>2105</v>
      </c>
      <c r="C1" t="s">
        <v>2106</v>
      </c>
      <c r="E1" s="8" t="s">
        <v>2103</v>
      </c>
      <c r="F1" t="s">
        <v>2105</v>
      </c>
      <c r="H1" s="8" t="s">
        <v>2103</v>
      </c>
      <c r="I1" t="s">
        <v>2105</v>
      </c>
    </row>
    <row r="2" spans="1:9">
      <c r="A2" s="9" t="s">
        <v>2113</v>
      </c>
      <c r="B2" s="13"/>
      <c r="C2" s="13"/>
      <c r="E2" s="9" t="s">
        <v>2053</v>
      </c>
      <c r="F2" s="13">
        <v>2247829.4800000014</v>
      </c>
      <c r="H2" s="9" t="s">
        <v>2028</v>
      </c>
      <c r="I2" s="13">
        <v>10404016.729999995</v>
      </c>
    </row>
    <row r="3" spans="1:9">
      <c r="A3" s="9" t="s">
        <v>2114</v>
      </c>
      <c r="B3" s="13">
        <v>10705079.700000007</v>
      </c>
      <c r="C3" s="13">
        <v>1768521.7300000002</v>
      </c>
      <c r="E3" s="9" t="s">
        <v>2050</v>
      </c>
      <c r="F3" s="13">
        <v>5825129.2500000009</v>
      </c>
      <c r="H3" s="9" t="s">
        <v>2022</v>
      </c>
      <c r="I3" s="13">
        <v>8823447.2399999965</v>
      </c>
    </row>
    <row r="4" spans="1:9">
      <c r="A4" s="9" t="s">
        <v>2115</v>
      </c>
      <c r="B4" s="13">
        <v>8254178.3099999987</v>
      </c>
      <c r="C4" s="13">
        <v>1484002.4799999997</v>
      </c>
      <c r="E4" s="9" t="s">
        <v>2054</v>
      </c>
      <c r="F4" s="13">
        <v>57337209.439999983</v>
      </c>
      <c r="H4" s="9" t="s">
        <v>2020</v>
      </c>
      <c r="I4" s="13">
        <v>8448829.7699999996</v>
      </c>
    </row>
    <row r="5" spans="1:9">
      <c r="A5" s="9" t="s">
        <v>2116</v>
      </c>
      <c r="B5" s="13">
        <v>9903648.1999999974</v>
      </c>
      <c r="C5" s="13">
        <v>1809264.4500000002</v>
      </c>
      <c r="E5" s="9" t="s">
        <v>2051</v>
      </c>
      <c r="F5" s="13">
        <v>33618350.420000009</v>
      </c>
      <c r="H5" s="9" t="s">
        <v>2016</v>
      </c>
      <c r="I5" s="13">
        <v>8122619.6500000022</v>
      </c>
    </row>
    <row r="6" spans="1:9">
      <c r="A6" s="9" t="s">
        <v>2117</v>
      </c>
      <c r="B6" s="13">
        <v>8357327.5100000007</v>
      </c>
      <c r="C6" s="13">
        <v>1557184.0700000003</v>
      </c>
      <c r="E6" s="9" t="s">
        <v>2049</v>
      </c>
      <c r="F6" s="13">
        <v>2204427.8599999994</v>
      </c>
      <c r="H6" s="9" t="s">
        <v>2025</v>
      </c>
      <c r="I6" s="13">
        <v>7986971.7100000009</v>
      </c>
    </row>
    <row r="7" spans="1:9">
      <c r="A7" s="9" t="s">
        <v>2118</v>
      </c>
      <c r="B7" s="13">
        <v>9516907.7800000031</v>
      </c>
      <c r="C7" s="13">
        <v>1615138.6500000004</v>
      </c>
      <c r="E7" s="9" t="s">
        <v>2052</v>
      </c>
      <c r="F7" s="13">
        <v>7573679.4099999983</v>
      </c>
      <c r="H7" s="9" t="s">
        <v>2104</v>
      </c>
      <c r="I7" s="13">
        <v>43785885.099999994</v>
      </c>
    </row>
    <row r="8" spans="1:9">
      <c r="A8" s="9" t="s">
        <v>2119</v>
      </c>
      <c r="B8" s="13">
        <v>7269350.1699999999</v>
      </c>
      <c r="C8" s="13">
        <v>1245920.9699999997</v>
      </c>
      <c r="E8" s="9" t="s">
        <v>2113</v>
      </c>
      <c r="F8" s="13"/>
    </row>
    <row r="9" spans="1:9">
      <c r="A9" s="9" t="s">
        <v>2120</v>
      </c>
      <c r="B9" s="13">
        <v>9155999.7899999972</v>
      </c>
      <c r="C9" s="13">
        <v>1440700.3100000003</v>
      </c>
      <c r="E9" s="9" t="s">
        <v>2104</v>
      </c>
      <c r="F9" s="13">
        <v>108806625.86</v>
      </c>
      <c r="H9" s="8" t="s">
        <v>2103</v>
      </c>
      <c r="I9" t="s">
        <v>2105</v>
      </c>
    </row>
    <row r="10" spans="1:9">
      <c r="A10" s="9" t="s">
        <v>2121</v>
      </c>
      <c r="B10" s="13">
        <v>10412341.749999996</v>
      </c>
      <c r="C10" s="13">
        <v>2006228.4999999995</v>
      </c>
      <c r="H10" s="9" t="s">
        <v>2041</v>
      </c>
      <c r="I10" s="13">
        <v>7758824.7200000007</v>
      </c>
    </row>
    <row r="11" spans="1:9">
      <c r="A11" s="9" t="s">
        <v>2122</v>
      </c>
      <c r="B11" s="13">
        <v>7705808.9400000013</v>
      </c>
      <c r="C11" s="13">
        <v>1418788.5100000005</v>
      </c>
      <c r="E11" s="8" t="s">
        <v>2103</v>
      </c>
      <c r="F11" t="s">
        <v>2105</v>
      </c>
      <c r="H11" s="9" t="s">
        <v>2033</v>
      </c>
      <c r="I11" s="13">
        <v>8667044.0500000026</v>
      </c>
    </row>
    <row r="12" spans="1:9">
      <c r="A12" s="9" t="s">
        <v>2123</v>
      </c>
      <c r="B12" s="13">
        <v>7747661.9299999997</v>
      </c>
      <c r="C12" s="13">
        <v>1385200.7899999998</v>
      </c>
      <c r="E12" s="9" t="s">
        <v>2045</v>
      </c>
      <c r="F12" s="13">
        <v>24440677.789999984</v>
      </c>
      <c r="H12" s="9" t="s">
        <v>2040</v>
      </c>
      <c r="I12" s="13">
        <v>8767973.0500000026</v>
      </c>
    </row>
    <row r="13" spans="1:9">
      <c r="A13" s="9" t="s">
        <v>2124</v>
      </c>
      <c r="B13" s="13">
        <v>10438521.42</v>
      </c>
      <c r="C13" s="13">
        <v>1932597.2300000002</v>
      </c>
      <c r="E13" s="9" t="s">
        <v>2044</v>
      </c>
      <c r="F13" s="13">
        <v>22924331.560000006</v>
      </c>
      <c r="H13" s="9" t="s">
        <v>2030</v>
      </c>
      <c r="I13" s="13">
        <v>7746121.2599999951</v>
      </c>
    </row>
    <row r="14" spans="1:9">
      <c r="A14" s="9" t="s">
        <v>2125</v>
      </c>
      <c r="B14" s="13">
        <v>9339800.3599999975</v>
      </c>
      <c r="C14" s="13">
        <v>1469982.2300000002</v>
      </c>
      <c r="E14" s="9" t="s">
        <v>2048</v>
      </c>
      <c r="F14" s="13">
        <v>21875648.809999969</v>
      </c>
      <c r="H14" s="9" t="s">
        <v>2034</v>
      </c>
      <c r="I14" s="13">
        <v>8200530.2899999982</v>
      </c>
    </row>
    <row r="15" spans="1:9">
      <c r="A15" s="9" t="s">
        <v>2104</v>
      </c>
      <c r="B15" s="13">
        <v>108806625.85999998</v>
      </c>
      <c r="C15" s="13">
        <v>19133529.920000002</v>
      </c>
      <c r="E15" s="9" t="s">
        <v>2047</v>
      </c>
      <c r="F15" s="13">
        <v>19345608.940000001</v>
      </c>
      <c r="H15" s="9" t="s">
        <v>2104</v>
      </c>
      <c r="I15" s="13">
        <v>41140493.369999997</v>
      </c>
    </row>
    <row r="16" spans="1:9">
      <c r="E16" s="9" t="s">
        <v>2046</v>
      </c>
      <c r="F16" s="13">
        <v>20220358.75999999</v>
      </c>
    </row>
    <row r="17" spans="1:9">
      <c r="E17" s="9" t="s">
        <v>2113</v>
      </c>
      <c r="F17" s="13"/>
      <c r="H17" s="8" t="s">
        <v>2103</v>
      </c>
      <c r="I17" t="s">
        <v>2105</v>
      </c>
    </row>
    <row r="18" spans="1:9">
      <c r="E18" s="9" t="s">
        <v>2104</v>
      </c>
      <c r="F18" s="13">
        <v>108806625.85999995</v>
      </c>
      <c r="H18" s="9" t="s">
        <v>2085</v>
      </c>
      <c r="I18" s="13">
        <v>37524207.429999955</v>
      </c>
    </row>
    <row r="19" spans="1:9">
      <c r="A19" s="8" t="s">
        <v>2103</v>
      </c>
      <c r="B19" t="s">
        <v>2105</v>
      </c>
      <c r="H19" s="9" t="s">
        <v>2087</v>
      </c>
      <c r="I19" s="13">
        <v>35874454.339999981</v>
      </c>
    </row>
    <row r="20" spans="1:9">
      <c r="A20" s="9" t="s">
        <v>2088</v>
      </c>
      <c r="B20" s="13">
        <v>22458362.730000004</v>
      </c>
      <c r="H20" s="9" t="s">
        <v>2086</v>
      </c>
      <c r="I20" s="13">
        <v>35407964.089999981</v>
      </c>
    </row>
    <row r="21" spans="1:9">
      <c r="A21" s="9" t="s">
        <v>2092</v>
      </c>
      <c r="B21" s="13">
        <v>22953954.77999999</v>
      </c>
      <c r="H21" s="9" t="s">
        <v>2113</v>
      </c>
      <c r="I21" s="13"/>
    </row>
    <row r="22" spans="1:9">
      <c r="A22" s="9" t="s">
        <v>2089</v>
      </c>
      <c r="B22" s="13">
        <v>22222322.249999996</v>
      </c>
      <c r="H22" s="9" t="s">
        <v>2104</v>
      </c>
      <c r="I22" s="13">
        <v>108806625.85999992</v>
      </c>
    </row>
    <row r="23" spans="1:9">
      <c r="A23" s="9" t="s">
        <v>2090</v>
      </c>
      <c r="B23" s="13">
        <v>19574977.599999972</v>
      </c>
    </row>
    <row r="24" spans="1:9">
      <c r="A24" s="9" t="s">
        <v>2091</v>
      </c>
      <c r="B24" s="13">
        <v>21597008.500000004</v>
      </c>
    </row>
    <row r="25" spans="1:9">
      <c r="A25" s="9" t="s">
        <v>2113</v>
      </c>
      <c r="B25" s="13"/>
    </row>
    <row r="26" spans="1:9">
      <c r="A26" s="9" t="s">
        <v>2104</v>
      </c>
      <c r="B26" s="13">
        <v>108806625.85999995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2"/>
  <sheetViews>
    <sheetView showGridLines="0" tabSelected="1" topLeftCell="A3" workbookViewId="0">
      <selection activeCell="F9" sqref="F9"/>
    </sheetView>
  </sheetViews>
  <sheetFormatPr defaultRowHeight="14.5"/>
  <cols>
    <col min="1" max="1" width="4" style="12" customWidth="1"/>
    <col min="2" max="2" width="28" style="12" customWidth="1"/>
    <col min="3" max="3" width="92" style="12" customWidth="1"/>
    <col min="4" max="16384" width="8.7265625" style="12"/>
  </cols>
  <sheetData>
    <row r="2" spans="2:3" ht="23.5">
      <c r="B2" s="21" t="s">
        <v>2131</v>
      </c>
      <c r="C2" s="19"/>
    </row>
    <row r="4" spans="2:3" ht="26">
      <c r="B4" s="22" t="s">
        <v>2132</v>
      </c>
      <c r="C4" s="23" t="s">
        <v>2133</v>
      </c>
    </row>
    <row r="5" spans="2:3" ht="39">
      <c r="B5" s="22" t="s">
        <v>2134</v>
      </c>
      <c r="C5" s="23" t="s">
        <v>2135</v>
      </c>
    </row>
    <row r="6" spans="2:3" ht="26">
      <c r="B6" s="22" t="s">
        <v>2136</v>
      </c>
      <c r="C6" s="23" t="s">
        <v>2137</v>
      </c>
    </row>
    <row r="7" spans="2:3" ht="26">
      <c r="B7" s="22" t="s">
        <v>2138</v>
      </c>
      <c r="C7" s="23" t="s">
        <v>2139</v>
      </c>
    </row>
    <row r="8" spans="2:3" ht="26">
      <c r="B8" s="22" t="s">
        <v>2140</v>
      </c>
      <c r="C8" s="23" t="s">
        <v>2141</v>
      </c>
    </row>
    <row r="9" spans="2:3" ht="29">
      <c r="B9" s="22" t="s">
        <v>2142</v>
      </c>
      <c r="C9" s="23" t="s">
        <v>2143</v>
      </c>
    </row>
    <row r="10" spans="2:3" ht="39">
      <c r="B10" s="22" t="s">
        <v>2144</v>
      </c>
      <c r="C10" s="23" t="s">
        <v>2145</v>
      </c>
    </row>
    <row r="11" spans="2:3" ht="26">
      <c r="B11" s="22" t="s">
        <v>2146</v>
      </c>
      <c r="C11" s="23" t="s">
        <v>2147</v>
      </c>
    </row>
    <row r="12" spans="2:3" ht="39">
      <c r="B12" s="22" t="s">
        <v>2148</v>
      </c>
      <c r="C12" s="23" t="s">
        <v>2149</v>
      </c>
    </row>
  </sheetData>
  <mergeCells count="1">
    <mergeCell ref="B2:C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Dataset</vt:lpstr>
      <vt:lpstr>Dashboard</vt:lpstr>
      <vt:lpstr>PivotData</vt:lpstr>
      <vt:lpstr>Readme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 USER</dc:creator>
  <cp:lastModifiedBy>dell</cp:lastModifiedBy>
  <dcterms:created xsi:type="dcterms:W3CDTF">2026-08-10T05:21:19Z</dcterms:created>
  <dcterms:modified xsi:type="dcterms:W3CDTF">2026-10-22T10:20:25Z</dcterms:modified>
</cp:coreProperties>
</file>